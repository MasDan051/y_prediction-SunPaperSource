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11. NOVEMBER\"/>
    </mc:Choice>
  </mc:AlternateContent>
  <bookViews>
    <workbookView xWindow="-105" yWindow="-105" windowWidth="20730" windowHeight="11760" tabRatio="931" firstSheet="3" activeTab="5"/>
  </bookViews>
  <sheets>
    <sheet name="GRAFIK" sheetId="49" r:id="rId1"/>
    <sheet name="Report1" sheetId="39" r:id="rId2"/>
    <sheet name="Listrik" sheetId="45" r:id="rId3"/>
    <sheet name="Trim Rwd" sheetId="47" r:id="rId4"/>
    <sheet name="Efficiency1" sheetId="46" r:id="rId5"/>
    <sheet name="Efficiency2" sheetId="54" r:id="rId6"/>
    <sheet name="Chem" sheetId="1" r:id="rId7"/>
    <sheet name="BB" sheetId="2" r:id="rId8"/>
    <sheet name="RBP" sheetId="50" r:id="rId9"/>
    <sheet name="Sheet1" sheetId="53" r:id="rId10"/>
    <sheet name="summary" sheetId="52"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 r:id="rId44"/>
    <externalReference r:id="rId45"/>
  </externalReferences>
  <definedNames>
    <definedName name="_xlnm._FilterDatabase" localSheetId="9" hidden="1">Sheet1!$B$1:$F$106</definedName>
    <definedName name="_xlnm.Print_Area" localSheetId="40">'1'!$A$2:$M$61</definedName>
    <definedName name="_xlnm.Print_Area" localSheetId="31">'10'!$A$2:$M$61</definedName>
    <definedName name="_xlnm.Print_Area" localSheetId="30">'11'!$A$2:$M$61</definedName>
    <definedName name="_xlnm.Print_Area" localSheetId="29">'12'!$A$2:$M$61</definedName>
    <definedName name="_xlnm.Print_Area" localSheetId="28">'13'!$A$1:$M$62</definedName>
    <definedName name="_xlnm.Print_Area" localSheetId="27">'14'!$A$1:$M$61</definedName>
    <definedName name="_xlnm.Print_Area" localSheetId="26">'15'!$A$1:$M$61</definedName>
    <definedName name="_xlnm.Print_Area" localSheetId="25">'16'!$A$1:$M$61</definedName>
    <definedName name="_xlnm.Print_Area" localSheetId="24">'17'!$A$1:$M$61</definedName>
    <definedName name="_xlnm.Print_Area" localSheetId="23">'18'!$A$1:$M$61</definedName>
    <definedName name="_xlnm.Print_Area" localSheetId="22">'19'!$A$1:$M$61</definedName>
    <definedName name="_xlnm.Print_Area" localSheetId="39">'2'!$A$2:$M$61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'31'!$A$1:$L$63</definedName>
    <definedName name="_xlnm.Print_Area" localSheetId="37">'4'!$A$1:$M$61</definedName>
    <definedName name="_xlnm.Print_Area" localSheetId="36">'5'!$A$1:$M$61</definedName>
    <definedName name="_xlnm.Print_Area" localSheetId="35">'6'!$A$2:$M$61</definedName>
    <definedName name="_xlnm.Print_Area" localSheetId="34">'7'!$A$2:$M$61</definedName>
    <definedName name="_xlnm.Print_Area" localSheetId="33">'8'!$A$2:$M$61</definedName>
    <definedName name="_xlnm.Print_Area" localSheetId="32">'9'!$A$1:$M$62</definedName>
    <definedName name="_xlnm.Print_Area" localSheetId="6">Chem!$CY$6:$DK$15</definedName>
    <definedName name="_xlnm.Print_Area" localSheetId="4">Efficiency1!$A$3:$X$95</definedName>
    <definedName name="_xlnm.Print_Area" localSheetId="5">Efficiency2!$A$3:$X$94</definedName>
    <definedName name="_xlnm.Print_Area" localSheetId="2">Listrik!$A$2:$AE$40</definedName>
    <definedName name="_xlnm.Print_Area" localSheetId="1">Report1!$A$2:$BE$41</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V39" i="1" l="1"/>
  <c r="KV38" i="1"/>
  <c r="AR161" i="54" l="1"/>
  <c r="BA161" i="54" s="1"/>
  <c r="AM161" i="54"/>
  <c r="AR160" i="54"/>
  <c r="BA160" i="54" s="1"/>
  <c r="AM160" i="54"/>
  <c r="AR159" i="54"/>
  <c r="BA159" i="54" s="1"/>
  <c r="AM159" i="54"/>
  <c r="Z159" i="54"/>
  <c r="N159" i="54"/>
  <c r="H159" i="54" s="1"/>
  <c r="AR158" i="54"/>
  <c r="BA158" i="54" s="1"/>
  <c r="AD158" i="54" s="1"/>
  <c r="AM158" i="54"/>
  <c r="N158" i="54"/>
  <c r="H158" i="54" s="1"/>
  <c r="J158" i="54" s="1"/>
  <c r="AR156" i="54"/>
  <c r="BA156" i="54" s="1"/>
  <c r="AM156" i="54"/>
  <c r="AR155" i="54"/>
  <c r="BA155" i="54" s="1"/>
  <c r="AM155" i="54"/>
  <c r="AR154" i="54"/>
  <c r="BA154" i="54" s="1"/>
  <c r="AM154" i="54"/>
  <c r="AC154" i="54"/>
  <c r="Z154" i="54"/>
  <c r="AR153" i="54"/>
  <c r="BA153" i="54" s="1"/>
  <c r="AM153" i="54"/>
  <c r="N153" i="54"/>
  <c r="AR151" i="54"/>
  <c r="BA151" i="54" s="1"/>
  <c r="AM151" i="54"/>
  <c r="AR150" i="54"/>
  <c r="BA150" i="54" s="1"/>
  <c r="AM150" i="54"/>
  <c r="AR149" i="54"/>
  <c r="BA149" i="54" s="1"/>
  <c r="AM149" i="54"/>
  <c r="AC149" i="54"/>
  <c r="Z149" i="54"/>
  <c r="AR148" i="54"/>
  <c r="BA148" i="54" s="1"/>
  <c r="AM148" i="54"/>
  <c r="N148" i="54"/>
  <c r="H148" i="54" s="1"/>
  <c r="AR146" i="54"/>
  <c r="BA146" i="54" s="1"/>
  <c r="AM146" i="54"/>
  <c r="AR145" i="54"/>
  <c r="BA145" i="54" s="1"/>
  <c r="AM145" i="54"/>
  <c r="AR144" i="54"/>
  <c r="BA144" i="54" s="1"/>
  <c r="AM144" i="54"/>
  <c r="AR143" i="54"/>
  <c r="BA143" i="54" s="1"/>
  <c r="AM143" i="54"/>
  <c r="AC143" i="54"/>
  <c r="AR142" i="54"/>
  <c r="BA142" i="54" s="1"/>
  <c r="AM142" i="54"/>
  <c r="N142" i="54"/>
  <c r="AR140" i="54"/>
  <c r="BA140" i="54" s="1"/>
  <c r="AM140" i="54"/>
  <c r="AR139" i="54"/>
  <c r="BA139" i="54" s="1"/>
  <c r="AM139" i="54"/>
  <c r="AR138" i="54"/>
  <c r="BA138" i="54" s="1"/>
  <c r="AM138" i="54"/>
  <c r="AC138" i="54"/>
  <c r="AR137" i="54"/>
  <c r="BA137" i="54" s="1"/>
  <c r="AM137" i="54"/>
  <c r="N137" i="54"/>
  <c r="AR135" i="54"/>
  <c r="BA135" i="54" s="1"/>
  <c r="AM135" i="54"/>
  <c r="AR134" i="54"/>
  <c r="BA134" i="54" s="1"/>
  <c r="AM134" i="54"/>
  <c r="BA133" i="54"/>
  <c r="AR133" i="54"/>
  <c r="AM133" i="54"/>
  <c r="N133" i="54"/>
  <c r="H133" i="54" s="1"/>
  <c r="J133" i="54" s="1"/>
  <c r="AR132" i="54"/>
  <c r="BA132" i="54" s="1"/>
  <c r="AM132" i="54"/>
  <c r="Y132" i="54"/>
  <c r="N132" i="54"/>
  <c r="AR130" i="54"/>
  <c r="BA130" i="54" s="1"/>
  <c r="AM130" i="54"/>
  <c r="BA129" i="54"/>
  <c r="AD129" i="54" s="1"/>
  <c r="AR129" i="54"/>
  <c r="AM129" i="54"/>
  <c r="AR128" i="54"/>
  <c r="BA128" i="54" s="1"/>
  <c r="AM128" i="54"/>
  <c r="AC128" i="54"/>
  <c r="AR127" i="54"/>
  <c r="BA127" i="54" s="1"/>
  <c r="AM127" i="54"/>
  <c r="Y127" i="54"/>
  <c r="N127" i="54"/>
  <c r="H127" i="54" s="1"/>
  <c r="AR125" i="54"/>
  <c r="BA125" i="54" s="1"/>
  <c r="AM125" i="54"/>
  <c r="AR124" i="54"/>
  <c r="BA124" i="54" s="1"/>
  <c r="AM124" i="54"/>
  <c r="AR123" i="54"/>
  <c r="BA123" i="54" s="1"/>
  <c r="AM123" i="54"/>
  <c r="AR122" i="54"/>
  <c r="BA122" i="54" s="1"/>
  <c r="AM122" i="54"/>
  <c r="AC122" i="54"/>
  <c r="Z122" i="54"/>
  <c r="AR121" i="54"/>
  <c r="BA121" i="54" s="1"/>
  <c r="AD121" i="54" s="1"/>
  <c r="AM121" i="54"/>
  <c r="Y121" i="54"/>
  <c r="N121" i="54"/>
  <c r="AR119" i="54"/>
  <c r="BA119" i="54" s="1"/>
  <c r="AD119" i="54" s="1"/>
  <c r="AM119" i="54"/>
  <c r="AR118" i="54"/>
  <c r="BA118" i="54" s="1"/>
  <c r="AM118" i="54"/>
  <c r="AR117" i="54"/>
  <c r="BA117" i="54" s="1"/>
  <c r="AM117" i="54"/>
  <c r="Z117" i="54"/>
  <c r="N117" i="54"/>
  <c r="AR116" i="54"/>
  <c r="BA116" i="54" s="1"/>
  <c r="AM116" i="54"/>
  <c r="Z116" i="54"/>
  <c r="N116" i="54"/>
  <c r="H116" i="54"/>
  <c r="AR114" i="54"/>
  <c r="BA114" i="54" s="1"/>
  <c r="AM114" i="54"/>
  <c r="AR113" i="54"/>
  <c r="BA113" i="54" s="1"/>
  <c r="AM113" i="54"/>
  <c r="AR112" i="54"/>
  <c r="BA112" i="54" s="1"/>
  <c r="AD112" i="54" s="1"/>
  <c r="AM112" i="54"/>
  <c r="Z112" i="54"/>
  <c r="N112" i="54"/>
  <c r="H112" i="54" s="1"/>
  <c r="AR111" i="54"/>
  <c r="BA111" i="54" s="1"/>
  <c r="AM111" i="54"/>
  <c r="Y111" i="54"/>
  <c r="N111" i="54"/>
  <c r="H111" i="54" s="1"/>
  <c r="AR109" i="54"/>
  <c r="BA109" i="54" s="1"/>
  <c r="AM109" i="54"/>
  <c r="AR108" i="54"/>
  <c r="BA108" i="54" s="1"/>
  <c r="AM108" i="54"/>
  <c r="AD108" i="54" s="1"/>
  <c r="N108" i="54"/>
  <c r="H108" i="54" s="1"/>
  <c r="AR107" i="54"/>
  <c r="BA107" i="54" s="1"/>
  <c r="AM107" i="54"/>
  <c r="S107" i="54"/>
  <c r="N107" i="54"/>
  <c r="H107" i="54" s="1"/>
  <c r="J107" i="54" s="1"/>
  <c r="AR106" i="54"/>
  <c r="BA106" i="54" s="1"/>
  <c r="AM106" i="54"/>
  <c r="Y106" i="54"/>
  <c r="N106" i="54"/>
  <c r="AR104" i="54"/>
  <c r="BA104" i="54" s="1"/>
  <c r="AM104" i="54"/>
  <c r="AR103" i="54"/>
  <c r="BA103" i="54" s="1"/>
  <c r="AD103" i="54" s="1"/>
  <c r="AM103" i="54"/>
  <c r="AR102" i="54"/>
  <c r="BA102" i="54" s="1"/>
  <c r="AM102" i="54"/>
  <c r="AC102" i="54"/>
  <c r="AR101" i="54"/>
  <c r="BA101" i="54" s="1"/>
  <c r="AM101" i="54"/>
  <c r="AD101" i="54" s="1"/>
  <c r="Y101" i="54"/>
  <c r="N101" i="54"/>
  <c r="AR99" i="54"/>
  <c r="BA99" i="54" s="1"/>
  <c r="AM99" i="54"/>
  <c r="BA98" i="54"/>
  <c r="AR98" i="54"/>
  <c r="AM98" i="54"/>
  <c r="AR97" i="54"/>
  <c r="BA97" i="54" s="1"/>
  <c r="AM97" i="54"/>
  <c r="AR96" i="54"/>
  <c r="BA96" i="54" s="1"/>
  <c r="AM96" i="54"/>
  <c r="N96" i="54"/>
  <c r="AR95" i="54"/>
  <c r="BA95" i="54" s="1"/>
  <c r="AM95" i="54"/>
  <c r="Y95" i="54"/>
  <c r="Q95" i="54"/>
  <c r="N95" i="54"/>
  <c r="H95" i="54" s="1"/>
  <c r="AR93" i="54"/>
  <c r="BA93" i="54" s="1"/>
  <c r="AM93" i="54"/>
  <c r="AR92" i="54"/>
  <c r="BA92" i="54" s="1"/>
  <c r="AM92" i="54"/>
  <c r="AR91" i="54"/>
  <c r="BA91" i="54" s="1"/>
  <c r="AM91" i="54"/>
  <c r="AD91" i="54" s="1"/>
  <c r="N91" i="54"/>
  <c r="H91" i="54" s="1"/>
  <c r="AR90" i="54"/>
  <c r="BA90" i="54" s="1"/>
  <c r="AM90" i="54"/>
  <c r="Y90" i="54"/>
  <c r="N90" i="54"/>
  <c r="AR88" i="54"/>
  <c r="BA88" i="54" s="1"/>
  <c r="AM88" i="54"/>
  <c r="AR87" i="54"/>
  <c r="BA87" i="54" s="1"/>
  <c r="AM87" i="54"/>
  <c r="BA86" i="54"/>
  <c r="AR86" i="54"/>
  <c r="AM86" i="54"/>
  <c r="W86" i="54"/>
  <c r="N86" i="54"/>
  <c r="AR85" i="54"/>
  <c r="BA85" i="54" s="1"/>
  <c r="AM85" i="54"/>
  <c r="Y85" i="54"/>
  <c r="N85" i="54"/>
  <c r="AR83" i="54"/>
  <c r="BA83" i="54" s="1"/>
  <c r="AM83" i="54"/>
  <c r="AR82" i="54"/>
  <c r="BA82" i="54" s="1"/>
  <c r="AM82" i="54"/>
  <c r="AR81" i="54"/>
  <c r="BA81" i="54" s="1"/>
  <c r="AM81" i="54"/>
  <c r="AC81" i="54"/>
  <c r="AR80" i="54"/>
  <c r="BA80" i="54" s="1"/>
  <c r="AM80" i="54"/>
  <c r="Z80" i="54"/>
  <c r="Y80" i="54"/>
  <c r="N80" i="54"/>
  <c r="BA78" i="54"/>
  <c r="AR78" i="54"/>
  <c r="AM78" i="54"/>
  <c r="AD78" i="54" s="1"/>
  <c r="AR77" i="54"/>
  <c r="BA77" i="54" s="1"/>
  <c r="AM77" i="54"/>
  <c r="AR76" i="54"/>
  <c r="BA76" i="54" s="1"/>
  <c r="AM76" i="54"/>
  <c r="S76" i="54"/>
  <c r="N76" i="54"/>
  <c r="AR75" i="54"/>
  <c r="BA75" i="54" s="1"/>
  <c r="AM75" i="54"/>
  <c r="Y75" i="54"/>
  <c r="N75" i="54"/>
  <c r="AR73" i="54"/>
  <c r="BA73" i="54" s="1"/>
  <c r="AM73" i="54"/>
  <c r="AR72" i="54"/>
  <c r="BA72" i="54" s="1"/>
  <c r="AD72" i="54" s="1"/>
  <c r="AM72" i="54"/>
  <c r="AR71" i="54"/>
  <c r="BA71" i="54" s="1"/>
  <c r="AM71" i="54"/>
  <c r="AR70" i="54"/>
  <c r="BA70" i="54" s="1"/>
  <c r="AM70" i="54"/>
  <c r="AR69" i="54"/>
  <c r="BA69" i="54" s="1"/>
  <c r="AM69" i="54"/>
  <c r="AC69" i="54"/>
  <c r="AR68" i="54"/>
  <c r="BA68" i="54" s="1"/>
  <c r="AM68" i="54"/>
  <c r="Z68" i="54"/>
  <c r="Y68" i="54"/>
  <c r="R68" i="54"/>
  <c r="N68" i="54"/>
  <c r="H68" i="54" s="1"/>
  <c r="AR66" i="54"/>
  <c r="BA66" i="54" s="1"/>
  <c r="AM66" i="54"/>
  <c r="AR65" i="54"/>
  <c r="BA65" i="54" s="1"/>
  <c r="AM65" i="54"/>
  <c r="AR64" i="54"/>
  <c r="BA64" i="54" s="1"/>
  <c r="AM64" i="54"/>
  <c r="AC64" i="54"/>
  <c r="AR63" i="54"/>
  <c r="BA63" i="54" s="1"/>
  <c r="AM63" i="54"/>
  <c r="Z63" i="54"/>
  <c r="Y63" i="54"/>
  <c r="N63" i="54"/>
  <c r="BA61" i="54"/>
  <c r="AR61" i="54"/>
  <c r="AM61" i="54"/>
  <c r="AR60" i="54"/>
  <c r="BA60" i="54" s="1"/>
  <c r="AM60" i="54"/>
  <c r="AR59" i="54"/>
  <c r="BA59" i="54" s="1"/>
  <c r="AM59" i="54"/>
  <c r="AC59" i="54"/>
  <c r="BA58" i="54"/>
  <c r="AR58" i="54"/>
  <c r="AM58" i="54"/>
  <c r="Y58" i="54"/>
  <c r="N58" i="54"/>
  <c r="H58" i="54" s="1"/>
  <c r="J58" i="54" s="1"/>
  <c r="AR56" i="54"/>
  <c r="BA56" i="54" s="1"/>
  <c r="AM56" i="54"/>
  <c r="AR55" i="54"/>
  <c r="BA55" i="54" s="1"/>
  <c r="AM55" i="54"/>
  <c r="AR54" i="54"/>
  <c r="BA54" i="54" s="1"/>
  <c r="AM54" i="54"/>
  <c r="AC54" i="54"/>
  <c r="AR53" i="54"/>
  <c r="BA53" i="54" s="1"/>
  <c r="AM53" i="54"/>
  <c r="Y53" i="54"/>
  <c r="N53" i="54"/>
  <c r="H53" i="54" s="1"/>
  <c r="J53" i="54" s="1"/>
  <c r="AR51" i="54"/>
  <c r="BA51" i="54" s="1"/>
  <c r="AM51" i="54"/>
  <c r="S51" i="54"/>
  <c r="N51" i="54"/>
  <c r="H51" i="54" s="1"/>
  <c r="J51" i="54" s="1"/>
  <c r="AR50" i="54"/>
  <c r="BA50" i="54" s="1"/>
  <c r="AM50" i="54"/>
  <c r="N50" i="54"/>
  <c r="H50" i="54"/>
  <c r="J50" i="54" s="1"/>
  <c r="AR49" i="54"/>
  <c r="BA49" i="54" s="1"/>
  <c r="AM49" i="54"/>
  <c r="N49" i="54"/>
  <c r="H49" i="54"/>
  <c r="AR48" i="54"/>
  <c r="BA48" i="54" s="1"/>
  <c r="AM48" i="54"/>
  <c r="N48" i="54"/>
  <c r="G48" i="54"/>
  <c r="AR46" i="54"/>
  <c r="BA46" i="54" s="1"/>
  <c r="AM46" i="54"/>
  <c r="AR45" i="54"/>
  <c r="BA45" i="54" s="1"/>
  <c r="AM45" i="54"/>
  <c r="AR44" i="54"/>
  <c r="BA44" i="54" s="1"/>
  <c r="AM44" i="54"/>
  <c r="Z44" i="54"/>
  <c r="N44" i="54"/>
  <c r="H44" i="54" s="1"/>
  <c r="G44" i="54"/>
  <c r="AR43" i="54"/>
  <c r="BA43" i="54" s="1"/>
  <c r="AM43" i="54"/>
  <c r="N43" i="54"/>
  <c r="AR41" i="54"/>
  <c r="BA41" i="54" s="1"/>
  <c r="AM41" i="54"/>
  <c r="AD41" i="54" s="1"/>
  <c r="AR40" i="54"/>
  <c r="BA40" i="54" s="1"/>
  <c r="AM40" i="54"/>
  <c r="AR39" i="54"/>
  <c r="BA39" i="54" s="1"/>
  <c r="AM39" i="54"/>
  <c r="Z39" i="54"/>
  <c r="N39" i="54"/>
  <c r="AR38" i="54"/>
  <c r="BA38" i="54" s="1"/>
  <c r="AM38" i="54"/>
  <c r="N38" i="54"/>
  <c r="H38" i="54" s="1"/>
  <c r="AR36" i="54"/>
  <c r="BA36" i="54" s="1"/>
  <c r="AM36" i="54"/>
  <c r="AR35" i="54"/>
  <c r="BA35" i="54" s="1"/>
  <c r="AM35" i="54"/>
  <c r="AR34" i="54"/>
  <c r="BA34" i="54" s="1"/>
  <c r="AM34" i="54"/>
  <c r="AC34" i="54"/>
  <c r="AR33" i="54"/>
  <c r="BA33" i="54" s="1"/>
  <c r="AM33" i="54"/>
  <c r="N33" i="54"/>
  <c r="H33" i="54" s="1"/>
  <c r="J33" i="54" s="1"/>
  <c r="AR31" i="54"/>
  <c r="BA31" i="54" s="1"/>
  <c r="AM31" i="54"/>
  <c r="AR30" i="54"/>
  <c r="BA30" i="54" s="1"/>
  <c r="AM30" i="54"/>
  <c r="W30" i="54"/>
  <c r="S30" i="54"/>
  <c r="N30" i="54"/>
  <c r="AR29" i="54"/>
  <c r="BA29" i="54" s="1"/>
  <c r="AM29" i="54"/>
  <c r="Z29" i="54"/>
  <c r="Q29" i="54"/>
  <c r="N29" i="54"/>
  <c r="H29" i="54" s="1"/>
  <c r="AR28" i="54"/>
  <c r="BA28" i="54" s="1"/>
  <c r="AM28" i="54"/>
  <c r="Q28" i="54"/>
  <c r="N28" i="54"/>
  <c r="H28" i="54" s="1"/>
  <c r="J28" i="54" s="1"/>
  <c r="AR27" i="54"/>
  <c r="BA27" i="54" s="1"/>
  <c r="AM27" i="54"/>
  <c r="N27" i="54"/>
  <c r="AR25" i="54"/>
  <c r="BA25" i="54" s="1"/>
  <c r="AM25" i="54"/>
  <c r="AR24" i="54"/>
  <c r="BA24" i="54" s="1"/>
  <c r="AM24" i="54"/>
  <c r="AR23" i="54"/>
  <c r="BA23" i="54" s="1"/>
  <c r="AM23" i="54"/>
  <c r="N23" i="54"/>
  <c r="AR22" i="54"/>
  <c r="BA22" i="54" s="1"/>
  <c r="AM22" i="54"/>
  <c r="N22" i="54"/>
  <c r="H22" i="54" s="1"/>
  <c r="AR20" i="54"/>
  <c r="BA20" i="54" s="1"/>
  <c r="AM20" i="54"/>
  <c r="AR19" i="54"/>
  <c r="BA19" i="54" s="1"/>
  <c r="AM19" i="54"/>
  <c r="AR18" i="54"/>
  <c r="BA18" i="54" s="1"/>
  <c r="AM18" i="54"/>
  <c r="AC18" i="54"/>
  <c r="AR17" i="54"/>
  <c r="BA17" i="54" s="1"/>
  <c r="AM17" i="54"/>
  <c r="N17" i="54"/>
  <c r="H17" i="54" s="1"/>
  <c r="AR15" i="54"/>
  <c r="BA15" i="54" s="1"/>
  <c r="AM15" i="54"/>
  <c r="AR14" i="54"/>
  <c r="BA14" i="54" s="1"/>
  <c r="AM14" i="54"/>
  <c r="AR13" i="54"/>
  <c r="BA13" i="54" s="1"/>
  <c r="AM13" i="54"/>
  <c r="N13" i="54"/>
  <c r="H13" i="54" s="1"/>
  <c r="AR12" i="54"/>
  <c r="BA12" i="54" s="1"/>
  <c r="AM12" i="54"/>
  <c r="N12" i="54"/>
  <c r="H12" i="54" s="1"/>
  <c r="J12" i="54" s="1"/>
  <c r="AR10" i="54"/>
  <c r="BA10" i="54" s="1"/>
  <c r="AM10" i="54"/>
  <c r="AR9" i="54"/>
  <c r="BA9" i="54" s="1"/>
  <c r="AM9" i="54"/>
  <c r="AR8" i="54"/>
  <c r="BA8" i="54" s="1"/>
  <c r="AM8" i="54"/>
  <c r="AR7" i="54"/>
  <c r="BA7" i="54" s="1"/>
  <c r="AM7" i="54"/>
  <c r="R7" i="54"/>
  <c r="Q7" i="54"/>
  <c r="N7" i="54"/>
  <c r="H7" i="54" s="1"/>
  <c r="J7" i="54" s="1"/>
  <c r="AR6" i="54"/>
  <c r="BA6" i="54" s="1"/>
  <c r="AM6" i="54"/>
  <c r="N6" i="54"/>
  <c r="A6" i="54"/>
  <c r="AD6" i="50"/>
  <c r="AD4" i="50"/>
  <c r="AD3" i="50"/>
  <c r="AE4" i="50"/>
  <c r="AG4" i="50" s="1"/>
  <c r="AE3" i="50"/>
  <c r="AG3" i="50" s="1"/>
  <c r="Y158" i="54" s="1"/>
  <c r="AD7" i="54" l="1"/>
  <c r="AD14" i="54"/>
  <c r="AD133" i="54"/>
  <c r="AD30" i="54"/>
  <c r="AD76" i="54"/>
  <c r="AD114" i="54"/>
  <c r="AD92" i="54"/>
  <c r="AD128" i="54"/>
  <c r="AD98" i="54"/>
  <c r="AD83" i="54"/>
  <c r="AD75" i="54"/>
  <c r="AD38" i="54"/>
  <c r="AD10" i="54"/>
  <c r="AD31" i="54"/>
  <c r="AD35" i="54"/>
  <c r="AD48" i="54"/>
  <c r="AD50" i="54"/>
  <c r="AD81" i="54"/>
  <c r="AD125" i="54"/>
  <c r="AD137" i="54"/>
  <c r="AD116" i="54"/>
  <c r="AD156" i="54"/>
  <c r="AD28" i="54"/>
  <c r="AD58" i="54"/>
  <c r="AD73" i="54"/>
  <c r="AD49" i="54"/>
  <c r="AD55" i="54"/>
  <c r="AD70" i="54"/>
  <c r="AD85" i="54"/>
  <c r="AD154" i="54"/>
  <c r="AD6" i="54"/>
  <c r="AD140" i="54"/>
  <c r="AD153" i="54"/>
  <c r="AD155" i="54"/>
  <c r="AD59" i="54"/>
  <c r="AD51" i="54"/>
  <c r="AD96" i="54"/>
  <c r="AD99" i="54"/>
  <c r="AD27" i="54"/>
  <c r="AD36" i="54"/>
  <c r="AD45" i="54"/>
  <c r="AD66" i="54"/>
  <c r="AD71" i="54"/>
  <c r="AD82" i="54"/>
  <c r="AD87" i="54"/>
  <c r="AD111" i="54"/>
  <c r="AD113" i="54"/>
  <c r="AD118" i="54"/>
  <c r="AD124" i="54"/>
  <c r="AD134" i="54"/>
  <c r="AD144" i="54"/>
  <c r="AD148" i="54"/>
  <c r="AD145" i="54"/>
  <c r="AD88" i="54"/>
  <c r="AD130" i="54"/>
  <c r="AD138" i="54"/>
  <c r="AD142" i="54"/>
  <c r="AD159" i="54"/>
  <c r="AD61" i="54"/>
  <c r="AD95" i="54"/>
  <c r="AD109" i="54"/>
  <c r="AD151" i="54"/>
  <c r="Y158" i="46"/>
  <c r="AD29" i="54"/>
  <c r="AD39" i="54"/>
  <c r="AD60" i="54"/>
  <c r="AD63" i="54"/>
  <c r="AD24" i="54"/>
  <c r="AD34" i="54"/>
  <c r="AD13" i="54"/>
  <c r="AD40" i="54"/>
  <c r="AD53" i="54"/>
  <c r="AD69" i="54"/>
  <c r="AD86" i="54"/>
  <c r="AD143" i="54"/>
  <c r="AD107" i="54"/>
  <c r="AD146" i="54"/>
  <c r="AD149" i="54"/>
  <c r="AD160" i="54"/>
  <c r="AD90" i="54"/>
  <c r="AD150" i="54"/>
  <c r="AD161" i="54"/>
  <c r="AD127" i="54"/>
  <c r="J38" i="54"/>
  <c r="H75" i="54"/>
  <c r="H85" i="54"/>
  <c r="H101" i="54"/>
  <c r="AD68" i="54"/>
  <c r="AD117" i="54"/>
  <c r="AD122" i="54"/>
  <c r="AD93" i="54"/>
  <c r="H106" i="54"/>
  <c r="J13" i="54"/>
  <c r="J29" i="54"/>
  <c r="J17" i="54"/>
  <c r="AD64" i="54"/>
  <c r="AD20" i="54"/>
  <c r="AD25" i="54"/>
  <c r="AD46" i="54"/>
  <c r="AD54" i="54"/>
  <c r="AD77" i="54"/>
  <c r="AD106" i="54"/>
  <c r="AD139" i="54"/>
  <c r="AD33" i="54"/>
  <c r="AD43" i="54"/>
  <c r="AD44" i="54"/>
  <c r="AD104" i="54"/>
  <c r="AD9" i="54"/>
  <c r="AD97" i="54"/>
  <c r="AD135" i="54"/>
  <c r="AD12" i="54"/>
  <c r="AD15" i="54"/>
  <c r="AD65" i="54"/>
  <c r="AD102" i="54"/>
  <c r="H137" i="54"/>
  <c r="H142" i="54"/>
  <c r="AD132" i="54"/>
  <c r="H153" i="54"/>
  <c r="AD8" i="54"/>
  <c r="AD17" i="54"/>
  <c r="J68" i="54"/>
  <c r="AD18" i="54"/>
  <c r="AD23" i="54"/>
  <c r="AD19" i="54"/>
  <c r="AD22" i="54"/>
  <c r="AD56" i="54"/>
  <c r="AD80" i="54"/>
  <c r="AD123" i="54"/>
  <c r="J108" i="54"/>
  <c r="J112" i="54"/>
  <c r="J159" i="54"/>
  <c r="J49" i="54"/>
  <c r="J91" i="54"/>
  <c r="J95" i="54"/>
  <c r="J116" i="54"/>
  <c r="J148" i="54"/>
  <c r="J22" i="54"/>
  <c r="H30" i="54"/>
  <c r="J44" i="54"/>
  <c r="H63" i="54"/>
  <c r="H86" i="54"/>
  <c r="H90" i="54"/>
  <c r="J111" i="54"/>
  <c r="H117" i="54"/>
  <c r="J127" i="54"/>
  <c r="H39" i="54"/>
  <c r="H48" i="54"/>
  <c r="H76" i="54"/>
  <c r="H96" i="54"/>
  <c r="H121" i="54"/>
  <c r="H132" i="54"/>
  <c r="H6" i="54"/>
  <c r="H23" i="54"/>
  <c r="H27" i="54"/>
  <c r="H43" i="54"/>
  <c r="H80" i="54"/>
  <c r="W159" i="46"/>
  <c r="F93" i="47"/>
  <c r="F92" i="47"/>
  <c r="E93" i="47"/>
  <c r="E92" i="47"/>
  <c r="E90" i="47"/>
  <c r="G90" i="47" s="1"/>
  <c r="H90" i="47" s="1"/>
  <c r="O153" i="54" s="1"/>
  <c r="V153" i="54" s="1"/>
  <c r="K8" i="4"/>
  <c r="W159" i="54" s="1"/>
  <c r="K7" i="4"/>
  <c r="W158" i="54" s="1"/>
  <c r="G93" i="47" l="1"/>
  <c r="H93" i="47" s="1"/>
  <c r="O159" i="54" s="1"/>
  <c r="K159" i="54" s="1"/>
  <c r="J142" i="54"/>
  <c r="J137" i="54"/>
  <c r="J75" i="54"/>
  <c r="J101" i="54"/>
  <c r="O153" i="46"/>
  <c r="J85" i="54"/>
  <c r="J106" i="54"/>
  <c r="U153" i="54"/>
  <c r="C153" i="54"/>
  <c r="T153" i="54"/>
  <c r="P153" i="54"/>
  <c r="K153" i="54"/>
  <c r="BL37" i="39" s="1"/>
  <c r="J153" i="54"/>
  <c r="T159" i="54"/>
  <c r="AC159" i="54" s="1"/>
  <c r="P159" i="54"/>
  <c r="C159" i="54"/>
  <c r="V159" i="54"/>
  <c r="U159" i="54"/>
  <c r="O159" i="46"/>
  <c r="W158" i="46"/>
  <c r="J76" i="54"/>
  <c r="J63" i="54"/>
  <c r="J39" i="54"/>
  <c r="J6" i="54"/>
  <c r="J30" i="54"/>
  <c r="J48" i="54"/>
  <c r="J23" i="54"/>
  <c r="J117" i="54"/>
  <c r="J132" i="54"/>
  <c r="J90" i="54"/>
  <c r="J43" i="54"/>
  <c r="J27" i="54"/>
  <c r="J121" i="54"/>
  <c r="J80" i="54"/>
  <c r="J96" i="54"/>
  <c r="J86" i="54"/>
  <c r="G92" i="47"/>
  <c r="H92" i="47" s="1"/>
  <c r="P25" i="29"/>
  <c r="P24" i="29"/>
  <c r="P16" i="29"/>
  <c r="O158" i="54" l="1"/>
  <c r="O158" i="46"/>
  <c r="U158" i="46" s="1"/>
  <c r="AC153" i="54"/>
  <c r="N159" i="46"/>
  <c r="H159" i="46" s="1"/>
  <c r="C159" i="46"/>
  <c r="P159" i="46"/>
  <c r="AR161" i="46"/>
  <c r="BA161" i="46" s="1"/>
  <c r="AM161" i="46"/>
  <c r="AR160" i="46"/>
  <c r="BA160" i="46" s="1"/>
  <c r="AM160" i="46"/>
  <c r="AR159" i="46"/>
  <c r="BA159" i="46" s="1"/>
  <c r="AM159" i="46"/>
  <c r="Z159" i="46"/>
  <c r="AR158" i="46"/>
  <c r="BA158" i="46" s="1"/>
  <c r="AM158" i="46"/>
  <c r="P158" i="46"/>
  <c r="N158" i="46"/>
  <c r="AR156" i="46"/>
  <c r="BA156" i="46" s="1"/>
  <c r="AM156" i="46"/>
  <c r="AR155" i="46"/>
  <c r="BA155" i="46" s="1"/>
  <c r="AM155" i="46"/>
  <c r="AR154" i="46"/>
  <c r="BA154" i="46" s="1"/>
  <c r="AM154" i="46"/>
  <c r="AC154" i="46"/>
  <c r="Z154" i="46"/>
  <c r="AR153" i="46"/>
  <c r="BA153" i="46" s="1"/>
  <c r="AM153" i="46"/>
  <c r="U153" i="46"/>
  <c r="N153" i="46"/>
  <c r="I38" i="4"/>
  <c r="I92" i="47" s="1"/>
  <c r="Q47" i="4"/>
  <c r="Y9" i="4"/>
  <c r="X9" i="4"/>
  <c r="Y8" i="4"/>
  <c r="X7" i="4"/>
  <c r="Y7" i="4"/>
  <c r="W6" i="4"/>
  <c r="W16" i="4" s="1"/>
  <c r="W17" i="4" s="1"/>
  <c r="V6" i="4"/>
  <c r="Q41" i="4"/>
  <c r="Q42" i="4" s="1"/>
  <c r="P34" i="4"/>
  <c r="R31" i="4"/>
  <c r="R41" i="4" s="1"/>
  <c r="P31" i="4"/>
  <c r="S31" i="4" s="1"/>
  <c r="S41" i="4" s="1"/>
  <c r="Q28" i="4"/>
  <c r="Q29" i="4" s="1"/>
  <c r="P21" i="4"/>
  <c r="R18" i="4"/>
  <c r="R28" i="4" s="1"/>
  <c r="P18" i="4"/>
  <c r="S18" i="4" s="1"/>
  <c r="S28" i="4" s="1"/>
  <c r="Q8" i="4"/>
  <c r="R8" i="4" s="1"/>
  <c r="Q7" i="4"/>
  <c r="R7" i="4" s="1"/>
  <c r="Q6" i="4"/>
  <c r="R6" i="4" s="1"/>
  <c r="P9" i="4"/>
  <c r="P8" i="4"/>
  <c r="P7" i="4"/>
  <c r="P6" i="4"/>
  <c r="J4" i="4"/>
  <c r="F14" i="37"/>
  <c r="F23" i="37"/>
  <c r="I38" i="37"/>
  <c r="I90" i="47" s="1"/>
  <c r="G42" i="37"/>
  <c r="I37" i="37" s="1"/>
  <c r="F42" i="37"/>
  <c r="Q16" i="37"/>
  <c r="Q17" i="37" s="1"/>
  <c r="P9" i="37"/>
  <c r="R8" i="37"/>
  <c r="P8" i="37"/>
  <c r="S8" i="37" s="1"/>
  <c r="R7" i="37"/>
  <c r="P7" i="37"/>
  <c r="S7" i="37" s="1"/>
  <c r="R6" i="37"/>
  <c r="P6" i="37"/>
  <c r="S6" i="37" s="1"/>
  <c r="J4" i="37"/>
  <c r="S8" i="4" l="1"/>
  <c r="AD158" i="46"/>
  <c r="Q16" i="4"/>
  <c r="Q17" i="4" s="1"/>
  <c r="S42" i="4"/>
  <c r="R42" i="4"/>
  <c r="S6" i="4"/>
  <c r="AD154" i="46"/>
  <c r="C158" i="46"/>
  <c r="N38" i="39" s="1"/>
  <c r="AD159" i="46"/>
  <c r="S16" i="37"/>
  <c r="S17" i="37" s="1"/>
  <c r="AD153" i="46"/>
  <c r="AD155" i="46"/>
  <c r="T158" i="46"/>
  <c r="K158" i="54"/>
  <c r="U158" i="54"/>
  <c r="AA158" i="54" s="1"/>
  <c r="P158" i="54"/>
  <c r="V158" i="54"/>
  <c r="T158" i="54"/>
  <c r="C158" i="54"/>
  <c r="R16" i="37"/>
  <c r="R17" i="37" s="1"/>
  <c r="S7" i="4"/>
  <c r="V158" i="46"/>
  <c r="T159" i="46"/>
  <c r="V153" i="46"/>
  <c r="AD161" i="46"/>
  <c r="AD160" i="46"/>
  <c r="J159" i="46"/>
  <c r="K159" i="46"/>
  <c r="V159" i="46"/>
  <c r="U159" i="46"/>
  <c r="AA158" i="46" s="1"/>
  <c r="H158" i="46"/>
  <c r="AD156" i="46"/>
  <c r="P153" i="46"/>
  <c r="T153" i="46"/>
  <c r="C153" i="46"/>
  <c r="N37" i="39" s="1"/>
  <c r="H153" i="46"/>
  <c r="X6" i="4"/>
  <c r="X8" i="4"/>
  <c r="Y6" i="4"/>
  <c r="Y16" i="4" s="1"/>
  <c r="Y17" i="4" s="1"/>
  <c r="S29" i="4"/>
  <c r="R29" i="4"/>
  <c r="R16" i="4"/>
  <c r="R17" i="4" s="1"/>
  <c r="AC17" i="50"/>
  <c r="AC7" i="50"/>
  <c r="AB4" i="50"/>
  <c r="AB3" i="50"/>
  <c r="AC4" i="50"/>
  <c r="AC3" i="50"/>
  <c r="W6" i="50"/>
  <c r="X7" i="50"/>
  <c r="AA7" i="50"/>
  <c r="S16" i="4" l="1"/>
  <c r="S17" i="4" s="1"/>
  <c r="AC158" i="54"/>
  <c r="AC159" i="46"/>
  <c r="AB158" i="54"/>
  <c r="X158" i="54"/>
  <c r="BL38" i="39"/>
  <c r="K158" i="46"/>
  <c r="L38" i="39" s="1"/>
  <c r="J158" i="46"/>
  <c r="K153" i="46"/>
  <c r="L37" i="39" s="1"/>
  <c r="J153" i="46"/>
  <c r="X16" i="4"/>
  <c r="X17" i="4" s="1"/>
  <c r="AC158" i="46" l="1"/>
  <c r="AB158" i="46"/>
  <c r="X158" i="46"/>
  <c r="AC153" i="46"/>
  <c r="E88" i="47" l="1"/>
  <c r="G88" i="47" s="1"/>
  <c r="H88" i="47" s="1"/>
  <c r="O148" i="54" l="1"/>
  <c r="O148" i="46"/>
  <c r="AR151" i="46"/>
  <c r="BA151" i="46" s="1"/>
  <c r="AD151" i="46" s="1"/>
  <c r="AM151" i="46"/>
  <c r="AR150" i="46"/>
  <c r="BA150" i="46" s="1"/>
  <c r="AM150" i="46"/>
  <c r="AR149" i="46"/>
  <c r="BA149" i="46" s="1"/>
  <c r="AM149" i="46"/>
  <c r="AC149" i="46"/>
  <c r="Z149" i="46"/>
  <c r="AR148" i="46"/>
  <c r="BA148" i="46" s="1"/>
  <c r="AM148" i="46"/>
  <c r="U148" i="46"/>
  <c r="N148" i="46"/>
  <c r="H148" i="46" s="1"/>
  <c r="F14" i="6"/>
  <c r="F23" i="6"/>
  <c r="I38" i="6"/>
  <c r="I88" i="47" s="1"/>
  <c r="G42" i="6"/>
  <c r="I37" i="6" s="1"/>
  <c r="F42" i="6"/>
  <c r="P8" i="6"/>
  <c r="S8" i="6" s="1"/>
  <c r="P7" i="6"/>
  <c r="S7" i="6" s="1"/>
  <c r="Q16" i="6"/>
  <c r="Q17" i="6" s="1"/>
  <c r="P9" i="6"/>
  <c r="R8" i="6"/>
  <c r="R7" i="6"/>
  <c r="R6" i="6"/>
  <c r="P6" i="6"/>
  <c r="S6" i="6" s="1"/>
  <c r="J4" i="6"/>
  <c r="R16" i="6" l="1"/>
  <c r="AD148" i="46"/>
  <c r="R17" i="6"/>
  <c r="V148" i="46"/>
  <c r="K148" i="46"/>
  <c r="L36" i="39" s="1"/>
  <c r="C148" i="54"/>
  <c r="U148" i="54"/>
  <c r="T148" i="54"/>
  <c r="P148" i="54"/>
  <c r="V148" i="54"/>
  <c r="K148" i="54"/>
  <c r="AD150" i="46"/>
  <c r="AD149" i="46"/>
  <c r="J148" i="46"/>
  <c r="T148" i="46"/>
  <c r="AC148" i="46" s="1"/>
  <c r="P148" i="46"/>
  <c r="C148" i="46"/>
  <c r="N36" i="39" s="1"/>
  <c r="S16" i="6"/>
  <c r="S17" i="6" s="1"/>
  <c r="AC148" i="54" l="1"/>
  <c r="BL36" i="39"/>
  <c r="F85" i="47"/>
  <c r="E86" i="47"/>
  <c r="G86" i="47" s="1"/>
  <c r="E85" i="47"/>
  <c r="G85" i="47" l="1"/>
  <c r="H85" i="47" s="1"/>
  <c r="O142" i="54" l="1"/>
  <c r="O142" i="46"/>
  <c r="AR146" i="46"/>
  <c r="BA146" i="46" s="1"/>
  <c r="AM146" i="46"/>
  <c r="AR145" i="46"/>
  <c r="BA145" i="46" s="1"/>
  <c r="AM145" i="46"/>
  <c r="AR144" i="46"/>
  <c r="BA144" i="46" s="1"/>
  <c r="AM144" i="46"/>
  <c r="AR143" i="46"/>
  <c r="BA143" i="46" s="1"/>
  <c r="AM143" i="46"/>
  <c r="AC143" i="46"/>
  <c r="AR142" i="46"/>
  <c r="BA142" i="46" s="1"/>
  <c r="AM142" i="46"/>
  <c r="AD142" i="46" s="1"/>
  <c r="U142" i="46"/>
  <c r="N142" i="46"/>
  <c r="H142" i="46" s="1"/>
  <c r="J142" i="46" s="1"/>
  <c r="I37" i="7"/>
  <c r="F14" i="7"/>
  <c r="F23" i="7"/>
  <c r="I38" i="7"/>
  <c r="I85" i="47" s="1"/>
  <c r="G42" i="7"/>
  <c r="F42" i="7"/>
  <c r="N39" i="7"/>
  <c r="R19" i="7"/>
  <c r="P19" i="7"/>
  <c r="S19" i="7" s="1"/>
  <c r="P18" i="7"/>
  <c r="P21" i="7"/>
  <c r="P20" i="7"/>
  <c r="Q7" i="7"/>
  <c r="Q6" i="7"/>
  <c r="R6" i="7" s="1"/>
  <c r="P9" i="7"/>
  <c r="P8" i="7"/>
  <c r="R7" i="7"/>
  <c r="P7" i="7"/>
  <c r="S7" i="7" s="1"/>
  <c r="P6" i="7"/>
  <c r="S6" i="7" l="1"/>
  <c r="Q8" i="7"/>
  <c r="R8" i="7" s="1"/>
  <c r="V142" i="46"/>
  <c r="U142" i="54"/>
  <c r="C142" i="54"/>
  <c r="T142" i="54"/>
  <c r="P142" i="54"/>
  <c r="V142" i="54"/>
  <c r="K142" i="54"/>
  <c r="AD146" i="46"/>
  <c r="AD145" i="46"/>
  <c r="AD144" i="46"/>
  <c r="AD143" i="46"/>
  <c r="K142" i="46"/>
  <c r="P142" i="46"/>
  <c r="T142" i="46"/>
  <c r="C142" i="46"/>
  <c r="N35" i="39" s="1"/>
  <c r="S8" i="7"/>
  <c r="S18" i="7"/>
  <c r="R18" i="7"/>
  <c r="Q16" i="7"/>
  <c r="Q17" i="7" s="1"/>
  <c r="R16" i="7"/>
  <c r="R17" i="7" s="1"/>
  <c r="S16" i="7"/>
  <c r="S17" i="7" s="1"/>
  <c r="J4" i="7"/>
  <c r="AC142" i="54" l="1"/>
  <c r="BL35" i="39"/>
  <c r="AC142" i="46"/>
  <c r="L35" i="39"/>
  <c r="S20" i="7"/>
  <c r="S28" i="7" s="1"/>
  <c r="R20" i="7"/>
  <c r="R28" i="7" s="1"/>
  <c r="Q28" i="7"/>
  <c r="Q29" i="7" s="1"/>
  <c r="KV16" i="1"/>
  <c r="KV36" i="1"/>
  <c r="KV10" i="1"/>
  <c r="KV11" i="1"/>
  <c r="KV12" i="1"/>
  <c r="KV13" i="1"/>
  <c r="KV14" i="1"/>
  <c r="KV15" i="1"/>
  <c r="KV17" i="1"/>
  <c r="KV18" i="1"/>
  <c r="KV19" i="1"/>
  <c r="KV20" i="1"/>
  <c r="KV21" i="1"/>
  <c r="KV22" i="1"/>
  <c r="KV23" i="1"/>
  <c r="KV24" i="1"/>
  <c r="KV25" i="1"/>
  <c r="KV26" i="1"/>
  <c r="KV27" i="1"/>
  <c r="KV28" i="1"/>
  <c r="KV29" i="1"/>
  <c r="KV30" i="1"/>
  <c r="KV31" i="1"/>
  <c r="KV32" i="1"/>
  <c r="KV33" i="1"/>
  <c r="KV34" i="1"/>
  <c r="KV9" i="1"/>
  <c r="S29" i="7" l="1"/>
  <c r="R29" i="7"/>
  <c r="F83" i="47" l="1"/>
  <c r="E83" i="47"/>
  <c r="G83" i="47" l="1"/>
  <c r="H83" i="47" s="1"/>
  <c r="Z3" i="50"/>
  <c r="Z4" i="50"/>
  <c r="AA4" i="50"/>
  <c r="AA3" i="50"/>
  <c r="O137" i="54" l="1"/>
  <c r="O137" i="46"/>
  <c r="C137" i="46" s="1"/>
  <c r="N34" i="39" s="1"/>
  <c r="N137" i="46"/>
  <c r="AR140" i="46"/>
  <c r="BA140" i="46" s="1"/>
  <c r="AM140" i="46"/>
  <c r="AR139" i="46"/>
  <c r="BA139" i="46" s="1"/>
  <c r="AM139" i="46"/>
  <c r="AR138" i="46"/>
  <c r="BA138" i="46" s="1"/>
  <c r="AM138" i="46"/>
  <c r="AC138" i="46"/>
  <c r="AR137" i="46"/>
  <c r="BA137" i="46" s="1"/>
  <c r="AM137" i="46"/>
  <c r="AD137" i="46" s="1"/>
  <c r="F14" i="8"/>
  <c r="F23" i="8"/>
  <c r="I38" i="8"/>
  <c r="I83" i="47" s="1"/>
  <c r="P7" i="8"/>
  <c r="S7" i="8" s="1"/>
  <c r="P8" i="8"/>
  <c r="S8" i="8" s="1"/>
  <c r="R8" i="8"/>
  <c r="Q16" i="8"/>
  <c r="Q17" i="8" s="1"/>
  <c r="R6" i="8"/>
  <c r="P6" i="8"/>
  <c r="S6" i="8" s="1"/>
  <c r="J4" i="8"/>
  <c r="V137" i="46" l="1"/>
  <c r="AD138" i="46"/>
  <c r="C137" i="54"/>
  <c r="U137" i="54"/>
  <c r="T137" i="54"/>
  <c r="P137" i="54"/>
  <c r="V137" i="54"/>
  <c r="K137" i="54"/>
  <c r="AD140" i="46"/>
  <c r="AD139" i="46"/>
  <c r="U137" i="46"/>
  <c r="P137" i="46"/>
  <c r="T137" i="46"/>
  <c r="H137" i="46"/>
  <c r="S16" i="8"/>
  <c r="S17" i="8" s="1"/>
  <c r="R7" i="8"/>
  <c r="R16" i="8" s="1"/>
  <c r="R17" i="8" s="1"/>
  <c r="W133" i="46"/>
  <c r="F81" i="47"/>
  <c r="E81" i="47"/>
  <c r="G81" i="47" s="1"/>
  <c r="H81" i="47" s="1"/>
  <c r="E80" i="47"/>
  <c r="G80" i="47" s="1"/>
  <c r="H80" i="47" s="1"/>
  <c r="O132" i="54" s="1"/>
  <c r="K9" i="9"/>
  <c r="W132" i="54" s="1"/>
  <c r="K7" i="9"/>
  <c r="W133" i="54" s="1"/>
  <c r="O133" i="54" l="1"/>
  <c r="O133" i="46"/>
  <c r="C132" i="54"/>
  <c r="U132" i="54"/>
  <c r="T132" i="54"/>
  <c r="P132" i="54"/>
  <c r="V132" i="54"/>
  <c r="K132" i="54"/>
  <c r="O132" i="46"/>
  <c r="AC137" i="54"/>
  <c r="BL34" i="39"/>
  <c r="W132" i="46"/>
  <c r="J137" i="46"/>
  <c r="K137" i="46"/>
  <c r="N133" i="46"/>
  <c r="H133" i="46" s="1"/>
  <c r="C133" i="46"/>
  <c r="AR135" i="46"/>
  <c r="BA135" i="46" s="1"/>
  <c r="AM135" i="46"/>
  <c r="AD135" i="46" s="1"/>
  <c r="AR134" i="46"/>
  <c r="BA134" i="46" s="1"/>
  <c r="AM134" i="46"/>
  <c r="AR133" i="46"/>
  <c r="BA133" i="46" s="1"/>
  <c r="AM133" i="46"/>
  <c r="AR132" i="46"/>
  <c r="BA132" i="46" s="1"/>
  <c r="AM132" i="46"/>
  <c r="Y132" i="46"/>
  <c r="U132" i="46"/>
  <c r="T132" i="46"/>
  <c r="P132" i="46"/>
  <c r="N132" i="46"/>
  <c r="V132" i="46" s="1"/>
  <c r="H132" i="46"/>
  <c r="K132" i="46" s="1"/>
  <c r="C132" i="46"/>
  <c r="F14" i="9"/>
  <c r="F23" i="9"/>
  <c r="I38" i="9"/>
  <c r="I80" i="47" s="1"/>
  <c r="V32" i="9"/>
  <c r="Y32" i="9" s="1"/>
  <c r="W41" i="9"/>
  <c r="W42" i="9" s="1"/>
  <c r="X33" i="9"/>
  <c r="Y33" i="9"/>
  <c r="X32" i="9"/>
  <c r="X31" i="9"/>
  <c r="V31" i="9"/>
  <c r="Y31" i="9" s="1"/>
  <c r="R33" i="9"/>
  <c r="P33" i="9"/>
  <c r="S33" i="9" s="1"/>
  <c r="Q32" i="9"/>
  <c r="R32" i="9" s="1"/>
  <c r="P32" i="9"/>
  <c r="S32" i="9" s="1"/>
  <c r="R31" i="9"/>
  <c r="P31" i="9"/>
  <c r="S31" i="9" s="1"/>
  <c r="S41" i="9" s="1"/>
  <c r="P18" i="9"/>
  <c r="S18" i="9" s="1"/>
  <c r="R20" i="9"/>
  <c r="P20" i="9"/>
  <c r="S20" i="9" s="1"/>
  <c r="P19" i="9"/>
  <c r="Q19" i="9"/>
  <c r="Q6" i="9"/>
  <c r="Q7" i="9" s="1"/>
  <c r="P7" i="9"/>
  <c r="S7" i="9" s="1"/>
  <c r="P6" i="9"/>
  <c r="R8" i="9"/>
  <c r="P8" i="9"/>
  <c r="S8" i="9" s="1"/>
  <c r="J4" i="9"/>
  <c r="R6" i="9" l="1"/>
  <c r="S6" i="9"/>
  <c r="X41" i="9"/>
  <c r="X42" i="9" s="1"/>
  <c r="R7" i="9"/>
  <c r="R16" i="9" s="1"/>
  <c r="Q16" i="9"/>
  <c r="Q17" i="9" s="1"/>
  <c r="Y41" i="9"/>
  <c r="Y42" i="9" s="1"/>
  <c r="R41" i="9"/>
  <c r="AC132" i="54"/>
  <c r="AD132" i="46"/>
  <c r="AD133" i="46"/>
  <c r="T133" i="54"/>
  <c r="P133" i="54"/>
  <c r="V133" i="54"/>
  <c r="U133" i="54"/>
  <c r="AA132" i="54" s="1"/>
  <c r="C133" i="54"/>
  <c r="K133" i="54"/>
  <c r="X132" i="54" s="1"/>
  <c r="N33" i="39"/>
  <c r="AC132" i="46"/>
  <c r="AC137" i="46"/>
  <c r="L34" i="39"/>
  <c r="AD134" i="46"/>
  <c r="J133" i="46"/>
  <c r="K133" i="46"/>
  <c r="L33" i="39" s="1"/>
  <c r="T133" i="46"/>
  <c r="P133" i="46"/>
  <c r="V133" i="46"/>
  <c r="U133" i="46"/>
  <c r="AA132" i="46" s="1"/>
  <c r="J132" i="46"/>
  <c r="Q41" i="9"/>
  <c r="Q42" i="9" s="1"/>
  <c r="R19" i="9"/>
  <c r="S19" i="9"/>
  <c r="S28" i="9" s="1"/>
  <c r="R18" i="9"/>
  <c r="Q28" i="9"/>
  <c r="Q29" i="9" s="1"/>
  <c r="S16" i="9"/>
  <c r="E78" i="47"/>
  <c r="G78" i="47" s="1"/>
  <c r="H78" i="47" s="1"/>
  <c r="R17" i="9" l="1"/>
  <c r="S17" i="9"/>
  <c r="AC133" i="54"/>
  <c r="AB132" i="54" s="1"/>
  <c r="O127" i="54"/>
  <c r="O127" i="46"/>
  <c r="R42" i="9"/>
  <c r="S42" i="9"/>
  <c r="BL33" i="39"/>
  <c r="S29" i="9"/>
  <c r="X132" i="46"/>
  <c r="AC133" i="46"/>
  <c r="AB132" i="46" s="1"/>
  <c r="R28" i="9"/>
  <c r="R29" i="9" s="1"/>
  <c r="V127" i="54" l="1"/>
  <c r="P127" i="54"/>
  <c r="T127" i="54"/>
  <c r="C127" i="54"/>
  <c r="U127" i="54"/>
  <c r="K127" i="54"/>
  <c r="BL32" i="39" s="1"/>
  <c r="AC127" i="54" l="1"/>
  <c r="Y4" i="50"/>
  <c r="Y3" i="50"/>
  <c r="X4" i="50"/>
  <c r="X3" i="50"/>
  <c r="W3" i="50"/>
  <c r="W4" i="50"/>
  <c r="I7" i="50"/>
  <c r="I6" i="50"/>
  <c r="I4" i="50"/>
  <c r="I3" i="50"/>
  <c r="AR130" i="46" l="1"/>
  <c r="BA130" i="46" s="1"/>
  <c r="AM130" i="46"/>
  <c r="AR129" i="46"/>
  <c r="BA129" i="46" s="1"/>
  <c r="AM129" i="46"/>
  <c r="AR128" i="46"/>
  <c r="BA128" i="46" s="1"/>
  <c r="AM128" i="46"/>
  <c r="AC128" i="46"/>
  <c r="AR127" i="46"/>
  <c r="BA127" i="46" s="1"/>
  <c r="AD127" i="46" s="1"/>
  <c r="AM127" i="46"/>
  <c r="Y127" i="46"/>
  <c r="U127" i="46"/>
  <c r="N127" i="46"/>
  <c r="V127" i="46" s="1"/>
  <c r="F14" i="10"/>
  <c r="F23" i="10"/>
  <c r="I38" i="10"/>
  <c r="I78" i="47" s="1"/>
  <c r="P8" i="10"/>
  <c r="S8" i="10" s="1"/>
  <c r="P7" i="10"/>
  <c r="Q16" i="10"/>
  <c r="Q17" i="10" s="1"/>
  <c r="R8" i="10"/>
  <c r="R6" i="10"/>
  <c r="P6" i="10"/>
  <c r="S6" i="10" s="1"/>
  <c r="J4" i="10"/>
  <c r="AD130" i="46" l="1"/>
  <c r="AD128" i="46"/>
  <c r="AD129" i="46"/>
  <c r="P127" i="46"/>
  <c r="T127" i="46"/>
  <c r="C127" i="46"/>
  <c r="N32" i="39" s="1"/>
  <c r="H127" i="46"/>
  <c r="S7" i="10"/>
  <c r="S16" i="10" s="1"/>
  <c r="S17" i="10" s="1"/>
  <c r="R7" i="10"/>
  <c r="R16" i="10" s="1"/>
  <c r="R17" i="10" s="1"/>
  <c r="Z122" i="46"/>
  <c r="Z117" i="46"/>
  <c r="Z116" i="46"/>
  <c r="Z112" i="46"/>
  <c r="Z80" i="46"/>
  <c r="Z68" i="46"/>
  <c r="Z63" i="46"/>
  <c r="Z44" i="46"/>
  <c r="Z39" i="46"/>
  <c r="Z29" i="46"/>
  <c r="F76" i="47"/>
  <c r="E76" i="47"/>
  <c r="E75" i="47"/>
  <c r="G75" i="47"/>
  <c r="K9" i="12"/>
  <c r="W117" i="54" s="1"/>
  <c r="C7" i="12"/>
  <c r="K19" i="12" s="1"/>
  <c r="F72" i="47"/>
  <c r="E73" i="47"/>
  <c r="E72" i="47"/>
  <c r="G73" i="47"/>
  <c r="G72" i="47"/>
  <c r="H72" i="47" s="1"/>
  <c r="O117" i="54" s="1"/>
  <c r="E71" i="47"/>
  <c r="G71" i="47" s="1"/>
  <c r="H71" i="47" s="1"/>
  <c r="O116" i="54" s="1"/>
  <c r="O116" i="46" l="1"/>
  <c r="W116" i="54"/>
  <c r="W116" i="46"/>
  <c r="U117" i="54"/>
  <c r="V117" i="54"/>
  <c r="T117" i="54"/>
  <c r="P117" i="54"/>
  <c r="C117" i="54"/>
  <c r="K117" i="54"/>
  <c r="O117" i="46"/>
  <c r="W117" i="46"/>
  <c r="U116" i="54"/>
  <c r="P116" i="54"/>
  <c r="T116" i="54"/>
  <c r="C116" i="54"/>
  <c r="V116" i="54"/>
  <c r="K116" i="54"/>
  <c r="K127" i="46"/>
  <c r="L32" i="39" s="1"/>
  <c r="J127" i="46"/>
  <c r="G76" i="47"/>
  <c r="H75" i="47"/>
  <c r="AA116" i="54" l="1"/>
  <c r="AC117" i="54"/>
  <c r="O121" i="54"/>
  <c r="O121" i="46"/>
  <c r="C121" i="46" s="1"/>
  <c r="AC116" i="54"/>
  <c r="BL30" i="39"/>
  <c r="AB116" i="54"/>
  <c r="X116" i="54"/>
  <c r="AC127" i="46"/>
  <c r="C121" i="54" l="1"/>
  <c r="T121" i="54"/>
  <c r="U121" i="54"/>
  <c r="P121" i="54"/>
  <c r="V121" i="54"/>
  <c r="K121" i="54"/>
  <c r="DW31" i="2"/>
  <c r="AC121" i="54" l="1"/>
  <c r="BL31" i="39"/>
  <c r="AM125" i="46"/>
  <c r="AR125" i="46"/>
  <c r="BA125" i="46" s="1"/>
  <c r="U121" i="46"/>
  <c r="N121" i="46"/>
  <c r="H121" i="46" s="1"/>
  <c r="AR124" i="46"/>
  <c r="BA124" i="46" s="1"/>
  <c r="AM124" i="46"/>
  <c r="AR123" i="46"/>
  <c r="BA123" i="46" s="1"/>
  <c r="AM123" i="46"/>
  <c r="AR122" i="46"/>
  <c r="BA122" i="46" s="1"/>
  <c r="AM122" i="46"/>
  <c r="AR121" i="46"/>
  <c r="BA121" i="46" s="1"/>
  <c r="AM121" i="46"/>
  <c r="Y121" i="46"/>
  <c r="U116" i="46"/>
  <c r="N116" i="46"/>
  <c r="AR119" i="46"/>
  <c r="BA119" i="46" s="1"/>
  <c r="AM119" i="46"/>
  <c r="AD119" i="46" s="1"/>
  <c r="AR118" i="46"/>
  <c r="BA118" i="46" s="1"/>
  <c r="AM118" i="46"/>
  <c r="AR117" i="46"/>
  <c r="BA117" i="46" s="1"/>
  <c r="AM117" i="46"/>
  <c r="U117" i="46"/>
  <c r="T117" i="46"/>
  <c r="P117" i="46"/>
  <c r="N117" i="46"/>
  <c r="C117" i="46"/>
  <c r="AR116" i="46"/>
  <c r="BA116" i="46" s="1"/>
  <c r="AM116" i="46"/>
  <c r="F14" i="11"/>
  <c r="F23" i="11"/>
  <c r="I38" i="11"/>
  <c r="I75" i="47" s="1"/>
  <c r="P6" i="11"/>
  <c r="R33" i="11"/>
  <c r="P33" i="11"/>
  <c r="S33" i="11" s="1"/>
  <c r="Q32" i="11"/>
  <c r="S32" i="11" s="1"/>
  <c r="R31" i="11"/>
  <c r="P31" i="11"/>
  <c r="S31" i="11" s="1"/>
  <c r="R20" i="11"/>
  <c r="P20" i="11"/>
  <c r="S20" i="11" s="1"/>
  <c r="Q19" i="11"/>
  <c r="S19" i="11" s="1"/>
  <c r="R18" i="11"/>
  <c r="P18" i="11"/>
  <c r="S18" i="11" s="1"/>
  <c r="R8" i="11"/>
  <c r="P8" i="11"/>
  <c r="S8" i="11" s="1"/>
  <c r="J4" i="11"/>
  <c r="F14" i="12"/>
  <c r="F23" i="12"/>
  <c r="I38" i="12"/>
  <c r="I71" i="47" s="1"/>
  <c r="Q46" i="12"/>
  <c r="Y21" i="12"/>
  <c r="Z21" i="12"/>
  <c r="Y22" i="12"/>
  <c r="Z22" i="12"/>
  <c r="X28" i="12"/>
  <c r="X29" i="12" s="1"/>
  <c r="Z20" i="12"/>
  <c r="Y20" i="12"/>
  <c r="Y19" i="12"/>
  <c r="Z19" i="12"/>
  <c r="Y18" i="12"/>
  <c r="W18" i="12"/>
  <c r="Z18" i="12" s="1"/>
  <c r="Q31" i="12"/>
  <c r="Q32" i="12" s="1"/>
  <c r="R32" i="12" s="1"/>
  <c r="P32" i="12"/>
  <c r="S32" i="12" s="1"/>
  <c r="R33" i="12"/>
  <c r="P33" i="12"/>
  <c r="S33" i="12" s="1"/>
  <c r="P31" i="12"/>
  <c r="P18" i="12"/>
  <c r="S18" i="12" s="1"/>
  <c r="R20" i="12"/>
  <c r="P20" i="12"/>
  <c r="S20" i="12" s="1"/>
  <c r="P19" i="12"/>
  <c r="Q19" i="12"/>
  <c r="Q6" i="12"/>
  <c r="Q7" i="12" s="1"/>
  <c r="R7" i="12" s="1"/>
  <c r="R8" i="12"/>
  <c r="P8" i="12"/>
  <c r="S8" i="12" s="1"/>
  <c r="P7" i="12"/>
  <c r="P6" i="12"/>
  <c r="J4" i="12"/>
  <c r="S31" i="12" l="1"/>
  <c r="R31" i="12"/>
  <c r="R41" i="12" s="1"/>
  <c r="Q41" i="11"/>
  <c r="Q42" i="11" s="1"/>
  <c r="Q28" i="11"/>
  <c r="Q29" i="11" s="1"/>
  <c r="K121" i="46"/>
  <c r="J121" i="46"/>
  <c r="R6" i="12"/>
  <c r="AD116" i="46"/>
  <c r="AD122" i="46"/>
  <c r="S7" i="12"/>
  <c r="R32" i="11"/>
  <c r="R41" i="11" s="1"/>
  <c r="R42" i="11" s="1"/>
  <c r="Q16" i="12"/>
  <c r="Q17" i="12" s="1"/>
  <c r="S6" i="12"/>
  <c r="Q41" i="12"/>
  <c r="Q42" i="12" s="1"/>
  <c r="V121" i="46"/>
  <c r="V116" i="46"/>
  <c r="V117" i="46"/>
  <c r="AD125" i="46"/>
  <c r="AD124" i="46"/>
  <c r="AD123" i="46"/>
  <c r="P121" i="46"/>
  <c r="T121" i="46"/>
  <c r="N31" i="39"/>
  <c r="AD121" i="46"/>
  <c r="AC122" i="46"/>
  <c r="AD118" i="46"/>
  <c r="AA116" i="46"/>
  <c r="P116" i="46"/>
  <c r="T116" i="46"/>
  <c r="C116" i="46"/>
  <c r="N30" i="39" s="1"/>
  <c r="H116" i="46"/>
  <c r="AD117" i="46"/>
  <c r="H117" i="46"/>
  <c r="S41" i="11"/>
  <c r="S42" i="11" s="1"/>
  <c r="S28" i="11"/>
  <c r="S29" i="11" s="1"/>
  <c r="R19" i="11"/>
  <c r="R28" i="11" s="1"/>
  <c r="R29" i="11" s="1"/>
  <c r="S6" i="11"/>
  <c r="R6" i="11"/>
  <c r="Q7" i="11"/>
  <c r="R7" i="11" s="1"/>
  <c r="Y28" i="12"/>
  <c r="Y29" i="12" s="1"/>
  <c r="Z28" i="12"/>
  <c r="Z29" i="12" s="1"/>
  <c r="S41" i="12"/>
  <c r="R19" i="12"/>
  <c r="S19" i="12"/>
  <c r="S28" i="12" s="1"/>
  <c r="R18" i="12"/>
  <c r="Q28" i="12"/>
  <c r="Q29" i="12" s="1"/>
  <c r="R16" i="12"/>
  <c r="R17" i="12" s="1"/>
  <c r="P4" i="50"/>
  <c r="P3" i="50"/>
  <c r="Q3" i="50"/>
  <c r="Q4" i="50"/>
  <c r="R4" i="50"/>
  <c r="R3" i="50"/>
  <c r="S4" i="50"/>
  <c r="S3" i="50"/>
  <c r="T4" i="50"/>
  <c r="T3" i="50"/>
  <c r="U4" i="50"/>
  <c r="U3" i="50"/>
  <c r="V3" i="50"/>
  <c r="V4" i="50"/>
  <c r="R42" i="12" l="1"/>
  <c r="S16" i="12"/>
  <c r="S17" i="12" s="1"/>
  <c r="S42" i="12"/>
  <c r="L31" i="39"/>
  <c r="J116" i="46"/>
  <c r="K116" i="46"/>
  <c r="K117" i="46"/>
  <c r="AC117" i="46" s="1"/>
  <c r="J117" i="46"/>
  <c r="Q16" i="11"/>
  <c r="Q17" i="11" s="1"/>
  <c r="R16" i="11"/>
  <c r="S7" i="11"/>
  <c r="S16" i="11" s="1"/>
  <c r="S29" i="12"/>
  <c r="R28" i="12"/>
  <c r="R29" i="12" s="1"/>
  <c r="L30" i="39" l="1"/>
  <c r="AC121" i="46"/>
  <c r="AC116" i="46"/>
  <c r="AB116" i="46" s="1"/>
  <c r="X116" i="46"/>
  <c r="S17" i="11"/>
  <c r="R17" i="11"/>
  <c r="K18" i="13" l="1"/>
  <c r="W111" i="54" s="1"/>
  <c r="C25" i="13"/>
  <c r="C17" i="13"/>
  <c r="K19" i="13" s="1"/>
  <c r="E69" i="47"/>
  <c r="F68" i="47"/>
  <c r="E68" i="47"/>
  <c r="G69" i="47"/>
  <c r="H69" i="47" s="1"/>
  <c r="O112" i="54" s="1"/>
  <c r="O112" i="46" l="1"/>
  <c r="W112" i="54"/>
  <c r="W112" i="46"/>
  <c r="W111" i="46"/>
  <c r="P112" i="54"/>
  <c r="C112" i="54"/>
  <c r="V112" i="54"/>
  <c r="U112" i="54"/>
  <c r="T112" i="54"/>
  <c r="K112" i="54"/>
  <c r="AC112" i="54" s="1"/>
  <c r="G68" i="47"/>
  <c r="H68" i="47" s="1"/>
  <c r="O111" i="54" l="1"/>
  <c r="O111" i="46"/>
  <c r="F14" i="13"/>
  <c r="F23" i="13"/>
  <c r="Q48" i="13"/>
  <c r="Y41" i="13"/>
  <c r="Y42" i="13" s="1"/>
  <c r="AA32" i="13"/>
  <c r="Z32" i="13"/>
  <c r="AA31" i="13"/>
  <c r="Z31" i="13"/>
  <c r="AA21" i="13"/>
  <c r="Z21" i="13"/>
  <c r="Y28" i="13"/>
  <c r="Y29" i="13" s="1"/>
  <c r="Z20" i="13"/>
  <c r="AA20" i="13"/>
  <c r="AA19" i="13"/>
  <c r="Z19" i="13"/>
  <c r="Z18" i="13"/>
  <c r="AA18" i="13"/>
  <c r="I38" i="13"/>
  <c r="I68" i="47" s="1"/>
  <c r="G42" i="13"/>
  <c r="I37" i="13" s="1"/>
  <c r="F42" i="13"/>
  <c r="Z28" i="13" l="1"/>
  <c r="Z29" i="13" s="1"/>
  <c r="V111" i="54"/>
  <c r="C111" i="54"/>
  <c r="U111" i="54"/>
  <c r="AA111" i="54" s="1"/>
  <c r="P111" i="54"/>
  <c r="K111" i="54"/>
  <c r="T111" i="54"/>
  <c r="Z41" i="13"/>
  <c r="Z42" i="13" s="1"/>
  <c r="AA41" i="13"/>
  <c r="AA42" i="13" s="1"/>
  <c r="AA28" i="13"/>
  <c r="AA29" i="13" s="1"/>
  <c r="N112" i="46"/>
  <c r="H112" i="46" s="1"/>
  <c r="C112" i="46"/>
  <c r="U111" i="46"/>
  <c r="N111" i="46"/>
  <c r="AR114" i="46"/>
  <c r="BA114" i="46" s="1"/>
  <c r="AM114" i="46"/>
  <c r="AR113" i="46"/>
  <c r="BA113" i="46" s="1"/>
  <c r="AM113" i="46"/>
  <c r="AR112" i="46"/>
  <c r="BA112" i="46" s="1"/>
  <c r="AM112" i="46"/>
  <c r="AR111" i="46"/>
  <c r="BA111" i="46" s="1"/>
  <c r="AM111" i="46"/>
  <c r="Y111" i="46"/>
  <c r="R33" i="13"/>
  <c r="P33" i="13"/>
  <c r="S33" i="13" s="1"/>
  <c r="P32" i="13"/>
  <c r="Q32" i="13"/>
  <c r="R32" i="13" s="1"/>
  <c r="P31" i="13"/>
  <c r="S31" i="13" s="1"/>
  <c r="Q18" i="13"/>
  <c r="S18" i="13" s="1"/>
  <c r="R20" i="13"/>
  <c r="P20" i="13"/>
  <c r="S20" i="13" s="1"/>
  <c r="P19" i="13"/>
  <c r="P18" i="13"/>
  <c r="Q8" i="13"/>
  <c r="Q7" i="13"/>
  <c r="Q6" i="13"/>
  <c r="P7" i="13"/>
  <c r="P8" i="13"/>
  <c r="P6" i="13"/>
  <c r="S6" i="13" s="1"/>
  <c r="J4" i="13"/>
  <c r="AC111" i="54" l="1"/>
  <c r="S8" i="13"/>
  <c r="AB111" i="54"/>
  <c r="BL29" i="39"/>
  <c r="X111" i="54"/>
  <c r="Q19" i="13"/>
  <c r="R19" i="13" s="1"/>
  <c r="AD111" i="46"/>
  <c r="R8" i="13"/>
  <c r="R7" i="13"/>
  <c r="T112" i="46"/>
  <c r="P112" i="46"/>
  <c r="V111" i="46"/>
  <c r="AD114" i="46"/>
  <c r="AD113" i="46"/>
  <c r="AD112" i="46"/>
  <c r="J112" i="46"/>
  <c r="K112" i="46"/>
  <c r="V112" i="46"/>
  <c r="U112" i="46"/>
  <c r="AA111" i="46" s="1"/>
  <c r="P111" i="46"/>
  <c r="T111" i="46"/>
  <c r="C111" i="46"/>
  <c r="N29" i="39" s="1"/>
  <c r="H111" i="46"/>
  <c r="S32" i="13"/>
  <c r="S41" i="13" s="1"/>
  <c r="R31" i="13"/>
  <c r="R41" i="13" s="1"/>
  <c r="Q41" i="13"/>
  <c r="Q42" i="13" s="1"/>
  <c r="R18" i="13"/>
  <c r="S7" i="13"/>
  <c r="S16" i="13" s="1"/>
  <c r="R6" i="13"/>
  <c r="Q16" i="13"/>
  <c r="Q17" i="13" s="1"/>
  <c r="K18" i="14"/>
  <c r="W108" i="54" s="1"/>
  <c r="K17" i="14"/>
  <c r="W107" i="54" s="1"/>
  <c r="K16" i="14"/>
  <c r="W106" i="54" s="1"/>
  <c r="F66" i="47"/>
  <c r="E66" i="47"/>
  <c r="G66" i="47" s="1"/>
  <c r="H66" i="47" s="1"/>
  <c r="F65" i="47"/>
  <c r="E65" i="47"/>
  <c r="G65" i="47" s="1"/>
  <c r="H65" i="47" s="1"/>
  <c r="O107" i="54" s="1"/>
  <c r="E64" i="47"/>
  <c r="G64" i="47" s="1"/>
  <c r="H64" i="47" s="1"/>
  <c r="W108" i="46" l="1"/>
  <c r="AC112" i="46"/>
  <c r="O106" i="54"/>
  <c r="O106" i="46"/>
  <c r="O108" i="54"/>
  <c r="O108" i="46"/>
  <c r="V107" i="54"/>
  <c r="U107" i="54"/>
  <c r="T107" i="54"/>
  <c r="C107" i="54"/>
  <c r="P107" i="54"/>
  <c r="K107" i="54"/>
  <c r="O107" i="46"/>
  <c r="S19" i="13"/>
  <c r="S28" i="13" s="1"/>
  <c r="R16" i="13"/>
  <c r="R17" i="13" s="1"/>
  <c r="Q28" i="13"/>
  <c r="Q29" i="13" s="1"/>
  <c r="W106" i="46"/>
  <c r="R28" i="13"/>
  <c r="W107" i="46"/>
  <c r="J111" i="46"/>
  <c r="K111" i="46"/>
  <c r="L29" i="39" s="1"/>
  <c r="S42" i="13"/>
  <c r="R42" i="13"/>
  <c r="S17" i="13"/>
  <c r="I38" i="14"/>
  <c r="I64" i="47" s="1"/>
  <c r="P108" i="54" l="1"/>
  <c r="V108" i="54"/>
  <c r="C108" i="54"/>
  <c r="U108" i="54"/>
  <c r="T108" i="54"/>
  <c r="K108" i="54"/>
  <c r="AC108" i="54" s="1"/>
  <c r="S29" i="13"/>
  <c r="R29" i="13"/>
  <c r="AC107" i="54"/>
  <c r="U106" i="54"/>
  <c r="C106" i="54"/>
  <c r="P106" i="54"/>
  <c r="T106" i="54"/>
  <c r="V106" i="54"/>
  <c r="K106" i="54"/>
  <c r="AC111" i="46"/>
  <c r="AB111" i="46" s="1"/>
  <c r="X111" i="46"/>
  <c r="S107" i="46"/>
  <c r="N108" i="46"/>
  <c r="H108" i="46" s="1"/>
  <c r="C108" i="46"/>
  <c r="AR109" i="46"/>
  <c r="BA109" i="46" s="1"/>
  <c r="AM109" i="46"/>
  <c r="AD109" i="46" s="1"/>
  <c r="AR108" i="46"/>
  <c r="BA108" i="46" s="1"/>
  <c r="AM108" i="46"/>
  <c r="AR107" i="46"/>
  <c r="BA107" i="46" s="1"/>
  <c r="AM107" i="46"/>
  <c r="AD107" i="46" s="1"/>
  <c r="N107" i="46"/>
  <c r="H107" i="46"/>
  <c r="K107" i="46" s="1"/>
  <c r="AR106" i="46"/>
  <c r="BA106" i="46" s="1"/>
  <c r="AM106" i="46"/>
  <c r="AD106" i="46" s="1"/>
  <c r="Y106" i="46"/>
  <c r="U106" i="46"/>
  <c r="N106" i="46"/>
  <c r="H106" i="46" s="1"/>
  <c r="F14" i="14"/>
  <c r="F23" i="14"/>
  <c r="Y21" i="14"/>
  <c r="X21" i="14"/>
  <c r="Q46" i="14"/>
  <c r="Y20" i="14"/>
  <c r="X20" i="14"/>
  <c r="V19" i="14"/>
  <c r="W18" i="14"/>
  <c r="W19" i="14" s="1"/>
  <c r="V18" i="14"/>
  <c r="S32" i="14"/>
  <c r="R32" i="14"/>
  <c r="P31" i="14"/>
  <c r="Q31" i="14"/>
  <c r="R31" i="14" s="1"/>
  <c r="P30" i="14"/>
  <c r="S30" i="14" s="1"/>
  <c r="Q18" i="14"/>
  <c r="R18" i="14" s="1"/>
  <c r="P19" i="14"/>
  <c r="P18" i="14"/>
  <c r="R20" i="14"/>
  <c r="S20" i="14"/>
  <c r="S18" i="14"/>
  <c r="Q7" i="14"/>
  <c r="R7" i="14" s="1"/>
  <c r="Q8" i="14"/>
  <c r="S8" i="14" s="1"/>
  <c r="P8" i="14"/>
  <c r="P7" i="14"/>
  <c r="R6" i="14"/>
  <c r="P6" i="14"/>
  <c r="S6" i="14" s="1"/>
  <c r="J4" i="14"/>
  <c r="R8" i="14" l="1"/>
  <c r="Y18" i="14"/>
  <c r="Q16" i="14"/>
  <c r="Q17" i="14" s="1"/>
  <c r="Q19" i="14"/>
  <c r="Q28" i="14" s="1"/>
  <c r="Q29" i="14" s="1"/>
  <c r="AC106" i="54"/>
  <c r="BL28" i="39"/>
  <c r="X106" i="54"/>
  <c r="AA106" i="54"/>
  <c r="AB106" i="54" s="1"/>
  <c r="AD108" i="46"/>
  <c r="P107" i="46"/>
  <c r="J107" i="46"/>
  <c r="V106" i="46"/>
  <c r="J108" i="46"/>
  <c r="K108" i="46"/>
  <c r="T108" i="46"/>
  <c r="P108" i="46"/>
  <c r="V108" i="46"/>
  <c r="U108" i="46"/>
  <c r="K106" i="46"/>
  <c r="J106" i="46"/>
  <c r="T107" i="46"/>
  <c r="AC107" i="46" s="1"/>
  <c r="C107" i="46"/>
  <c r="U107" i="46"/>
  <c r="P106" i="46"/>
  <c r="V107" i="46"/>
  <c r="C106" i="46"/>
  <c r="T106" i="46"/>
  <c r="Y19" i="14"/>
  <c r="Y28" i="14" s="1"/>
  <c r="X19" i="14"/>
  <c r="X18" i="14"/>
  <c r="W28" i="14"/>
  <c r="W29" i="14" s="1"/>
  <c r="S31" i="14"/>
  <c r="S40" i="14" s="1"/>
  <c r="R30" i="14"/>
  <c r="R40" i="14" s="1"/>
  <c r="Q40" i="14"/>
  <c r="Q41" i="14" s="1"/>
  <c r="S19" i="14"/>
  <c r="S28" i="14" s="1"/>
  <c r="S29" i="14" s="1"/>
  <c r="S7" i="14"/>
  <c r="R16" i="14"/>
  <c r="R17" i="14" s="1"/>
  <c r="S16" i="14"/>
  <c r="S17" i="14" s="1"/>
  <c r="F62" i="47"/>
  <c r="F61" i="47"/>
  <c r="E62" i="47"/>
  <c r="E61" i="47"/>
  <c r="R19" i="14" l="1"/>
  <c r="R28" i="14" s="1"/>
  <c r="R29" i="14" s="1"/>
  <c r="G62" i="47"/>
  <c r="S41" i="14"/>
  <c r="R41" i="14"/>
  <c r="X28" i="14"/>
  <c r="AC108" i="46"/>
  <c r="G61" i="47"/>
  <c r="H61" i="47" s="1"/>
  <c r="O101" i="54" s="1"/>
  <c r="L28" i="39"/>
  <c r="N28" i="39"/>
  <c r="AC106" i="46"/>
  <c r="AA106" i="46"/>
  <c r="X106" i="46"/>
  <c r="Y29" i="14"/>
  <c r="X29" i="14"/>
  <c r="U101" i="54" l="1"/>
  <c r="C101" i="54"/>
  <c r="T101" i="54"/>
  <c r="P101" i="54"/>
  <c r="V101" i="54"/>
  <c r="K101" i="54"/>
  <c r="AB106" i="46"/>
  <c r="O101" i="46"/>
  <c r="U101" i="46" s="1"/>
  <c r="AR104" i="46"/>
  <c r="BA104" i="46" s="1"/>
  <c r="AM104" i="46"/>
  <c r="AD104" i="46" s="1"/>
  <c r="AR103" i="46"/>
  <c r="BA103" i="46" s="1"/>
  <c r="AM103" i="46"/>
  <c r="AR102" i="46"/>
  <c r="BA102" i="46" s="1"/>
  <c r="AM102" i="46"/>
  <c r="AR101" i="46"/>
  <c r="BA101" i="46" s="1"/>
  <c r="AM101" i="46"/>
  <c r="AD101" i="46" s="1"/>
  <c r="Y101" i="46"/>
  <c r="N101" i="46"/>
  <c r="H101" i="46" s="1"/>
  <c r="F14" i="15"/>
  <c r="F23" i="15"/>
  <c r="I38" i="15"/>
  <c r="I61" i="47" s="1"/>
  <c r="P19" i="15"/>
  <c r="S19" i="15" s="1"/>
  <c r="P18" i="15"/>
  <c r="S18" i="15" s="1"/>
  <c r="Q28" i="15"/>
  <c r="Q29" i="15" s="1"/>
  <c r="R20" i="15"/>
  <c r="P20" i="15"/>
  <c r="S20" i="15" s="1"/>
  <c r="R19" i="15"/>
  <c r="R18" i="15"/>
  <c r="P8" i="15"/>
  <c r="S8" i="15" s="1"/>
  <c r="P7" i="15"/>
  <c r="S7" i="15" s="1"/>
  <c r="P6" i="15"/>
  <c r="S6" i="15" s="1"/>
  <c r="Q16" i="15"/>
  <c r="Q17" i="15" s="1"/>
  <c r="R8" i="15"/>
  <c r="R7" i="15"/>
  <c r="R6" i="15"/>
  <c r="J4" i="15"/>
  <c r="AC101" i="54" l="1"/>
  <c r="AD102" i="46"/>
  <c r="AD103" i="46"/>
  <c r="V101" i="46"/>
  <c r="J101" i="46"/>
  <c r="K101" i="46"/>
  <c r="P101" i="46"/>
  <c r="AC102" i="46"/>
  <c r="C101" i="46"/>
  <c r="N27" i="39" s="1"/>
  <c r="T101" i="46"/>
  <c r="R28" i="15"/>
  <c r="R29" i="15" s="1"/>
  <c r="S28" i="15"/>
  <c r="S29" i="15" s="1"/>
  <c r="R16" i="15"/>
  <c r="R17" i="15" s="1"/>
  <c r="S16" i="15"/>
  <c r="S17" i="15" s="1"/>
  <c r="F59" i="47"/>
  <c r="F58" i="47"/>
  <c r="E58" i="47"/>
  <c r="E59" i="47"/>
  <c r="K17" i="16"/>
  <c r="K16" i="16"/>
  <c r="W95" i="54" s="1"/>
  <c r="W96" i="46" l="1"/>
  <c r="W96" i="54"/>
  <c r="G59" i="47"/>
  <c r="H59" i="47" s="1"/>
  <c r="O96" i="54" s="1"/>
  <c r="W95" i="46"/>
  <c r="BL27" i="39"/>
  <c r="G58" i="47"/>
  <c r="H58" i="47" s="1"/>
  <c r="O95" i="54" s="1"/>
  <c r="O96" i="46"/>
  <c r="U96" i="46" s="1"/>
  <c r="O95" i="46"/>
  <c r="AC101" i="46"/>
  <c r="L27" i="39"/>
  <c r="AR99" i="46"/>
  <c r="BA99" i="46" s="1"/>
  <c r="AM99" i="46"/>
  <c r="Q95" i="46"/>
  <c r="N96" i="46"/>
  <c r="N95" i="46"/>
  <c r="AR98" i="46"/>
  <c r="BA98" i="46" s="1"/>
  <c r="AM98" i="46"/>
  <c r="AR97" i="46"/>
  <c r="BA97" i="46" s="1"/>
  <c r="AM97" i="46"/>
  <c r="AR96" i="46"/>
  <c r="BA96" i="46" s="1"/>
  <c r="AM96" i="46"/>
  <c r="AR95" i="46"/>
  <c r="BA95" i="46" s="1"/>
  <c r="AM95" i="46"/>
  <c r="Y95" i="46"/>
  <c r="F14" i="16"/>
  <c r="F23" i="16"/>
  <c r="I38" i="16"/>
  <c r="I58" i="47" s="1"/>
  <c r="Q50" i="16"/>
  <c r="Z21" i="16"/>
  <c r="Y21" i="16"/>
  <c r="Y20" i="16"/>
  <c r="Z19" i="16"/>
  <c r="Z9" i="16"/>
  <c r="Y9" i="16"/>
  <c r="Z8" i="16"/>
  <c r="Y8" i="16"/>
  <c r="W7" i="16"/>
  <c r="X6" i="16"/>
  <c r="X7" i="16" s="1"/>
  <c r="Y7" i="16" s="1"/>
  <c r="W6" i="16"/>
  <c r="Z6" i="16" s="1"/>
  <c r="G42" i="16"/>
  <c r="I37" i="16" s="1"/>
  <c r="F42" i="16"/>
  <c r="O46" i="16"/>
  <c r="Q32" i="16"/>
  <c r="F28" i="16"/>
  <c r="P32" i="16"/>
  <c r="P31" i="16"/>
  <c r="S31" i="16" s="1"/>
  <c r="S33" i="16"/>
  <c r="R33" i="16"/>
  <c r="Q18" i="16"/>
  <c r="Q19" i="16" s="1"/>
  <c r="R19" i="16" s="1"/>
  <c r="P19" i="16"/>
  <c r="S20" i="16"/>
  <c r="R20" i="16"/>
  <c r="P18" i="16"/>
  <c r="Q6" i="16"/>
  <c r="P7" i="16"/>
  <c r="S8" i="16"/>
  <c r="R8" i="16"/>
  <c r="P6" i="16"/>
  <c r="J4" i="16"/>
  <c r="U95" i="54" l="1"/>
  <c r="T95" i="54"/>
  <c r="P95" i="54"/>
  <c r="C95" i="54"/>
  <c r="V95" i="54"/>
  <c r="K95" i="54"/>
  <c r="AD99" i="46"/>
  <c r="C96" i="54"/>
  <c r="U96" i="54"/>
  <c r="P96" i="54"/>
  <c r="T96" i="54"/>
  <c r="V96" i="54"/>
  <c r="K96" i="54"/>
  <c r="AC96" i="54" s="1"/>
  <c r="S6" i="16"/>
  <c r="AD95" i="46"/>
  <c r="V96" i="46"/>
  <c r="Q7" i="16"/>
  <c r="R7" i="16" s="1"/>
  <c r="X16" i="16"/>
  <c r="X17" i="16" s="1"/>
  <c r="R6" i="16"/>
  <c r="R16" i="16" s="1"/>
  <c r="S18" i="16"/>
  <c r="V95" i="46"/>
  <c r="AD98" i="46"/>
  <c r="AD97" i="46"/>
  <c r="AD96" i="46"/>
  <c r="U95" i="46"/>
  <c r="AA95" i="46" s="1"/>
  <c r="P96" i="46"/>
  <c r="T96" i="46"/>
  <c r="C96" i="46"/>
  <c r="H96" i="46"/>
  <c r="P95" i="46"/>
  <c r="T95" i="46"/>
  <c r="C95" i="46"/>
  <c r="H95" i="46"/>
  <c r="Z20" i="16"/>
  <c r="Z29" i="16" s="1"/>
  <c r="X29" i="16"/>
  <c r="X30" i="16" s="1"/>
  <c r="Y19" i="16"/>
  <c r="Y29" i="16" s="1"/>
  <c r="Y30" i="16" s="1"/>
  <c r="Z7" i="16"/>
  <c r="Z16" i="16" s="1"/>
  <c r="Y6" i="16"/>
  <c r="Y16" i="16" s="1"/>
  <c r="R32" i="16"/>
  <c r="S32" i="16"/>
  <c r="S41" i="16" s="1"/>
  <c r="R31" i="16"/>
  <c r="Q41" i="16"/>
  <c r="Q42" i="16" s="1"/>
  <c r="S19" i="16"/>
  <c r="R18" i="16"/>
  <c r="R28" i="16" s="1"/>
  <c r="Q28" i="16"/>
  <c r="Q29" i="16" s="1"/>
  <c r="S7" i="16"/>
  <c r="S16" i="16" l="1"/>
  <c r="S28" i="16"/>
  <c r="AC95" i="54"/>
  <c r="X95" i="54"/>
  <c r="AA95" i="54"/>
  <c r="AB95" i="54" s="1"/>
  <c r="S29" i="16"/>
  <c r="R41" i="16"/>
  <c r="R42" i="16" s="1"/>
  <c r="Z30" i="16"/>
  <c r="Q16" i="16"/>
  <c r="Q17" i="16" s="1"/>
  <c r="BL26" i="39"/>
  <c r="N26" i="39"/>
  <c r="J96" i="46"/>
  <c r="K96" i="46"/>
  <c r="AC96" i="46" s="1"/>
  <c r="J95" i="46"/>
  <c r="K95" i="46"/>
  <c r="Z17" i="16"/>
  <c r="Y17" i="16"/>
  <c r="S42" i="16"/>
  <c r="R29" i="16"/>
  <c r="DW26" i="2"/>
  <c r="S17" i="16" l="1"/>
  <c r="R17" i="16"/>
  <c r="AC95" i="46"/>
  <c r="AB95" i="46" s="1"/>
  <c r="L26" i="39"/>
  <c r="X95" i="46"/>
  <c r="K17" i="17" l="1"/>
  <c r="W90" i="54" s="1"/>
  <c r="P26" i="29"/>
  <c r="G48" i="46"/>
  <c r="G44" i="46"/>
  <c r="C8" i="17"/>
  <c r="K16" i="17" s="1"/>
  <c r="W91" i="54" s="1"/>
  <c r="E56" i="47"/>
  <c r="G56" i="47" s="1"/>
  <c r="H56" i="47" s="1"/>
  <c r="O91" i="54" s="1"/>
  <c r="F55" i="47"/>
  <c r="E55" i="47"/>
  <c r="E54" i="47"/>
  <c r="G54" i="47" s="1"/>
  <c r="P91" i="54" l="1"/>
  <c r="V91" i="54"/>
  <c r="C91" i="54"/>
  <c r="U91" i="54"/>
  <c r="T91" i="54"/>
  <c r="K91" i="54"/>
  <c r="AC91" i="54" s="1"/>
  <c r="W90" i="46"/>
  <c r="W91" i="46"/>
  <c r="O91" i="46"/>
  <c r="C91" i="46" s="1"/>
  <c r="G55" i="47"/>
  <c r="H54" i="47" s="1"/>
  <c r="O90" i="54" s="1"/>
  <c r="AR93" i="46"/>
  <c r="BA93" i="46" s="1"/>
  <c r="AM93" i="46"/>
  <c r="AR92" i="46"/>
  <c r="BA92" i="46" s="1"/>
  <c r="AM92" i="46"/>
  <c r="AR91" i="46"/>
  <c r="BA91" i="46" s="1"/>
  <c r="AM91" i="46"/>
  <c r="T91" i="46"/>
  <c r="N91" i="46"/>
  <c r="AR90" i="46"/>
  <c r="BA90" i="46" s="1"/>
  <c r="AM90" i="46"/>
  <c r="Y90" i="46"/>
  <c r="N90" i="46"/>
  <c r="H90" i="46" s="1"/>
  <c r="F14" i="17"/>
  <c r="F23" i="17"/>
  <c r="I38" i="17"/>
  <c r="I54" i="47" s="1"/>
  <c r="Q46" i="17"/>
  <c r="Y35" i="17"/>
  <c r="X35" i="17"/>
  <c r="W42" i="17"/>
  <c r="W43" i="17" s="1"/>
  <c r="Y34" i="17"/>
  <c r="X34" i="17"/>
  <c r="Y33" i="17"/>
  <c r="X33" i="17"/>
  <c r="Y32" i="17"/>
  <c r="X32" i="17"/>
  <c r="Q42" i="17"/>
  <c r="Q43" i="17" s="1"/>
  <c r="S34" i="17"/>
  <c r="R34" i="17"/>
  <c r="S33" i="17"/>
  <c r="R33" i="17"/>
  <c r="R32" i="17"/>
  <c r="P32" i="17"/>
  <c r="S32" i="17" s="1"/>
  <c r="P19" i="17"/>
  <c r="S19" i="17" s="1"/>
  <c r="Q29" i="17"/>
  <c r="Q30" i="17" s="1"/>
  <c r="S21" i="17"/>
  <c r="R21" i="17"/>
  <c r="R20" i="17"/>
  <c r="S20" i="17"/>
  <c r="R19" i="17"/>
  <c r="Q8" i="17"/>
  <c r="R8" i="17" s="1"/>
  <c r="Q7" i="17"/>
  <c r="R7" i="17" s="1"/>
  <c r="P8" i="17"/>
  <c r="Q6" i="17"/>
  <c r="Q16" i="17" s="1"/>
  <c r="Q17" i="17" s="1"/>
  <c r="P7" i="17"/>
  <c r="S7" i="17" s="1"/>
  <c r="P6" i="17"/>
  <c r="J4" i="17"/>
  <c r="S42" i="17" l="1"/>
  <c r="S43" i="17" s="1"/>
  <c r="U90" i="54"/>
  <c r="AA90" i="54" s="1"/>
  <c r="T90" i="54"/>
  <c r="C90" i="54"/>
  <c r="V90" i="54"/>
  <c r="P90" i="54"/>
  <c r="K90" i="54"/>
  <c r="AD91" i="46"/>
  <c r="X42" i="17"/>
  <c r="X43" i="17" s="1"/>
  <c r="R42" i="17"/>
  <c r="R43" i="17" s="1"/>
  <c r="S8" i="17"/>
  <c r="S6" i="17"/>
  <c r="S16" i="17" s="1"/>
  <c r="S17" i="17" s="1"/>
  <c r="R6" i="17"/>
  <c r="R16" i="17" s="1"/>
  <c r="R17" i="17" s="1"/>
  <c r="O90" i="46"/>
  <c r="V90" i="46" s="1"/>
  <c r="V91" i="46"/>
  <c r="H91" i="46"/>
  <c r="J90" i="46"/>
  <c r="AD92" i="46"/>
  <c r="AD90" i="46"/>
  <c r="AD93" i="46"/>
  <c r="U91" i="46"/>
  <c r="P91" i="46"/>
  <c r="Y42" i="17"/>
  <c r="Y43" i="17" s="1"/>
  <c r="S29" i="17"/>
  <c r="S30" i="17" s="1"/>
  <c r="R29" i="17"/>
  <c r="R30" i="17" s="1"/>
  <c r="AC90" i="54" l="1"/>
  <c r="X90" i="54"/>
  <c r="AB90" i="54"/>
  <c r="K90" i="46"/>
  <c r="T90" i="46"/>
  <c r="P90" i="46"/>
  <c r="C90" i="46"/>
  <c r="N25" i="39" s="1"/>
  <c r="U90" i="46"/>
  <c r="AA90" i="46" s="1"/>
  <c r="K91" i="46"/>
  <c r="J91" i="46"/>
  <c r="AC90" i="46" l="1"/>
  <c r="L25" i="39"/>
  <c r="BL25" i="39"/>
  <c r="AC91" i="46"/>
  <c r="AB90" i="46" s="1"/>
  <c r="X90" i="46"/>
  <c r="E52" i="47" l="1"/>
  <c r="H52" i="47" s="1"/>
  <c r="O86" i="54" s="1"/>
  <c r="E51" i="47"/>
  <c r="G51" i="47" s="1"/>
  <c r="H51" i="47" s="1"/>
  <c r="O85" i="54" s="1"/>
  <c r="J4" i="19"/>
  <c r="E49" i="47"/>
  <c r="G49" i="47" s="1"/>
  <c r="H49" i="47" s="1"/>
  <c r="O80" i="54" s="1"/>
  <c r="C80" i="54" l="1"/>
  <c r="U80" i="54"/>
  <c r="T80" i="54"/>
  <c r="P80" i="54"/>
  <c r="V80" i="54"/>
  <c r="K80" i="54"/>
  <c r="AC80" i="54" s="1"/>
  <c r="C85" i="54"/>
  <c r="U85" i="54"/>
  <c r="P85" i="54"/>
  <c r="T85" i="54"/>
  <c r="V85" i="54"/>
  <c r="K85" i="54"/>
  <c r="AC85" i="54" s="1"/>
  <c r="U86" i="54"/>
  <c r="P86" i="54"/>
  <c r="T86" i="54"/>
  <c r="C86" i="54"/>
  <c r="V86" i="54"/>
  <c r="K86" i="54"/>
  <c r="O80" i="46"/>
  <c r="U80" i="46" s="1"/>
  <c r="O86" i="46"/>
  <c r="P86" i="46" s="1"/>
  <c r="O85" i="46"/>
  <c r="C85" i="46"/>
  <c r="N85" i="46"/>
  <c r="H85" i="46" s="1"/>
  <c r="N80" i="46"/>
  <c r="AR88" i="46"/>
  <c r="BA88" i="46" s="1"/>
  <c r="AM88" i="46"/>
  <c r="AR87" i="46"/>
  <c r="BA87" i="46" s="1"/>
  <c r="AM87" i="46"/>
  <c r="AR86" i="46"/>
  <c r="BA86" i="46" s="1"/>
  <c r="AM86" i="46"/>
  <c r="W86" i="46"/>
  <c r="N86" i="46"/>
  <c r="H86" i="46" s="1"/>
  <c r="J86" i="46" s="1"/>
  <c r="AR85" i="46"/>
  <c r="BA85" i="46" s="1"/>
  <c r="AM85" i="46"/>
  <c r="Y85" i="46"/>
  <c r="AR83" i="46"/>
  <c r="BA83" i="46" s="1"/>
  <c r="AM83" i="46"/>
  <c r="AR82" i="46"/>
  <c r="BA82" i="46" s="1"/>
  <c r="AM82" i="46"/>
  <c r="AR81" i="46"/>
  <c r="BA81" i="46" s="1"/>
  <c r="AM81" i="46"/>
  <c r="AC81" i="46"/>
  <c r="AR80" i="46"/>
  <c r="BA80" i="46" s="1"/>
  <c r="AM80" i="46"/>
  <c r="Y80" i="46"/>
  <c r="P25" i="39"/>
  <c r="AJ25" i="39" s="1"/>
  <c r="P26" i="39"/>
  <c r="P27" i="39"/>
  <c r="AJ27" i="39" s="1"/>
  <c r="F14" i="18"/>
  <c r="F23" i="18"/>
  <c r="I38" i="18"/>
  <c r="I51" i="47" s="1"/>
  <c r="Q36" i="18"/>
  <c r="G42" i="18"/>
  <c r="I37" i="18" s="1"/>
  <c r="F42" i="18"/>
  <c r="P23" i="18"/>
  <c r="S23" i="18" s="1"/>
  <c r="Q8" i="18"/>
  <c r="Q16" i="18" s="1"/>
  <c r="Q17" i="18" s="1"/>
  <c r="Q32" i="18"/>
  <c r="Q33" i="18" s="1"/>
  <c r="R24" i="18"/>
  <c r="P24" i="18"/>
  <c r="S24" i="18" s="1"/>
  <c r="R23" i="18"/>
  <c r="R22" i="18"/>
  <c r="P22" i="18"/>
  <c r="S22" i="18" s="1"/>
  <c r="P8" i="18"/>
  <c r="R7" i="18"/>
  <c r="P7" i="18"/>
  <c r="S7" i="18" s="1"/>
  <c r="R6" i="18"/>
  <c r="P6" i="18"/>
  <c r="S6" i="18" s="1"/>
  <c r="J4" i="18"/>
  <c r="F14" i="19"/>
  <c r="F23" i="19"/>
  <c r="I38" i="19"/>
  <c r="I49" i="47" s="1"/>
  <c r="G42" i="19"/>
  <c r="I37" i="19" s="1"/>
  <c r="F42" i="19"/>
  <c r="R8" i="19"/>
  <c r="R7" i="19"/>
  <c r="P8" i="19"/>
  <c r="S8" i="19" s="1"/>
  <c r="P7" i="19"/>
  <c r="S7" i="19" s="1"/>
  <c r="Q16" i="19"/>
  <c r="Q17" i="19" s="1"/>
  <c r="R6" i="19"/>
  <c r="P6" i="19"/>
  <c r="S6" i="19" s="1"/>
  <c r="AD80" i="46" l="1"/>
  <c r="AC86" i="54"/>
  <c r="K85" i="46"/>
  <c r="AD86" i="46"/>
  <c r="AJ26" i="39"/>
  <c r="AD88" i="46"/>
  <c r="S8" i="18"/>
  <c r="S16" i="18" s="1"/>
  <c r="S17" i="18" s="1"/>
  <c r="BL24" i="39"/>
  <c r="AD83" i="46"/>
  <c r="P85" i="46"/>
  <c r="V86" i="46"/>
  <c r="T85" i="46"/>
  <c r="T86" i="46"/>
  <c r="C86" i="46"/>
  <c r="N24" i="39" s="1"/>
  <c r="V80" i="46"/>
  <c r="AD87" i="46"/>
  <c r="AD82" i="46"/>
  <c r="U86" i="46"/>
  <c r="V85" i="46"/>
  <c r="U85" i="46"/>
  <c r="J85" i="46"/>
  <c r="P80" i="46"/>
  <c r="C80" i="46"/>
  <c r="N23" i="39" s="1"/>
  <c r="T80" i="46"/>
  <c r="H80" i="46"/>
  <c r="AD85" i="46"/>
  <c r="K86" i="46"/>
  <c r="AD81" i="46"/>
  <c r="R32" i="18"/>
  <c r="R33" i="18" s="1"/>
  <c r="S32" i="18"/>
  <c r="S33" i="18" s="1"/>
  <c r="R8" i="18"/>
  <c r="R16" i="18" s="1"/>
  <c r="R17" i="18" s="1"/>
  <c r="S16" i="19"/>
  <c r="S17" i="19" s="1"/>
  <c r="R16" i="19"/>
  <c r="R17" i="19" s="1"/>
  <c r="F47" i="47"/>
  <c r="E47" i="47"/>
  <c r="E46" i="47"/>
  <c r="G46" i="47" s="1"/>
  <c r="H46" i="47" s="1"/>
  <c r="O75" i="54" s="1"/>
  <c r="G47" i="47"/>
  <c r="H47" i="47" s="1"/>
  <c r="O76" i="54" s="1"/>
  <c r="K16" i="20"/>
  <c r="W76" i="54" s="1"/>
  <c r="K7" i="20"/>
  <c r="P76" i="54" l="1"/>
  <c r="C76" i="54"/>
  <c r="U76" i="54"/>
  <c r="T76" i="54"/>
  <c r="V76" i="54"/>
  <c r="K76" i="54"/>
  <c r="AC76" i="54" s="1"/>
  <c r="U75" i="54"/>
  <c r="AA75" i="54" s="1"/>
  <c r="C75" i="54"/>
  <c r="T75" i="54"/>
  <c r="P75" i="54"/>
  <c r="V75" i="54"/>
  <c r="K75" i="54"/>
  <c r="W75" i="46"/>
  <c r="W75" i="54"/>
  <c r="AC86" i="46"/>
  <c r="O75" i="46"/>
  <c r="BL23" i="39"/>
  <c r="O76" i="46"/>
  <c r="L24" i="39"/>
  <c r="K80" i="46"/>
  <c r="L23" i="39" s="1"/>
  <c r="J80" i="46"/>
  <c r="W76" i="46"/>
  <c r="J4" i="50"/>
  <c r="J3" i="50"/>
  <c r="K4" i="50"/>
  <c r="K3" i="50"/>
  <c r="L4" i="50"/>
  <c r="L3" i="50"/>
  <c r="M4" i="50"/>
  <c r="M3" i="50"/>
  <c r="X75" i="54" l="1"/>
  <c r="AC75" i="54"/>
  <c r="AB75" i="54" s="1"/>
  <c r="AC80" i="46"/>
  <c r="AC85" i="46"/>
  <c r="BL22" i="39"/>
  <c r="S76" i="46"/>
  <c r="P76" i="46" s="1"/>
  <c r="N76" i="46"/>
  <c r="H76" i="46" s="1"/>
  <c r="C76" i="46"/>
  <c r="AR78" i="46"/>
  <c r="BA78" i="46" s="1"/>
  <c r="AM78" i="46"/>
  <c r="AR77" i="46"/>
  <c r="BA77" i="46" s="1"/>
  <c r="AM77" i="46"/>
  <c r="AR76" i="46"/>
  <c r="BA76" i="46" s="1"/>
  <c r="AM76" i="46"/>
  <c r="AR75" i="46"/>
  <c r="BA75" i="46" s="1"/>
  <c r="AM75" i="46"/>
  <c r="Y75" i="46"/>
  <c r="U75" i="46"/>
  <c r="N75" i="46"/>
  <c r="V75" i="46" s="1"/>
  <c r="F23" i="20"/>
  <c r="F9" i="20"/>
  <c r="F14" i="20" s="1"/>
  <c r="I38" i="20"/>
  <c r="I46" i="47" s="1"/>
  <c r="Q46" i="20"/>
  <c r="X12" i="20"/>
  <c r="Y12" i="20" s="1"/>
  <c r="W12" i="20"/>
  <c r="X11" i="20"/>
  <c r="Y11" i="20" s="1"/>
  <c r="W11" i="20"/>
  <c r="X10" i="20"/>
  <c r="W10" i="20"/>
  <c r="X9" i="20"/>
  <c r="Y9" i="20" s="1"/>
  <c r="W9" i="20"/>
  <c r="X8" i="20"/>
  <c r="Y8" i="20" s="1"/>
  <c r="W8" i="20"/>
  <c r="X7" i="20"/>
  <c r="Y7" i="20" s="1"/>
  <c r="W7" i="20"/>
  <c r="X6" i="20"/>
  <c r="Y6" i="20" s="1"/>
  <c r="W6" i="20"/>
  <c r="Z6" i="20" s="1"/>
  <c r="X28" i="20"/>
  <c r="X29" i="20" s="1"/>
  <c r="Y19" i="20"/>
  <c r="Z19" i="20"/>
  <c r="Y20" i="20"/>
  <c r="Z20" i="20"/>
  <c r="Y21" i="20"/>
  <c r="Z21" i="20"/>
  <c r="Z18" i="20"/>
  <c r="Y18" i="20"/>
  <c r="Q40" i="20"/>
  <c r="Q41" i="20" s="1"/>
  <c r="R30" i="20"/>
  <c r="R40" i="20" s="1"/>
  <c r="P30" i="20"/>
  <c r="S30" i="20" s="1"/>
  <c r="S40" i="20" s="1"/>
  <c r="Q28" i="20"/>
  <c r="Q29" i="20" s="1"/>
  <c r="R18" i="20"/>
  <c r="P18" i="20"/>
  <c r="S18" i="20" s="1"/>
  <c r="Q14" i="20"/>
  <c r="R14" i="20" s="1"/>
  <c r="Q13" i="20"/>
  <c r="R13" i="20" s="1"/>
  <c r="Q12" i="20"/>
  <c r="R12" i="20" s="1"/>
  <c r="Q11" i="20"/>
  <c r="R11" i="20" s="1"/>
  <c r="Q10" i="20"/>
  <c r="R10" i="20" s="1"/>
  <c r="Q9" i="20"/>
  <c r="Q8" i="20"/>
  <c r="R8" i="20" s="1"/>
  <c r="Q7" i="20"/>
  <c r="Q6" i="20"/>
  <c r="R6" i="20" s="1"/>
  <c r="P14" i="20"/>
  <c r="S14" i="20" s="1"/>
  <c r="P13" i="20"/>
  <c r="P12" i="20"/>
  <c r="P11" i="20"/>
  <c r="P10" i="20"/>
  <c r="R9" i="20"/>
  <c r="P9" i="20"/>
  <c r="P8" i="20"/>
  <c r="S8" i="20" s="1"/>
  <c r="R7" i="20"/>
  <c r="P7" i="20"/>
  <c r="S7" i="20" s="1"/>
  <c r="P6" i="20"/>
  <c r="J4" i="20"/>
  <c r="S13" i="20" l="1"/>
  <c r="Z8" i="20"/>
  <c r="Z12" i="20"/>
  <c r="S10" i="20"/>
  <c r="S41" i="20"/>
  <c r="S11" i="20"/>
  <c r="S12" i="20"/>
  <c r="Z10" i="20"/>
  <c r="R16" i="20"/>
  <c r="Z11" i="20"/>
  <c r="S9" i="20"/>
  <c r="Q16" i="20"/>
  <c r="Q17" i="20" s="1"/>
  <c r="Y10" i="20"/>
  <c r="Y16" i="20" s="1"/>
  <c r="AD78" i="46"/>
  <c r="Z28" i="20"/>
  <c r="Z29" i="20" s="1"/>
  <c r="X16" i="20"/>
  <c r="X17" i="20" s="1"/>
  <c r="Z9" i="20"/>
  <c r="R41" i="20"/>
  <c r="Z7" i="20"/>
  <c r="AD77" i="46"/>
  <c r="AD76" i="46"/>
  <c r="J76" i="46"/>
  <c r="K76" i="46"/>
  <c r="V76" i="46"/>
  <c r="U76" i="46"/>
  <c r="AA75" i="46" s="1"/>
  <c r="T76" i="46"/>
  <c r="AD75" i="46"/>
  <c r="P75" i="46"/>
  <c r="C75" i="46"/>
  <c r="N22" i="39" s="1"/>
  <c r="T75" i="46"/>
  <c r="H75" i="46"/>
  <c r="Y28" i="20"/>
  <c r="Y29" i="20" s="1"/>
  <c r="R28" i="20"/>
  <c r="R29" i="20" s="1"/>
  <c r="S28" i="20"/>
  <c r="S29" i="20" s="1"/>
  <c r="S6" i="20"/>
  <c r="Y17" i="20" l="1"/>
  <c r="Z16" i="20"/>
  <c r="Z17" i="20" s="1"/>
  <c r="S16" i="20"/>
  <c r="S17" i="20" s="1"/>
  <c r="AC76" i="46"/>
  <c r="J75" i="46"/>
  <c r="K75" i="46"/>
  <c r="L22" i="39" s="1"/>
  <c r="R17" i="20"/>
  <c r="AC75" i="46" l="1"/>
  <c r="AB75" i="46" s="1"/>
  <c r="X75" i="46"/>
  <c r="E44" i="47" l="1"/>
  <c r="G44" i="47" s="1"/>
  <c r="H44" i="47" s="1"/>
  <c r="O68" i="54" s="1"/>
  <c r="P68" i="54" l="1"/>
  <c r="V68" i="54"/>
  <c r="C68" i="54"/>
  <c r="U68" i="54"/>
  <c r="T68" i="54"/>
  <c r="K68" i="54"/>
  <c r="AC68" i="54" s="1"/>
  <c r="O68" i="46"/>
  <c r="U68" i="46" s="1"/>
  <c r="AM73" i="46"/>
  <c r="AR73" i="46"/>
  <c r="BA73" i="46" s="1"/>
  <c r="AM72" i="46"/>
  <c r="AR72" i="46"/>
  <c r="BA72" i="46" s="1"/>
  <c r="R68" i="46"/>
  <c r="AR71" i="46"/>
  <c r="BA71" i="46" s="1"/>
  <c r="AM71" i="46"/>
  <c r="AD71" i="46" s="1"/>
  <c r="AR70" i="46"/>
  <c r="BA70" i="46" s="1"/>
  <c r="AM70" i="46"/>
  <c r="AR69" i="46"/>
  <c r="BA69" i="46" s="1"/>
  <c r="AM69" i="46"/>
  <c r="AC69" i="46"/>
  <c r="AR68" i="46"/>
  <c r="BA68" i="46" s="1"/>
  <c r="AM68" i="46"/>
  <c r="Y68" i="46"/>
  <c r="N68" i="46"/>
  <c r="F14" i="22"/>
  <c r="F23" i="22"/>
  <c r="F26" i="22"/>
  <c r="I38" i="22"/>
  <c r="I44" i="47" s="1"/>
  <c r="G42" i="22"/>
  <c r="I37" i="22" s="1"/>
  <c r="F42" i="22"/>
  <c r="N40" i="22"/>
  <c r="Q29" i="22"/>
  <c r="R29" i="22" s="1"/>
  <c r="Q28" i="22"/>
  <c r="Q27" i="22"/>
  <c r="R27" i="22" s="1"/>
  <c r="P29" i="22"/>
  <c r="P28" i="22"/>
  <c r="P27" i="22"/>
  <c r="R26" i="22"/>
  <c r="P26" i="22"/>
  <c r="S26" i="22" s="1"/>
  <c r="R25" i="22"/>
  <c r="P25" i="22"/>
  <c r="S25" i="22" s="1"/>
  <c r="Q18" i="22"/>
  <c r="Q15" i="22"/>
  <c r="P16" i="22"/>
  <c r="S16" i="22" s="1"/>
  <c r="P17" i="22"/>
  <c r="S17" i="22" s="1"/>
  <c r="P18" i="22"/>
  <c r="S19" i="22"/>
  <c r="R19" i="22"/>
  <c r="R17" i="22"/>
  <c r="R16" i="22"/>
  <c r="R15" i="22"/>
  <c r="P15" i="22"/>
  <c r="S15" i="22" s="1"/>
  <c r="Q12" i="22"/>
  <c r="S10" i="22"/>
  <c r="R10" i="22"/>
  <c r="S9" i="22"/>
  <c r="R9" i="22"/>
  <c r="S8" i="22"/>
  <c r="R8" i="22"/>
  <c r="R7" i="22"/>
  <c r="S7" i="22"/>
  <c r="R6" i="22"/>
  <c r="P6" i="22"/>
  <c r="S6" i="22" s="1"/>
  <c r="J4" i="22"/>
  <c r="S29" i="22" l="1"/>
  <c r="BL21" i="39"/>
  <c r="Q31" i="22"/>
  <c r="Q32" i="22" s="1"/>
  <c r="AD68" i="46"/>
  <c r="V68" i="46"/>
  <c r="AD73" i="46"/>
  <c r="AD72" i="46"/>
  <c r="AD70" i="46"/>
  <c r="AD69" i="46"/>
  <c r="P68" i="46"/>
  <c r="T68" i="46"/>
  <c r="C68" i="46"/>
  <c r="N21" i="39" s="1"/>
  <c r="H68" i="46"/>
  <c r="S28" i="22"/>
  <c r="R28" i="22"/>
  <c r="R31" i="22" s="1"/>
  <c r="R32" i="22" s="1"/>
  <c r="S27" i="22"/>
  <c r="Q21" i="22"/>
  <c r="Q22" i="22" s="1"/>
  <c r="R18" i="22"/>
  <c r="R21" i="22" s="1"/>
  <c r="S18" i="22"/>
  <c r="S21" i="22"/>
  <c r="S22" i="22" s="1"/>
  <c r="S12" i="22"/>
  <c r="S13" i="22" s="1"/>
  <c r="R12" i="22"/>
  <c r="R13" i="22" s="1"/>
  <c r="DW21" i="2"/>
  <c r="R22" i="22" l="1"/>
  <c r="S31" i="22"/>
  <c r="S32" i="22" s="1"/>
  <c r="K68" i="46"/>
  <c r="L21" i="39" s="1"/>
  <c r="J68" i="46"/>
  <c r="E42" i="47"/>
  <c r="G42" i="47" s="1"/>
  <c r="H42" i="47" s="1"/>
  <c r="O63" i="54" s="1"/>
  <c r="U63" i="54" l="1"/>
  <c r="P63" i="54"/>
  <c r="V63" i="54"/>
  <c r="C63" i="54"/>
  <c r="T63" i="54"/>
  <c r="K63" i="54"/>
  <c r="AC63" i="54" s="1"/>
  <c r="O63" i="46"/>
  <c r="AC68" i="46"/>
  <c r="I38" i="21" l="1"/>
  <c r="I42" i="47" s="1"/>
  <c r="G42" i="21"/>
  <c r="I37" i="21" s="1"/>
  <c r="F42" i="21"/>
  <c r="F14" i="21"/>
  <c r="F17" i="21"/>
  <c r="F23" i="21" s="1"/>
  <c r="BL20" i="39" l="1"/>
  <c r="AR66" i="46"/>
  <c r="BA66" i="46" s="1"/>
  <c r="AM66" i="46"/>
  <c r="AR65" i="46"/>
  <c r="BA65" i="46" s="1"/>
  <c r="AM65" i="46"/>
  <c r="AR64" i="46"/>
  <c r="BA64" i="46" s="1"/>
  <c r="AM64" i="46"/>
  <c r="AC64" i="46"/>
  <c r="AR63" i="46"/>
  <c r="BA63" i="46" s="1"/>
  <c r="AM63" i="46"/>
  <c r="AD63" i="46" s="1"/>
  <c r="Y63" i="46"/>
  <c r="U63" i="46"/>
  <c r="N63" i="46"/>
  <c r="H63" i="46" s="1"/>
  <c r="J4" i="21"/>
  <c r="AD66" i="46" l="1"/>
  <c r="AD65" i="46"/>
  <c r="AD64" i="46"/>
  <c r="K63" i="46"/>
  <c r="L20" i="39" s="1"/>
  <c r="J63" i="46"/>
  <c r="V63" i="46"/>
  <c r="P63" i="46"/>
  <c r="T63" i="46"/>
  <c r="C63" i="46"/>
  <c r="N20" i="39" s="1"/>
  <c r="E40" i="47"/>
  <c r="G40" i="47" s="1"/>
  <c r="H40" i="47" s="1"/>
  <c r="O58" i="54" s="1"/>
  <c r="K58" i="54" l="1"/>
  <c r="T58" i="54"/>
  <c r="P58" i="54"/>
  <c r="C58" i="54"/>
  <c r="U58" i="54"/>
  <c r="V58" i="54"/>
  <c r="O58" i="46"/>
  <c r="P58" i="46" s="1"/>
  <c r="AC63" i="46"/>
  <c r="AR61" i="46"/>
  <c r="BA61" i="46" s="1"/>
  <c r="AM61" i="46"/>
  <c r="AD61" i="46" s="1"/>
  <c r="AR60" i="46"/>
  <c r="BA60" i="46" s="1"/>
  <c r="AM60" i="46"/>
  <c r="AR59" i="46"/>
  <c r="BA59" i="46" s="1"/>
  <c r="AM59" i="46"/>
  <c r="AC59" i="46"/>
  <c r="AR58" i="46"/>
  <c r="BA58" i="46" s="1"/>
  <c r="AD58" i="46" s="1"/>
  <c r="AM58" i="46"/>
  <c r="Y58" i="46"/>
  <c r="N58" i="46"/>
  <c r="H58" i="46" s="1"/>
  <c r="F14" i="23"/>
  <c r="F23" i="23"/>
  <c r="I38" i="23"/>
  <c r="I40" i="47" s="1"/>
  <c r="G42" i="23"/>
  <c r="I37" i="23" s="1"/>
  <c r="F42" i="23"/>
  <c r="J4" i="23"/>
  <c r="AC58" i="54" l="1"/>
  <c r="BL19" i="39"/>
  <c r="C58" i="46"/>
  <c r="N19" i="39" s="1"/>
  <c r="K58" i="46"/>
  <c r="L19" i="39" s="1"/>
  <c r="V58" i="46"/>
  <c r="T58" i="46"/>
  <c r="U58" i="46"/>
  <c r="AD60" i="46"/>
  <c r="AD59" i="46"/>
  <c r="J58" i="46"/>
  <c r="F37" i="47"/>
  <c r="E38" i="47"/>
  <c r="E37" i="47"/>
  <c r="G38" i="47"/>
  <c r="AC58" i="46" l="1"/>
  <c r="G37" i="47"/>
  <c r="H37" i="47" s="1"/>
  <c r="O53" i="54" s="1"/>
  <c r="N53" i="46"/>
  <c r="AR56" i="46"/>
  <c r="BA56" i="46" s="1"/>
  <c r="AM56" i="46"/>
  <c r="AR55" i="46"/>
  <c r="BA55" i="46" s="1"/>
  <c r="AM55" i="46"/>
  <c r="AR54" i="46"/>
  <c r="BA54" i="46" s="1"/>
  <c r="AM54" i="46"/>
  <c r="AC54" i="46"/>
  <c r="AR53" i="46"/>
  <c r="BA53" i="46" s="1"/>
  <c r="AM53" i="46"/>
  <c r="Y53" i="46"/>
  <c r="F14" i="24"/>
  <c r="F23" i="24"/>
  <c r="I38" i="24"/>
  <c r="I37" i="47" s="1"/>
  <c r="G42" i="24"/>
  <c r="I37" i="24" s="1"/>
  <c r="F42" i="24"/>
  <c r="P16" i="24"/>
  <c r="S16" i="24" s="1"/>
  <c r="S19" i="24"/>
  <c r="R19" i="24"/>
  <c r="S18" i="24"/>
  <c r="R18" i="24"/>
  <c r="S17" i="24"/>
  <c r="R17" i="24"/>
  <c r="Q21" i="24"/>
  <c r="R15" i="24"/>
  <c r="P15" i="24"/>
  <c r="S15" i="24" s="1"/>
  <c r="P6" i="24"/>
  <c r="S6" i="24" s="1"/>
  <c r="S10" i="24"/>
  <c r="R10" i="24"/>
  <c r="S9" i="24"/>
  <c r="R9" i="24"/>
  <c r="S8" i="24"/>
  <c r="R8" i="24"/>
  <c r="Q7" i="24"/>
  <c r="Q12" i="24" s="1"/>
  <c r="P7" i="24"/>
  <c r="S7" i="24" s="1"/>
  <c r="R6" i="24"/>
  <c r="J4" i="24"/>
  <c r="T53" i="54" l="1"/>
  <c r="P53" i="54"/>
  <c r="V53" i="54"/>
  <c r="U53" i="54"/>
  <c r="C53" i="54"/>
  <c r="K53" i="54"/>
  <c r="O53" i="46"/>
  <c r="P53" i="46" s="1"/>
  <c r="AD54" i="46"/>
  <c r="AD53" i="46"/>
  <c r="AD56" i="46"/>
  <c r="H53" i="46"/>
  <c r="AD55" i="46"/>
  <c r="S21" i="24"/>
  <c r="S22" i="24" s="1"/>
  <c r="R16" i="24"/>
  <c r="R21" i="24" s="1"/>
  <c r="R22" i="24" s="1"/>
  <c r="S12" i="24"/>
  <c r="S13" i="24" s="1"/>
  <c r="R7" i="24"/>
  <c r="R12" i="24" s="1"/>
  <c r="R13" i="24" s="1"/>
  <c r="A8" i="45"/>
  <c r="V53" i="46" l="1"/>
  <c r="C53" i="46"/>
  <c r="N18" i="39" s="1"/>
  <c r="AC53" i="54"/>
  <c r="U53" i="46"/>
  <c r="T53" i="46"/>
  <c r="K53" i="46"/>
  <c r="L18" i="39" s="1"/>
  <c r="J53" i="46"/>
  <c r="K7" i="25"/>
  <c r="W51" i="54" s="1"/>
  <c r="K15" i="25"/>
  <c r="W50" i="54" s="1"/>
  <c r="K14" i="25"/>
  <c r="W49" i="54" s="1"/>
  <c r="C8" i="26"/>
  <c r="K13" i="26" s="1"/>
  <c r="W44" i="54" s="1"/>
  <c r="C7" i="26"/>
  <c r="K12" i="26" s="1"/>
  <c r="W43" i="54" s="1"/>
  <c r="C16" i="25"/>
  <c r="K13" i="25" s="1"/>
  <c r="W48" i="54" s="1"/>
  <c r="J13" i="25"/>
  <c r="E35" i="47"/>
  <c r="G35" i="47" s="1"/>
  <c r="H35" i="47" s="1"/>
  <c r="O51" i="54" s="1"/>
  <c r="E34" i="47"/>
  <c r="G34" i="47" s="1"/>
  <c r="H34" i="47" s="1"/>
  <c r="O50" i="54" s="1"/>
  <c r="F33" i="47"/>
  <c r="E33" i="47"/>
  <c r="F31" i="47"/>
  <c r="E32" i="47"/>
  <c r="G32" i="47" s="1"/>
  <c r="E31" i="47"/>
  <c r="F29" i="47"/>
  <c r="E29" i="47"/>
  <c r="E28" i="47"/>
  <c r="G28" i="47" s="1"/>
  <c r="E27" i="47"/>
  <c r="G27" i="47" s="1"/>
  <c r="H27" i="47" s="1"/>
  <c r="O43" i="54" s="1"/>
  <c r="S18" i="2"/>
  <c r="U43" i="54" l="1"/>
  <c r="P43" i="54"/>
  <c r="T43" i="54"/>
  <c r="V43" i="54"/>
  <c r="C43" i="54"/>
  <c r="K43" i="54"/>
  <c r="AC43" i="54" s="1"/>
  <c r="T50" i="54"/>
  <c r="P50" i="54"/>
  <c r="V50" i="54"/>
  <c r="C50" i="54"/>
  <c r="U50" i="54"/>
  <c r="K50" i="54"/>
  <c r="C51" i="54"/>
  <c r="T51" i="54"/>
  <c r="P51" i="54"/>
  <c r="V51" i="54"/>
  <c r="K51" i="54"/>
  <c r="U51" i="54"/>
  <c r="W50" i="46"/>
  <c r="W51" i="46"/>
  <c r="W49" i="46"/>
  <c r="BL18" i="39"/>
  <c r="G33" i="47"/>
  <c r="H33" i="47" s="1"/>
  <c r="O49" i="54" s="1"/>
  <c r="G29" i="47"/>
  <c r="H28" i="47" s="1"/>
  <c r="O44" i="54" s="1"/>
  <c r="O50" i="46"/>
  <c r="U50" i="46" s="1"/>
  <c r="W48" i="46"/>
  <c r="O51" i="46"/>
  <c r="T51" i="46" s="1"/>
  <c r="W43" i="46"/>
  <c r="O43" i="46"/>
  <c r="C43" i="46" s="1"/>
  <c r="W44" i="46"/>
  <c r="G31" i="47"/>
  <c r="H31" i="47" s="1"/>
  <c r="O48" i="54" s="1"/>
  <c r="AC53" i="46"/>
  <c r="S51" i="46"/>
  <c r="N49" i="46"/>
  <c r="H49" i="46" s="1"/>
  <c r="N50" i="46"/>
  <c r="H50" i="46" s="1"/>
  <c r="N51" i="46"/>
  <c r="N48" i="46"/>
  <c r="H48" i="46" s="1"/>
  <c r="AR51" i="46"/>
  <c r="BA51" i="46" s="1"/>
  <c r="AM51" i="46"/>
  <c r="AR50" i="46"/>
  <c r="BA50" i="46" s="1"/>
  <c r="AM50" i="46"/>
  <c r="AR49" i="46"/>
  <c r="BA49" i="46" s="1"/>
  <c r="AM49" i="46"/>
  <c r="AR48" i="46"/>
  <c r="BA48" i="46" s="1"/>
  <c r="AM48" i="46"/>
  <c r="N43" i="46"/>
  <c r="H43" i="46" s="1"/>
  <c r="AM43" i="46"/>
  <c r="AR43" i="46"/>
  <c r="BA43" i="46" s="1"/>
  <c r="N44" i="46"/>
  <c r="H44" i="46" s="1"/>
  <c r="AM44" i="46"/>
  <c r="AR44" i="46"/>
  <c r="BA44" i="46" s="1"/>
  <c r="AM45" i="46"/>
  <c r="AR45" i="46"/>
  <c r="BA45" i="46" s="1"/>
  <c r="AM46" i="46"/>
  <c r="AR46" i="46"/>
  <c r="BA46" i="46" s="1"/>
  <c r="F14" i="25"/>
  <c r="F23" i="25"/>
  <c r="I38" i="25"/>
  <c r="I31" i="47" s="1"/>
  <c r="W29" i="25"/>
  <c r="Y27" i="25"/>
  <c r="X27" i="25"/>
  <c r="Y26" i="25"/>
  <c r="X26" i="25"/>
  <c r="Y25" i="25"/>
  <c r="X25" i="25"/>
  <c r="Y24" i="25"/>
  <c r="X24" i="25"/>
  <c r="Y23" i="25"/>
  <c r="X23" i="25"/>
  <c r="X19" i="25"/>
  <c r="Y19" i="25"/>
  <c r="X18" i="25"/>
  <c r="Y18" i="25"/>
  <c r="X17" i="25"/>
  <c r="Y17" i="25"/>
  <c r="X16" i="25"/>
  <c r="Y16" i="25"/>
  <c r="W21" i="25"/>
  <c r="Y15" i="25"/>
  <c r="Q33" i="25"/>
  <c r="Q37" i="25" s="1"/>
  <c r="Q23" i="25"/>
  <c r="Q24" i="25" s="1"/>
  <c r="P23" i="25"/>
  <c r="P24" i="25"/>
  <c r="S27" i="25"/>
  <c r="R27" i="25"/>
  <c r="S26" i="25"/>
  <c r="R26" i="25"/>
  <c r="S25" i="25"/>
  <c r="R25" i="25"/>
  <c r="Q19" i="25"/>
  <c r="P19" i="25"/>
  <c r="Q18" i="25"/>
  <c r="Q17" i="25"/>
  <c r="Q16" i="25"/>
  <c r="R16" i="25" s="1"/>
  <c r="P17" i="25"/>
  <c r="P18" i="25"/>
  <c r="Q15" i="25"/>
  <c r="R15" i="25" s="1"/>
  <c r="P16" i="25"/>
  <c r="P15" i="25"/>
  <c r="J4" i="25"/>
  <c r="S10" i="25"/>
  <c r="R10" i="25"/>
  <c r="S9" i="25"/>
  <c r="R9" i="25"/>
  <c r="S8" i="25"/>
  <c r="R8" i="25"/>
  <c r="Q7" i="25"/>
  <c r="R7" i="25" s="1"/>
  <c r="P7" i="25"/>
  <c r="S7" i="25" s="1"/>
  <c r="R6" i="25"/>
  <c r="P6" i="25"/>
  <c r="S6" i="25" s="1"/>
  <c r="F14" i="26"/>
  <c r="F23" i="26"/>
  <c r="I38" i="26"/>
  <c r="I27" i="47" s="1"/>
  <c r="Q32" i="26"/>
  <c r="Q33" i="26" s="1"/>
  <c r="S23" i="26"/>
  <c r="R23" i="26"/>
  <c r="S22" i="26"/>
  <c r="R22" i="26"/>
  <c r="S21" i="26"/>
  <c r="R21" i="26"/>
  <c r="Q20" i="26"/>
  <c r="Q25" i="26" s="1"/>
  <c r="P20" i="26"/>
  <c r="R19" i="26"/>
  <c r="P19" i="26"/>
  <c r="S19" i="26" s="1"/>
  <c r="P10" i="26"/>
  <c r="S10" i="26" s="1"/>
  <c r="R10" i="26"/>
  <c r="P11" i="26"/>
  <c r="Q11" i="26"/>
  <c r="R11" i="26" s="1"/>
  <c r="R12" i="26"/>
  <c r="S12" i="26"/>
  <c r="R13" i="26"/>
  <c r="S13" i="26"/>
  <c r="R14" i="26"/>
  <c r="S14" i="26"/>
  <c r="Q2" i="26"/>
  <c r="R2" i="26" s="1"/>
  <c r="S6" i="26"/>
  <c r="R6" i="26"/>
  <c r="S5" i="26"/>
  <c r="R5" i="26"/>
  <c r="S4" i="26"/>
  <c r="R4" i="26"/>
  <c r="P3" i="26"/>
  <c r="P2" i="26"/>
  <c r="J4" i="26"/>
  <c r="S15" i="25" l="1"/>
  <c r="AC50" i="54"/>
  <c r="AC51" i="54"/>
  <c r="V44" i="54"/>
  <c r="U44" i="54"/>
  <c r="C44" i="54"/>
  <c r="K44" i="54"/>
  <c r="P44" i="54"/>
  <c r="T44" i="54"/>
  <c r="U48" i="54"/>
  <c r="T48" i="54"/>
  <c r="C48" i="54"/>
  <c r="P48" i="54"/>
  <c r="V48" i="54"/>
  <c r="K48" i="54"/>
  <c r="C49" i="54"/>
  <c r="U49" i="54"/>
  <c r="V49" i="54"/>
  <c r="T49" i="54"/>
  <c r="P49" i="54"/>
  <c r="K49" i="54"/>
  <c r="AC49" i="54" s="1"/>
  <c r="AD49" i="46"/>
  <c r="P50" i="46"/>
  <c r="S2" i="26"/>
  <c r="O44" i="46"/>
  <c r="U44" i="46" s="1"/>
  <c r="AD45" i="46"/>
  <c r="S16" i="25"/>
  <c r="O49" i="46"/>
  <c r="K49" i="46" s="1"/>
  <c r="Q16" i="26"/>
  <c r="R16" i="26"/>
  <c r="S19" i="25"/>
  <c r="S17" i="25"/>
  <c r="AD48" i="46"/>
  <c r="S20" i="26"/>
  <c r="S25" i="26" s="1"/>
  <c r="S26" i="26" s="1"/>
  <c r="S18" i="25"/>
  <c r="Q3" i="26"/>
  <c r="R3" i="26" s="1"/>
  <c r="R8" i="26" s="1"/>
  <c r="R18" i="25"/>
  <c r="O48" i="46"/>
  <c r="U48" i="46" s="1"/>
  <c r="AD43" i="46"/>
  <c r="C51" i="46"/>
  <c r="T50" i="46"/>
  <c r="C50" i="46"/>
  <c r="U51" i="46"/>
  <c r="T43" i="46"/>
  <c r="P43" i="46"/>
  <c r="AD51" i="46"/>
  <c r="AD50" i="46"/>
  <c r="P51" i="46"/>
  <c r="V51" i="46"/>
  <c r="H51" i="46"/>
  <c r="J51" i="46" s="1"/>
  <c r="J50" i="46"/>
  <c r="K50" i="46"/>
  <c r="J49" i="46"/>
  <c r="V50" i="46"/>
  <c r="J44" i="46"/>
  <c r="AD44" i="46"/>
  <c r="AD46" i="46"/>
  <c r="J43" i="46"/>
  <c r="K43" i="46"/>
  <c r="V43" i="46"/>
  <c r="U43" i="46"/>
  <c r="X29" i="25"/>
  <c r="X30" i="25" s="1"/>
  <c r="Y29" i="25"/>
  <c r="Y30" i="25" s="1"/>
  <c r="Y21" i="25"/>
  <c r="Y22" i="25" s="1"/>
  <c r="X15" i="25"/>
  <c r="X21" i="25" s="1"/>
  <c r="X22" i="25" s="1"/>
  <c r="R24" i="25"/>
  <c r="S24" i="25"/>
  <c r="R23" i="25"/>
  <c r="S23" i="25"/>
  <c r="Q29" i="25"/>
  <c r="R19" i="25"/>
  <c r="R17" i="25"/>
  <c r="Q21" i="25"/>
  <c r="R12" i="25"/>
  <c r="S12" i="25"/>
  <c r="Q12" i="25"/>
  <c r="R20" i="26"/>
  <c r="R25" i="26" s="1"/>
  <c r="R26" i="26" s="1"/>
  <c r="S11" i="26"/>
  <c r="S16" i="26" s="1"/>
  <c r="Q8" i="26"/>
  <c r="K11" i="28"/>
  <c r="W38" i="54" s="1"/>
  <c r="C26" i="28"/>
  <c r="K12" i="28" s="1"/>
  <c r="W39" i="54" s="1"/>
  <c r="E25" i="47"/>
  <c r="G25" i="47" s="1"/>
  <c r="H25" i="47" s="1"/>
  <c r="O39" i="54" s="1"/>
  <c r="F24" i="47"/>
  <c r="E24" i="47"/>
  <c r="AC44" i="54" l="1"/>
  <c r="AC48" i="54"/>
  <c r="X48" i="54"/>
  <c r="U39" i="54"/>
  <c r="T39" i="54"/>
  <c r="P39" i="54"/>
  <c r="V39" i="54"/>
  <c r="C39" i="54"/>
  <c r="K39" i="54"/>
  <c r="X43" i="54"/>
  <c r="C48" i="46"/>
  <c r="C44" i="46"/>
  <c r="N16" i="39" s="1"/>
  <c r="S3" i="26"/>
  <c r="S8" i="26" s="1"/>
  <c r="S9" i="26" s="1"/>
  <c r="V44" i="46"/>
  <c r="T44" i="46"/>
  <c r="K44" i="46"/>
  <c r="X43" i="46" s="1"/>
  <c r="U49" i="46"/>
  <c r="V49" i="46"/>
  <c r="P44" i="46"/>
  <c r="T49" i="46"/>
  <c r="AC49" i="46" s="1"/>
  <c r="C49" i="46"/>
  <c r="N17" i="39" s="1"/>
  <c r="P49" i="46"/>
  <c r="S21" i="25"/>
  <c r="S22" i="25" s="1"/>
  <c r="S29" i="25"/>
  <c r="S30" i="25" s="1"/>
  <c r="R17" i="26"/>
  <c r="S17" i="26"/>
  <c r="R21" i="25"/>
  <c r="R22" i="25" s="1"/>
  <c r="K51" i="46"/>
  <c r="AC51" i="46" s="1"/>
  <c r="W39" i="46"/>
  <c r="BL16" i="39"/>
  <c r="T48" i="46"/>
  <c r="AC50" i="46"/>
  <c r="P48" i="46"/>
  <c r="V48" i="46"/>
  <c r="BL17" i="39"/>
  <c r="AC43" i="46"/>
  <c r="J48" i="46"/>
  <c r="K48" i="46"/>
  <c r="R29" i="25"/>
  <c r="R30" i="25" s="1"/>
  <c r="S13" i="25"/>
  <c r="R13" i="25"/>
  <c r="R9" i="26"/>
  <c r="O39" i="46"/>
  <c r="W38" i="46"/>
  <c r="G24" i="47"/>
  <c r="H24" i="47" s="1"/>
  <c r="O38" i="54" s="1"/>
  <c r="AC39" i="54" l="1"/>
  <c r="C38" i="54"/>
  <c r="U38" i="54"/>
  <c r="T38" i="54"/>
  <c r="P38" i="54"/>
  <c r="K38" i="54"/>
  <c r="X38" i="54" s="1"/>
  <c r="V38" i="54"/>
  <c r="AC44" i="46"/>
  <c r="L16" i="39"/>
  <c r="L17" i="39"/>
  <c r="AC48" i="46"/>
  <c r="X48" i="46"/>
  <c r="O38" i="46"/>
  <c r="AC38" i="54" l="1"/>
  <c r="H7" i="50"/>
  <c r="F11" i="50"/>
  <c r="F7" i="50"/>
  <c r="F6" i="50"/>
  <c r="H4" i="50"/>
  <c r="H3" i="50"/>
  <c r="G4" i="50"/>
  <c r="G3" i="50"/>
  <c r="F4" i="50"/>
  <c r="E4" i="50"/>
  <c r="E3" i="50"/>
  <c r="D4" i="50"/>
  <c r="D3" i="50"/>
  <c r="B4" i="50"/>
  <c r="B3" i="50"/>
  <c r="BL15" i="39" l="1"/>
  <c r="DW11" i="2"/>
  <c r="DW12" i="2"/>
  <c r="DW13" i="2"/>
  <c r="DW14" i="2"/>
  <c r="DW15" i="2"/>
  <c r="DW16" i="2"/>
  <c r="DW17" i="2"/>
  <c r="DW18" i="2"/>
  <c r="DW20" i="2"/>
  <c r="DW22" i="2"/>
  <c r="DW23" i="2"/>
  <c r="DW24" i="2"/>
  <c r="DW25" i="2"/>
  <c r="DW27" i="2"/>
  <c r="DW28" i="2"/>
  <c r="DW29" i="2"/>
  <c r="DW30" i="2"/>
  <c r="DW32" i="2"/>
  <c r="DW33" i="2"/>
  <c r="DW34" i="2"/>
  <c r="DW35" i="2"/>
  <c r="DW36" i="2"/>
  <c r="DW37" i="2"/>
  <c r="DW38" i="2"/>
  <c r="DW39" i="2"/>
  <c r="DW40" i="2"/>
  <c r="N39" i="46" l="1"/>
  <c r="H39" i="46" s="1"/>
  <c r="C39" i="46"/>
  <c r="AR41" i="46"/>
  <c r="BA41" i="46" s="1"/>
  <c r="AM41" i="46"/>
  <c r="AR40" i="46"/>
  <c r="BA40" i="46" s="1"/>
  <c r="AM40" i="46"/>
  <c r="AD40" i="46" s="1"/>
  <c r="AR39" i="46"/>
  <c r="BA39" i="46" s="1"/>
  <c r="AM39" i="46"/>
  <c r="AR38" i="46"/>
  <c r="BA38" i="46" s="1"/>
  <c r="AM38" i="46"/>
  <c r="U38" i="46"/>
  <c r="N38" i="46"/>
  <c r="H38" i="46" s="1"/>
  <c r="F14" i="28"/>
  <c r="F23" i="28"/>
  <c r="I38" i="28"/>
  <c r="I24" i="47" s="1"/>
  <c r="Q36" i="28"/>
  <c r="Q38" i="28" s="1"/>
  <c r="Q24" i="28"/>
  <c r="Q25" i="28" s="1"/>
  <c r="R25" i="28" s="1"/>
  <c r="P25" i="28"/>
  <c r="S28" i="28"/>
  <c r="R28" i="28"/>
  <c r="S27" i="28"/>
  <c r="R27" i="28"/>
  <c r="S26" i="28"/>
  <c r="R26" i="28"/>
  <c r="R24" i="28"/>
  <c r="P24" i="28"/>
  <c r="P7" i="28"/>
  <c r="S7" i="28" s="1"/>
  <c r="P6" i="28"/>
  <c r="S6" i="28" s="1"/>
  <c r="Q12" i="28"/>
  <c r="S10" i="28"/>
  <c r="R10" i="28"/>
  <c r="S9" i="28"/>
  <c r="R9" i="28"/>
  <c r="S8" i="28"/>
  <c r="R8" i="28"/>
  <c r="R7" i="28"/>
  <c r="R6" i="28"/>
  <c r="J4" i="28"/>
  <c r="S12" i="28" l="1"/>
  <c r="S13" i="28" s="1"/>
  <c r="K38" i="46"/>
  <c r="AD41" i="46"/>
  <c r="AD39" i="46"/>
  <c r="V38" i="46"/>
  <c r="J39" i="46"/>
  <c r="K39" i="46"/>
  <c r="V39" i="46"/>
  <c r="T39" i="46"/>
  <c r="P39" i="46"/>
  <c r="U39" i="46"/>
  <c r="AD38" i="46"/>
  <c r="P38" i="46"/>
  <c r="T38" i="46"/>
  <c r="J38" i="46"/>
  <c r="C38" i="46"/>
  <c r="N15" i="39" s="1"/>
  <c r="S25" i="28"/>
  <c r="Q30" i="28"/>
  <c r="S24" i="28"/>
  <c r="R30" i="28"/>
  <c r="R12" i="28"/>
  <c r="R13" i="28" s="1"/>
  <c r="J4" i="27"/>
  <c r="AC38" i="46" l="1"/>
  <c r="R31" i="28"/>
  <c r="X38" i="46"/>
  <c r="L15" i="39"/>
  <c r="AC39" i="46"/>
  <c r="S30" i="28"/>
  <c r="S31" i="28" s="1"/>
  <c r="F21" i="47"/>
  <c r="E22" i="47"/>
  <c r="G22" i="47" s="1"/>
  <c r="E21" i="47"/>
  <c r="J10" i="27"/>
  <c r="G21" i="47" l="1"/>
  <c r="H21" i="47" s="1"/>
  <c r="O33" i="54" s="1"/>
  <c r="N33" i="46"/>
  <c r="H33" i="46" s="1"/>
  <c r="AR36" i="46"/>
  <c r="BA36" i="46" s="1"/>
  <c r="AM36" i="46"/>
  <c r="AR35" i="46"/>
  <c r="BA35" i="46" s="1"/>
  <c r="AM35" i="46"/>
  <c r="AR34" i="46"/>
  <c r="BA34" i="46" s="1"/>
  <c r="AM34" i="46"/>
  <c r="AC34" i="46"/>
  <c r="AR33" i="46"/>
  <c r="BA33" i="46" s="1"/>
  <c r="AM33" i="46"/>
  <c r="I38" i="27"/>
  <c r="I21" i="47" s="1"/>
  <c r="G42" i="27"/>
  <c r="I37" i="27" s="1"/>
  <c r="F42" i="27"/>
  <c r="Q30" i="27"/>
  <c r="S28" i="27"/>
  <c r="R28" i="27"/>
  <c r="S27" i="27"/>
  <c r="R27" i="27"/>
  <c r="S26" i="27"/>
  <c r="R26" i="27"/>
  <c r="R25" i="27"/>
  <c r="P25" i="27"/>
  <c r="S25" i="27" s="1"/>
  <c r="R24" i="27"/>
  <c r="P24" i="27"/>
  <c r="S24" i="27" s="1"/>
  <c r="Q21" i="27"/>
  <c r="S19" i="27"/>
  <c r="R19" i="27"/>
  <c r="S18" i="27"/>
  <c r="R18" i="27"/>
  <c r="S17" i="27"/>
  <c r="R17" i="27"/>
  <c r="R16" i="27"/>
  <c r="P16" i="27"/>
  <c r="S16" i="27" s="1"/>
  <c r="R15" i="27"/>
  <c r="P15" i="27"/>
  <c r="S15" i="27" s="1"/>
  <c r="P7" i="27"/>
  <c r="S7" i="27" s="1"/>
  <c r="P6" i="27"/>
  <c r="Q12" i="27"/>
  <c r="S10" i="27"/>
  <c r="R10" i="27"/>
  <c r="S9" i="27"/>
  <c r="R9" i="27"/>
  <c r="S8" i="27"/>
  <c r="R8" i="27"/>
  <c r="R7" i="27"/>
  <c r="R6" i="27"/>
  <c r="S6" i="27"/>
  <c r="P33" i="54" l="1"/>
  <c r="U33" i="54"/>
  <c r="T33" i="54"/>
  <c r="C33" i="54"/>
  <c r="V33" i="54"/>
  <c r="K33" i="54"/>
  <c r="AC33" i="54" s="1"/>
  <c r="AD34" i="46"/>
  <c r="O33" i="46"/>
  <c r="U33" i="46" s="1"/>
  <c r="AD36" i="46"/>
  <c r="AD35" i="46"/>
  <c r="J33" i="46"/>
  <c r="AD33" i="46"/>
  <c r="S30" i="27"/>
  <c r="S31" i="27" s="1"/>
  <c r="R30" i="27"/>
  <c r="R31" i="27" s="1"/>
  <c r="S21" i="27"/>
  <c r="S22" i="27" s="1"/>
  <c r="R21" i="27"/>
  <c r="R22" i="27" s="1"/>
  <c r="S12" i="27"/>
  <c r="S13" i="27" s="1"/>
  <c r="R12" i="27"/>
  <c r="R13" i="27" s="1"/>
  <c r="BL14" i="39" l="1"/>
  <c r="C33" i="46"/>
  <c r="N14" i="39" s="1"/>
  <c r="P33" i="46"/>
  <c r="K33" i="46"/>
  <c r="L14" i="39" s="1"/>
  <c r="V33" i="46"/>
  <c r="T33" i="46"/>
  <c r="AC33" i="46" l="1"/>
  <c r="V9" i="45"/>
  <c r="V10" i="45"/>
  <c r="V11" i="45"/>
  <c r="V12" i="45"/>
  <c r="V13" i="45"/>
  <c r="V14" i="45"/>
  <c r="V15" i="45"/>
  <c r="V16" i="45"/>
  <c r="V17" i="45"/>
  <c r="V18" i="45"/>
  <c r="V19" i="45"/>
  <c r="V20" i="45"/>
  <c r="V21" i="45"/>
  <c r="V22" i="45"/>
  <c r="V23" i="45"/>
  <c r="V24" i="45"/>
  <c r="V25" i="45"/>
  <c r="V26" i="45"/>
  <c r="V27" i="45"/>
  <c r="V28" i="45"/>
  <c r="V29" i="45"/>
  <c r="V30" i="45"/>
  <c r="V31" i="45"/>
  <c r="V32" i="45"/>
  <c r="V33" i="45"/>
  <c r="V34" i="45"/>
  <c r="V35" i="45"/>
  <c r="V36" i="45"/>
  <c r="V37" i="45"/>
  <c r="V38" i="45"/>
  <c r="V8" i="45"/>
  <c r="S9" i="45"/>
  <c r="S10" i="45"/>
  <c r="S11" i="45"/>
  <c r="S12" i="45"/>
  <c r="S13" i="45"/>
  <c r="S14" i="45"/>
  <c r="S15" i="45"/>
  <c r="S16" i="45"/>
  <c r="S17" i="45"/>
  <c r="S18" i="45"/>
  <c r="S19" i="45"/>
  <c r="S20" i="45"/>
  <c r="S21" i="45"/>
  <c r="S22" i="45"/>
  <c r="S23" i="45"/>
  <c r="S24" i="45"/>
  <c r="S25" i="45"/>
  <c r="S26" i="45"/>
  <c r="S27" i="45"/>
  <c r="S28" i="45"/>
  <c r="S29" i="45"/>
  <c r="S30" i="45"/>
  <c r="S31" i="45"/>
  <c r="S32" i="45"/>
  <c r="S33" i="45"/>
  <c r="S34" i="45"/>
  <c r="S35" i="45"/>
  <c r="S36" i="45"/>
  <c r="S37" i="45"/>
  <c r="S38" i="45"/>
  <c r="S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K10" i="29" l="1"/>
  <c r="W29" i="54" s="1"/>
  <c r="K9" i="29"/>
  <c r="W27" i="54" s="1"/>
  <c r="K7" i="29"/>
  <c r="W28" i="54" s="1"/>
  <c r="C58" i="29"/>
  <c r="E19" i="47"/>
  <c r="G19" i="47" s="1"/>
  <c r="E18" i="47"/>
  <c r="G18" i="47" s="1"/>
  <c r="H18" i="47" s="1"/>
  <c r="O29" i="54" s="1"/>
  <c r="E16" i="47"/>
  <c r="G16" i="47" s="1"/>
  <c r="H16" i="47" s="1"/>
  <c r="O27" i="54" s="1"/>
  <c r="E17" i="47"/>
  <c r="G17" i="47" s="1"/>
  <c r="H17" i="47" s="1"/>
  <c r="O28" i="54" s="1"/>
  <c r="P29" i="54" l="1"/>
  <c r="V29" i="54"/>
  <c r="C29" i="54"/>
  <c r="U29" i="54"/>
  <c r="T29" i="54"/>
  <c r="K29" i="54"/>
  <c r="P28" i="54"/>
  <c r="V28" i="54"/>
  <c r="U28" i="54"/>
  <c r="K28" i="54"/>
  <c r="C28" i="54"/>
  <c r="T28" i="54"/>
  <c r="U27" i="54"/>
  <c r="P27" i="54"/>
  <c r="V27" i="54"/>
  <c r="T27" i="54"/>
  <c r="C27" i="54"/>
  <c r="K27" i="54"/>
  <c r="H19" i="47"/>
  <c r="O30" i="54" s="1"/>
  <c r="W27" i="46"/>
  <c r="W28" i="46"/>
  <c r="W29" i="46"/>
  <c r="O27" i="46"/>
  <c r="U27" i="46" s="1"/>
  <c r="O29" i="46"/>
  <c r="O28" i="46"/>
  <c r="AR31" i="46"/>
  <c r="BA31" i="46" s="1"/>
  <c r="AM31" i="46"/>
  <c r="S30" i="46"/>
  <c r="Q29" i="46"/>
  <c r="Q28" i="46"/>
  <c r="N29" i="46"/>
  <c r="H29" i="46" s="1"/>
  <c r="N30" i="46"/>
  <c r="H30" i="46" s="1"/>
  <c r="W30" i="46"/>
  <c r="N27" i="46"/>
  <c r="AR30" i="46"/>
  <c r="BA30" i="46" s="1"/>
  <c r="AM30" i="46"/>
  <c r="AR29" i="46"/>
  <c r="BA29" i="46" s="1"/>
  <c r="AM29" i="46"/>
  <c r="AR28" i="46"/>
  <c r="BA28" i="46" s="1"/>
  <c r="AM28" i="46"/>
  <c r="N28" i="46"/>
  <c r="H28" i="46" s="1"/>
  <c r="AR27" i="46"/>
  <c r="BA27" i="46" s="1"/>
  <c r="AM27" i="46"/>
  <c r="I38" i="29"/>
  <c r="I16" i="47" s="1"/>
  <c r="G42" i="29"/>
  <c r="I37" i="29" s="1"/>
  <c r="F42" i="29"/>
  <c r="Q36" i="29"/>
  <c r="Z19" i="29"/>
  <c r="Y19" i="29"/>
  <c r="Z18" i="29"/>
  <c r="Y18" i="29"/>
  <c r="Z17" i="29"/>
  <c r="Y17" i="29"/>
  <c r="X21" i="29"/>
  <c r="Z16" i="29"/>
  <c r="Z15" i="29"/>
  <c r="Y15" i="29"/>
  <c r="N41" i="29"/>
  <c r="Q26" i="29"/>
  <c r="R26" i="29" s="1"/>
  <c r="Q24" i="29"/>
  <c r="R24" i="29" s="1"/>
  <c r="S28" i="29"/>
  <c r="R28" i="29"/>
  <c r="S27" i="29"/>
  <c r="R27" i="29"/>
  <c r="S25" i="29"/>
  <c r="Q15" i="29"/>
  <c r="R15" i="29" s="1"/>
  <c r="Q16" i="29"/>
  <c r="R16" i="29" s="1"/>
  <c r="P15" i="29"/>
  <c r="S19" i="29"/>
  <c r="R19" i="29"/>
  <c r="S18" i="29"/>
  <c r="R18" i="29"/>
  <c r="S17" i="29"/>
  <c r="R17" i="29"/>
  <c r="S16" i="29"/>
  <c r="Q7" i="29"/>
  <c r="R7" i="29" s="1"/>
  <c r="P7" i="29"/>
  <c r="P6" i="29"/>
  <c r="S6" i="29" s="1"/>
  <c r="S10" i="29"/>
  <c r="R10" i="29"/>
  <c r="S9" i="29"/>
  <c r="R9" i="29"/>
  <c r="S8" i="29"/>
  <c r="R8" i="29"/>
  <c r="R6" i="29"/>
  <c r="J4" i="29"/>
  <c r="AC29" i="54" l="1"/>
  <c r="U30" i="54"/>
  <c r="AA27" i="54" s="1"/>
  <c r="V30" i="54"/>
  <c r="T30" i="54"/>
  <c r="P30" i="54"/>
  <c r="C30" i="54"/>
  <c r="K30" i="54"/>
  <c r="AC27" i="54"/>
  <c r="AC28" i="54"/>
  <c r="AD28" i="46"/>
  <c r="C28" i="46"/>
  <c r="O30" i="46"/>
  <c r="T30" i="46" s="1"/>
  <c r="AD27" i="46"/>
  <c r="Q30" i="29"/>
  <c r="Q31" i="29" s="1"/>
  <c r="AD30" i="46"/>
  <c r="S24" i="29"/>
  <c r="C29" i="46"/>
  <c r="K28" i="46"/>
  <c r="P29" i="46"/>
  <c r="T29" i="46"/>
  <c r="V27" i="46"/>
  <c r="AD31" i="46"/>
  <c r="AD29" i="46"/>
  <c r="J28" i="46"/>
  <c r="J29" i="46"/>
  <c r="K29" i="46"/>
  <c r="J30" i="46"/>
  <c r="V29" i="46"/>
  <c r="U29" i="46"/>
  <c r="P27" i="46"/>
  <c r="T27" i="46"/>
  <c r="C27" i="46"/>
  <c r="H27" i="46"/>
  <c r="U28" i="46"/>
  <c r="V28" i="46"/>
  <c r="P28" i="46"/>
  <c r="T28" i="46"/>
  <c r="Z21" i="29"/>
  <c r="Z22" i="29" s="1"/>
  <c r="Y16" i="29"/>
  <c r="Y21" i="29" s="1"/>
  <c r="Y22" i="29" s="1"/>
  <c r="S26" i="29"/>
  <c r="R25" i="29"/>
  <c r="R30" i="29" s="1"/>
  <c r="S15" i="29"/>
  <c r="S21" i="29" s="1"/>
  <c r="R21" i="29"/>
  <c r="Q21" i="29"/>
  <c r="Q22" i="29" s="1"/>
  <c r="S7" i="29"/>
  <c r="S12" i="29" s="1"/>
  <c r="R12" i="29"/>
  <c r="Q12" i="29"/>
  <c r="R31" i="29" l="1"/>
  <c r="AC30" i="54"/>
  <c r="AB27" i="54" s="1"/>
  <c r="X27" i="54"/>
  <c r="K30" i="46"/>
  <c r="AC30" i="46" s="1"/>
  <c r="P30" i="46"/>
  <c r="U30" i="46"/>
  <c r="C30" i="46"/>
  <c r="N13" i="39" s="1"/>
  <c r="V30" i="46"/>
  <c r="BL13" i="39"/>
  <c r="S30" i="29"/>
  <c r="S31" i="29" s="1"/>
  <c r="AC29" i="46"/>
  <c r="AC28" i="46"/>
  <c r="J27" i="46"/>
  <c r="K27" i="46"/>
  <c r="L13" i="39" s="1"/>
  <c r="S22" i="29"/>
  <c r="R22" i="29"/>
  <c r="S13" i="29"/>
  <c r="R13" i="29"/>
  <c r="AC27" i="46" l="1"/>
  <c r="X27" i="46"/>
  <c r="K9" i="30" l="1"/>
  <c r="W23" i="54" s="1"/>
  <c r="K8" i="30"/>
  <c r="W22" i="54" s="1"/>
  <c r="F14" i="47"/>
  <c r="F13" i="47"/>
  <c r="E14" i="47"/>
  <c r="G14" i="47" s="1"/>
  <c r="H14" i="47" s="1"/>
  <c r="O23" i="54" s="1"/>
  <c r="E13" i="47"/>
  <c r="U23" i="54" l="1"/>
  <c r="P23" i="54"/>
  <c r="C23" i="54"/>
  <c r="V23" i="54"/>
  <c r="T23" i="54"/>
  <c r="K23" i="54"/>
  <c r="AC23" i="54" s="1"/>
  <c r="O23" i="46"/>
  <c r="P23" i="46" s="1"/>
  <c r="W22" i="46"/>
  <c r="W23" i="46"/>
  <c r="G13" i="47"/>
  <c r="H13" i="47" s="1"/>
  <c r="O22" i="54" s="1"/>
  <c r="N23" i="46"/>
  <c r="H23" i="46" s="1"/>
  <c r="J23" i="46" s="1"/>
  <c r="AR25" i="46"/>
  <c r="BA25" i="46" s="1"/>
  <c r="AM25" i="46"/>
  <c r="AR24" i="46"/>
  <c r="BA24" i="46" s="1"/>
  <c r="AM24" i="46"/>
  <c r="AR23" i="46"/>
  <c r="BA23" i="46" s="1"/>
  <c r="AM23" i="46"/>
  <c r="AR22" i="46"/>
  <c r="BA22" i="46" s="1"/>
  <c r="AM22" i="46"/>
  <c r="N22" i="46"/>
  <c r="I38" i="30"/>
  <c r="I13" i="47" s="1"/>
  <c r="Z18" i="30"/>
  <c r="Y18" i="30"/>
  <c r="Z17" i="30"/>
  <c r="Y17" i="30"/>
  <c r="Z16" i="30"/>
  <c r="Y16" i="30"/>
  <c r="X20" i="30"/>
  <c r="Y14" i="30"/>
  <c r="Z14" i="30"/>
  <c r="Q34" i="30"/>
  <c r="Q36" i="30" s="1"/>
  <c r="G42" i="30"/>
  <c r="I37" i="30" s="1"/>
  <c r="F42" i="30"/>
  <c r="P24" i="30"/>
  <c r="P23" i="30"/>
  <c r="S23" i="30" s="1"/>
  <c r="Q15" i="30"/>
  <c r="Q24" i="30"/>
  <c r="R24" i="30" s="1"/>
  <c r="S27" i="30"/>
  <c r="R27" i="30"/>
  <c r="S26" i="30"/>
  <c r="R26" i="30"/>
  <c r="S25" i="30"/>
  <c r="R25" i="30"/>
  <c r="R23" i="30"/>
  <c r="P15" i="30"/>
  <c r="S18" i="30"/>
  <c r="R18" i="30"/>
  <c r="S17" i="30"/>
  <c r="R17" i="30"/>
  <c r="S16" i="30"/>
  <c r="R16" i="30"/>
  <c r="R15" i="30"/>
  <c r="R14" i="30"/>
  <c r="P14" i="30"/>
  <c r="S14" i="30" s="1"/>
  <c r="Q12" i="30"/>
  <c r="S10" i="30"/>
  <c r="R10" i="30"/>
  <c r="S9" i="30"/>
  <c r="R9" i="30"/>
  <c r="R8" i="30"/>
  <c r="S8" i="30"/>
  <c r="R7" i="30"/>
  <c r="S7" i="30"/>
  <c r="R6" i="30"/>
  <c r="P6" i="30"/>
  <c r="S6" i="30" s="1"/>
  <c r="J4" i="30"/>
  <c r="V22" i="54" l="1"/>
  <c r="P22" i="54"/>
  <c r="C22" i="54"/>
  <c r="K22" i="54"/>
  <c r="X22" i="54" s="1"/>
  <c r="T22" i="54"/>
  <c r="U22" i="54"/>
  <c r="AA22" i="54" s="1"/>
  <c r="AD22" i="46"/>
  <c r="AD24" i="46"/>
  <c r="S15" i="30"/>
  <c r="V23" i="46"/>
  <c r="Q29" i="30"/>
  <c r="O22" i="46"/>
  <c r="AD25" i="46"/>
  <c r="S24" i="30"/>
  <c r="S29" i="30" s="1"/>
  <c r="R12" i="30"/>
  <c r="R13" i="30" s="1"/>
  <c r="R20" i="30"/>
  <c r="Q20" i="30"/>
  <c r="H22" i="46"/>
  <c r="AD23" i="46"/>
  <c r="U23" i="46"/>
  <c r="C23" i="46"/>
  <c r="T23" i="46"/>
  <c r="K23" i="46"/>
  <c r="Z15" i="30"/>
  <c r="Z20" i="30" s="1"/>
  <c r="Z21" i="30" s="1"/>
  <c r="Y15" i="30"/>
  <c r="Y20" i="30" s="1"/>
  <c r="Y21" i="30" s="1"/>
  <c r="S20" i="30"/>
  <c r="R29" i="30"/>
  <c r="S12" i="30"/>
  <c r="S13" i="30" s="1"/>
  <c r="F11" i="47"/>
  <c r="E11" i="47"/>
  <c r="E10" i="47"/>
  <c r="G10" i="47" s="1"/>
  <c r="AC22" i="54" l="1"/>
  <c r="AB22" i="54" s="1"/>
  <c r="S30" i="30"/>
  <c r="R30" i="30"/>
  <c r="S21" i="30"/>
  <c r="G11" i="47"/>
  <c r="H10" i="47" s="1"/>
  <c r="O17" i="54" s="1"/>
  <c r="C22" i="46"/>
  <c r="N12" i="39" s="1"/>
  <c r="P22" i="46"/>
  <c r="U22" i="46"/>
  <c r="J22" i="46"/>
  <c r="K22" i="46"/>
  <c r="T22" i="46"/>
  <c r="R21" i="30"/>
  <c r="V22" i="46"/>
  <c r="AC23" i="46"/>
  <c r="C17" i="54" l="1"/>
  <c r="U17" i="54"/>
  <c r="T17" i="54"/>
  <c r="P17" i="54"/>
  <c r="V17" i="54"/>
  <c r="K17" i="54"/>
  <c r="AC17" i="54" s="1"/>
  <c r="AC22" i="46"/>
  <c r="BL12" i="39"/>
  <c r="X22" i="46"/>
  <c r="L12" i="39"/>
  <c r="O17" i="46"/>
  <c r="P17" i="46" s="1"/>
  <c r="N17" i="46"/>
  <c r="AR20" i="46"/>
  <c r="BA20" i="46" s="1"/>
  <c r="AM20" i="46"/>
  <c r="AR19" i="46"/>
  <c r="BA19" i="46" s="1"/>
  <c r="AM19" i="46"/>
  <c r="AR18" i="46"/>
  <c r="BA18" i="46" s="1"/>
  <c r="AM18" i="46"/>
  <c r="AR17" i="46"/>
  <c r="BA17" i="46" s="1"/>
  <c r="AM17" i="46"/>
  <c r="I38" i="31"/>
  <c r="I10" i="47" s="1"/>
  <c r="S10" i="31"/>
  <c r="R10" i="31"/>
  <c r="S9" i="31"/>
  <c r="R9" i="31"/>
  <c r="R8" i="31"/>
  <c r="P8" i="31"/>
  <c r="S8" i="31" s="1"/>
  <c r="P7" i="31"/>
  <c r="R6" i="31"/>
  <c r="P6" i="31"/>
  <c r="S6" i="31" s="1"/>
  <c r="J4" i="31"/>
  <c r="AD17" i="46" l="1"/>
  <c r="AD19" i="46"/>
  <c r="V17" i="46"/>
  <c r="AD20" i="46"/>
  <c r="AD18" i="46"/>
  <c r="T17" i="46"/>
  <c r="C17" i="46"/>
  <c r="N11" i="39" s="1"/>
  <c r="U17" i="46"/>
  <c r="H17" i="46"/>
  <c r="AC18" i="46"/>
  <c r="S7" i="31"/>
  <c r="S12" i="31" s="1"/>
  <c r="Q12" i="31"/>
  <c r="R7" i="31"/>
  <c r="R12" i="31" s="1"/>
  <c r="IB10" i="1"/>
  <c r="BL11" i="39" l="1"/>
  <c r="K17" i="46"/>
  <c r="L11" i="39" s="1"/>
  <c r="J17" i="46"/>
  <c r="R13" i="31"/>
  <c r="S13" i="31"/>
  <c r="AC17" i="46" l="1"/>
  <c r="C4" i="50" l="1"/>
  <c r="C3" i="50"/>
  <c r="A9" i="1" l="1"/>
  <c r="A10" i="2"/>
  <c r="K8" i="33"/>
  <c r="W6" i="54" s="1"/>
  <c r="C16" i="33"/>
  <c r="K7" i="33" s="1"/>
  <c r="W7" i="54" s="1"/>
  <c r="J8" i="32"/>
  <c r="J12" i="32"/>
  <c r="J13" i="32"/>
  <c r="J14" i="32"/>
  <c r="J15" i="32"/>
  <c r="J16" i="32"/>
  <c r="J17" i="32"/>
  <c r="J18" i="32"/>
  <c r="J19" i="32"/>
  <c r="J20" i="32"/>
  <c r="J21" i="32"/>
  <c r="J22" i="32"/>
  <c r="J23" i="32"/>
  <c r="J24" i="32"/>
  <c r="J25" i="32"/>
  <c r="J26" i="32"/>
  <c r="J27" i="32"/>
  <c r="J28" i="32"/>
  <c r="J29" i="32"/>
  <c r="J30" i="32"/>
  <c r="J31" i="32"/>
  <c r="J7" i="32"/>
  <c r="K8" i="32"/>
  <c r="W13" i="54" s="1"/>
  <c r="K7" i="32"/>
  <c r="W12" i="54" s="1"/>
  <c r="E8" i="47"/>
  <c r="F8" i="47"/>
  <c r="F7" i="47"/>
  <c r="E7" i="47"/>
  <c r="F4" i="47"/>
  <c r="E5" i="47"/>
  <c r="E4" i="47"/>
  <c r="W13" i="46" l="1"/>
  <c r="W12" i="46"/>
  <c r="W7" i="46"/>
  <c r="W6" i="46"/>
  <c r="G8" i="47"/>
  <c r="H8" i="47" s="1"/>
  <c r="O13" i="54" s="1"/>
  <c r="G7" i="47"/>
  <c r="H7" i="47" s="1"/>
  <c r="O12" i="54" s="1"/>
  <c r="U12" i="54" l="1"/>
  <c r="V12" i="54"/>
  <c r="T12" i="54"/>
  <c r="C12" i="54"/>
  <c r="P12" i="54"/>
  <c r="K12" i="54"/>
  <c r="C13" i="54"/>
  <c r="T13" i="54"/>
  <c r="U13" i="54"/>
  <c r="P13" i="54"/>
  <c r="V13" i="54"/>
  <c r="K13" i="54"/>
  <c r="O12" i="46"/>
  <c r="O13" i="46"/>
  <c r="AC13" i="54" l="1"/>
  <c r="AC12" i="54"/>
  <c r="X12" i="54"/>
  <c r="AA12" i="54"/>
  <c r="AB12" i="54" s="1"/>
  <c r="BL10" i="39"/>
  <c r="BF12" i="39"/>
  <c r="BF13" i="39"/>
  <c r="BF14" i="39"/>
  <c r="BF16" i="39"/>
  <c r="BF17" i="39"/>
  <c r="BF20" i="39"/>
  <c r="BF21" i="39"/>
  <c r="BF22" i="39"/>
  <c r="BF24" i="39"/>
  <c r="BF25" i="39"/>
  <c r="BH25" i="39" s="1"/>
  <c r="BF26" i="39"/>
  <c r="BH26" i="39" s="1"/>
  <c r="BF28" i="39"/>
  <c r="BF29" i="39"/>
  <c r="BF30" i="39"/>
  <c r="BF31" i="39"/>
  <c r="BF32" i="39"/>
  <c r="BF33" i="39"/>
  <c r="BF36" i="39"/>
  <c r="BF37" i="39"/>
  <c r="BF38" i="39"/>
  <c r="BF39" i="39"/>
  <c r="BH39" i="39" s="1"/>
  <c r="BF9" i="39"/>
  <c r="W12" i="45"/>
  <c r="W20" i="45"/>
  <c r="W25" i="45"/>
  <c r="W28" i="45"/>
  <c r="W36" i="45"/>
  <c r="W30" i="45"/>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W35" i="45" l="1"/>
  <c r="W27" i="45"/>
  <c r="W11" i="45"/>
  <c r="W19" i="45"/>
  <c r="W31" i="45"/>
  <c r="W15" i="45"/>
  <c r="W13" i="45"/>
  <c r="W29" i="45"/>
  <c r="W21" i="45"/>
  <c r="W23" i="45"/>
  <c r="W38" i="45"/>
  <c r="W37" i="45"/>
  <c r="W34" i="45"/>
  <c r="BF35" i="39"/>
  <c r="W26" i="45"/>
  <c r="BF27" i="39"/>
  <c r="BH27" i="39" s="1"/>
  <c r="W18" i="45"/>
  <c r="BF19" i="39"/>
  <c r="W10" i="45"/>
  <c r="BF11" i="39"/>
  <c r="W33" i="45"/>
  <c r="BF34" i="39"/>
  <c r="W17" i="45"/>
  <c r="BF18" i="39"/>
  <c r="W9" i="45"/>
  <c r="BF10" i="39"/>
  <c r="BG9" i="39"/>
  <c r="W22" i="45"/>
  <c r="BF23" i="39"/>
  <c r="W14" i="45"/>
  <c r="BF15" i="39"/>
  <c r="W32" i="45"/>
  <c r="W24" i="45"/>
  <c r="W16" i="45"/>
  <c r="W8" i="45"/>
  <c r="V40" i="45"/>
  <c r="BG10" i="39" l="1"/>
  <c r="BG11" i="39" s="1"/>
  <c r="BG12" i="39" s="1"/>
  <c r="BG13" i="39" s="1"/>
  <c r="BG14" i="39" s="1"/>
  <c r="BG15" i="39" s="1"/>
  <c r="BG16" i="39" s="1"/>
  <c r="BG17" i="39" s="1"/>
  <c r="BG18" i="39" s="1"/>
  <c r="BG19" i="39" s="1"/>
  <c r="BG20" i="39" s="1"/>
  <c r="BG21" i="39" s="1"/>
  <c r="BG22" i="39" s="1"/>
  <c r="BG23" i="39" s="1"/>
  <c r="BG24" i="39" s="1"/>
  <c r="BG25" i="39" s="1"/>
  <c r="BG26" i="39" s="1"/>
  <c r="BG27" i="39" s="1"/>
  <c r="BG28" i="39" s="1"/>
  <c r="BG29" i="39" s="1"/>
  <c r="BG30" i="39" s="1"/>
  <c r="BG31" i="39" s="1"/>
  <c r="BG32" i="39" s="1"/>
  <c r="BG33" i="39" s="1"/>
  <c r="BG34" i="39" s="1"/>
  <c r="BG35" i="39" s="1"/>
  <c r="BG36" i="39" s="1"/>
  <c r="BG37" i="39" s="1"/>
  <c r="BG38" i="39" s="1"/>
  <c r="BG39" i="39" s="1"/>
  <c r="BF41" i="39"/>
  <c r="AR15" i="46" l="1"/>
  <c r="BA15" i="46" s="1"/>
  <c r="AM15" i="46"/>
  <c r="AR14" i="46"/>
  <c r="BA14" i="46" s="1"/>
  <c r="AM14" i="46"/>
  <c r="AR13" i="46"/>
  <c r="BA13" i="46" s="1"/>
  <c r="AM13" i="46"/>
  <c r="N13" i="46"/>
  <c r="H13" i="46" s="1"/>
  <c r="J13" i="46" s="1"/>
  <c r="AR12" i="46"/>
  <c r="BA12" i="46" s="1"/>
  <c r="AM12" i="46"/>
  <c r="U12" i="46"/>
  <c r="T12" i="46"/>
  <c r="P12" i="46"/>
  <c r="N12" i="46"/>
  <c r="H12" i="46" s="1"/>
  <c r="J12" i="46" s="1"/>
  <c r="Q7" i="46"/>
  <c r="R7" i="46"/>
  <c r="N7" i="46"/>
  <c r="I38" i="32"/>
  <c r="I7" i="47" s="1"/>
  <c r="W21" i="32"/>
  <c r="W22" i="32" s="1"/>
  <c r="Y19" i="32"/>
  <c r="X19" i="32"/>
  <c r="Y18" i="32"/>
  <c r="X18" i="32"/>
  <c r="Y17" i="32"/>
  <c r="X17" i="32"/>
  <c r="Y16" i="32"/>
  <c r="X16" i="32"/>
  <c r="Y15" i="32"/>
  <c r="X15" i="32"/>
  <c r="Q35" i="32"/>
  <c r="Y10" i="32"/>
  <c r="X10" i="32"/>
  <c r="Y9" i="32"/>
  <c r="X9" i="32"/>
  <c r="Y8" i="32"/>
  <c r="X8" i="32"/>
  <c r="X7" i="32"/>
  <c r="Y7" i="32"/>
  <c r="Y6" i="32"/>
  <c r="X6" i="32"/>
  <c r="W12" i="32"/>
  <c r="W13" i="32" s="1"/>
  <c r="AD12" i="46" l="1"/>
  <c r="H7" i="46"/>
  <c r="J7" i="46" s="1"/>
  <c r="AD15" i="46"/>
  <c r="AD14" i="46"/>
  <c r="AD13" i="46"/>
  <c r="V13" i="46"/>
  <c r="C12" i="46"/>
  <c r="N10" i="39" s="1"/>
  <c r="V12" i="46"/>
  <c r="T13" i="46"/>
  <c r="K12" i="46"/>
  <c r="C13" i="46"/>
  <c r="U13" i="46"/>
  <c r="AA12" i="46" s="1"/>
  <c r="P13" i="46"/>
  <c r="K13" i="46"/>
  <c r="X21" i="32"/>
  <c r="X22" i="32" s="1"/>
  <c r="Y21" i="32"/>
  <c r="Y22" i="32" s="1"/>
  <c r="Y12" i="32"/>
  <c r="Y13" i="32" s="1"/>
  <c r="X12" i="32"/>
  <c r="X13" i="32" s="1"/>
  <c r="G42" i="32"/>
  <c r="I37" i="32" s="1"/>
  <c r="F42" i="32"/>
  <c r="S28" i="32"/>
  <c r="R28" i="32"/>
  <c r="S27" i="32"/>
  <c r="R27" i="32"/>
  <c r="R26" i="32"/>
  <c r="P26" i="32"/>
  <c r="S26" i="32" s="1"/>
  <c r="Q25" i="32"/>
  <c r="P25" i="32"/>
  <c r="R24" i="32"/>
  <c r="P24" i="32"/>
  <c r="S24" i="32" s="1"/>
  <c r="Q15" i="32"/>
  <c r="R15" i="32" s="1"/>
  <c r="S19" i="32"/>
  <c r="R19" i="32"/>
  <c r="S18" i="32"/>
  <c r="R18" i="32"/>
  <c r="R17" i="32"/>
  <c r="P17" i="32"/>
  <c r="S17" i="32" s="1"/>
  <c r="P16" i="32"/>
  <c r="P15" i="32"/>
  <c r="Q8" i="32"/>
  <c r="R8" i="32" s="1"/>
  <c r="P8" i="32"/>
  <c r="Q7" i="32"/>
  <c r="R7" i="32" s="1"/>
  <c r="P7" i="32"/>
  <c r="Q6" i="32"/>
  <c r="R6" i="32" s="1"/>
  <c r="S10" i="32"/>
  <c r="R10" i="32"/>
  <c r="S9" i="32"/>
  <c r="R9" i="32"/>
  <c r="P6" i="32"/>
  <c r="J4" i="32"/>
  <c r="I38" i="33"/>
  <c r="I4" i="47" s="1"/>
  <c r="Q35" i="33"/>
  <c r="Z19" i="33"/>
  <c r="Y19" i="33"/>
  <c r="Z18" i="33"/>
  <c r="Y18" i="33"/>
  <c r="Y17" i="33"/>
  <c r="Z17" i="33"/>
  <c r="Z16" i="33"/>
  <c r="Y15" i="33"/>
  <c r="Z15" i="33"/>
  <c r="Z10" i="33"/>
  <c r="Y10" i="33"/>
  <c r="Z9" i="33"/>
  <c r="Y9" i="33"/>
  <c r="Y8" i="33"/>
  <c r="W8" i="33"/>
  <c r="Z8" i="33" s="1"/>
  <c r="X7" i="33"/>
  <c r="W7" i="33"/>
  <c r="X6" i="33"/>
  <c r="Y6" i="33" s="1"/>
  <c r="W6" i="33"/>
  <c r="G42" i="33"/>
  <c r="I37" i="33" s="1"/>
  <c r="F42" i="33"/>
  <c r="N40" i="33"/>
  <c r="P24" i="33"/>
  <c r="S24" i="33" s="1"/>
  <c r="Q15" i="33"/>
  <c r="Q21" i="33" s="1"/>
  <c r="Q22" i="33" s="1"/>
  <c r="P7" i="33"/>
  <c r="P15" i="33"/>
  <c r="F19" i="33"/>
  <c r="Q7" i="33"/>
  <c r="Q12" i="33" s="1"/>
  <c r="Q13" i="33" s="1"/>
  <c r="Q6" i="33"/>
  <c r="R6" i="33" s="1"/>
  <c r="P6" i="33"/>
  <c r="Q30" i="33"/>
  <c r="Q31" i="33" s="1"/>
  <c r="S28" i="33"/>
  <c r="R28" i="33"/>
  <c r="S27" i="33"/>
  <c r="R27" i="33"/>
  <c r="R26" i="33"/>
  <c r="P26" i="33"/>
  <c r="S26" i="33" s="1"/>
  <c r="R25" i="33"/>
  <c r="P25" i="33"/>
  <c r="S25" i="33" s="1"/>
  <c r="R24" i="33"/>
  <c r="S19" i="33"/>
  <c r="R19" i="33"/>
  <c r="S18" i="33"/>
  <c r="R18" i="33"/>
  <c r="R17" i="33"/>
  <c r="P17" i="33"/>
  <c r="S17" i="33" s="1"/>
  <c r="R16" i="33"/>
  <c r="P16" i="33"/>
  <c r="S16" i="33" s="1"/>
  <c r="S10" i="33"/>
  <c r="R10" i="33"/>
  <c r="S9" i="33"/>
  <c r="R9" i="33"/>
  <c r="R8" i="33"/>
  <c r="P8" i="33"/>
  <c r="S8" i="33" s="1"/>
  <c r="S6" i="32" l="1"/>
  <c r="S7" i="33"/>
  <c r="R7" i="33"/>
  <c r="Z7" i="33"/>
  <c r="AC13" i="46"/>
  <c r="R30" i="33"/>
  <c r="R31" i="33" s="1"/>
  <c r="S6" i="33"/>
  <c r="S12" i="33" s="1"/>
  <c r="S13" i="33" s="1"/>
  <c r="Q16" i="32"/>
  <c r="R16" i="32" s="1"/>
  <c r="R21" i="32" s="1"/>
  <c r="L10" i="39"/>
  <c r="Z6" i="33"/>
  <c r="AC12" i="46"/>
  <c r="X12" i="46"/>
  <c r="S25" i="32"/>
  <c r="S30" i="32"/>
  <c r="R25" i="32"/>
  <c r="R30" i="32" s="1"/>
  <c r="Q30" i="32"/>
  <c r="Q31" i="32" s="1"/>
  <c r="S15" i="32"/>
  <c r="S8" i="32"/>
  <c r="S7" i="32"/>
  <c r="S12" i="32" s="1"/>
  <c r="Q12" i="32"/>
  <c r="Q13" i="32" s="1"/>
  <c r="R12" i="32"/>
  <c r="Z21" i="33"/>
  <c r="X21" i="33"/>
  <c r="X22" i="33" s="1"/>
  <c r="Y16" i="33"/>
  <c r="Y21" i="33" s="1"/>
  <c r="Y22" i="33" s="1"/>
  <c r="X12" i="33"/>
  <c r="X13" i="33" s="1"/>
  <c r="Y7" i="33"/>
  <c r="Y12" i="33" s="1"/>
  <c r="R15" i="33"/>
  <c r="R21" i="33" s="1"/>
  <c r="R22" i="33" s="1"/>
  <c r="S15" i="33"/>
  <c r="S21" i="33" s="1"/>
  <c r="S22" i="33" s="1"/>
  <c r="R12" i="33"/>
  <c r="R13" i="33" s="1"/>
  <c r="S30" i="33"/>
  <c r="S31" i="33" s="1"/>
  <c r="S13" i="32" l="1"/>
  <c r="AB12" i="46"/>
  <c r="Y13" i="33"/>
  <c r="Z12" i="33"/>
  <c r="Z13" i="33" s="1"/>
  <c r="R13" i="32"/>
  <c r="R31" i="32"/>
  <c r="Q21" i="32"/>
  <c r="Q22" i="32" s="1"/>
  <c r="S16" i="32"/>
  <c r="S21" i="32" s="1"/>
  <c r="S22" i="32" s="1"/>
  <c r="S31" i="32"/>
  <c r="Z22" i="33"/>
  <c r="J4" i="33"/>
  <c r="R22" i="32" l="1"/>
  <c r="AZ10" i="39"/>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8" i="39"/>
  <c r="AZ39" i="39"/>
  <c r="AZ9" i="39"/>
  <c r="BF164" i="46" l="1"/>
  <c r="BE164" i="46"/>
  <c r="BD164" i="46"/>
  <c r="BC164" i="46"/>
  <c r="BB164" i="46"/>
  <c r="BF164" i="54"/>
  <c r="BE164" i="54"/>
  <c r="BD164" i="54"/>
  <c r="A6" i="46" l="1"/>
  <c r="B1" i="47"/>
  <c r="A4" i="47" s="1"/>
  <c r="F32" i="27" l="1"/>
  <c r="E32" i="27"/>
  <c r="D32" i="27"/>
  <c r="C32" i="27"/>
  <c r="C33" i="27" s="1"/>
  <c r="F23" i="27"/>
  <c r="E23" i="27"/>
  <c r="D23" i="27"/>
  <c r="C23" i="27"/>
  <c r="F14" i="27"/>
  <c r="E14" i="27"/>
  <c r="D14" i="27"/>
  <c r="C14" i="27"/>
  <c r="F32" i="29"/>
  <c r="E32" i="29"/>
  <c r="D32" i="29"/>
  <c r="C32" i="29"/>
  <c r="F23" i="29"/>
  <c r="E23" i="29"/>
  <c r="D23" i="29"/>
  <c r="C23" i="29"/>
  <c r="F14" i="29"/>
  <c r="E14" i="29"/>
  <c r="D14" i="29"/>
  <c r="C14" i="29"/>
  <c r="F32" i="30"/>
  <c r="E32" i="30"/>
  <c r="D32" i="30"/>
  <c r="C32" i="30"/>
  <c r="C33" i="30" s="1"/>
  <c r="F23" i="30"/>
  <c r="E23" i="30"/>
  <c r="D23" i="30"/>
  <c r="C23" i="30"/>
  <c r="F14" i="30"/>
  <c r="E14" i="30"/>
  <c r="D14" i="30"/>
  <c r="C14" i="30"/>
  <c r="F32" i="31"/>
  <c r="E32" i="31"/>
  <c r="D32" i="31"/>
  <c r="C32" i="31"/>
  <c r="F23" i="31"/>
  <c r="E23" i="31"/>
  <c r="D23" i="31"/>
  <c r="C23" i="31"/>
  <c r="F14" i="31"/>
  <c r="E14" i="31"/>
  <c r="D14" i="31"/>
  <c r="C14" i="31"/>
  <c r="D34" i="31" l="1"/>
  <c r="C33" i="29"/>
  <c r="C34" i="29"/>
  <c r="C59" i="29" s="1"/>
  <c r="C34" i="31"/>
  <c r="K8" i="31" s="1"/>
  <c r="W17" i="54" s="1"/>
  <c r="E34" i="31"/>
  <c r="D24" i="27"/>
  <c r="C34" i="27"/>
  <c r="K11" i="27" s="1"/>
  <c r="W33" i="54" s="1"/>
  <c r="E33" i="29"/>
  <c r="D24" i="31"/>
  <c r="D33" i="30"/>
  <c r="D33" i="27"/>
  <c r="C34" i="30"/>
  <c r="E33" i="30"/>
  <c r="E33" i="27"/>
  <c r="F34" i="30"/>
  <c r="C15" i="29"/>
  <c r="D33" i="31"/>
  <c r="D33" i="29"/>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X33" i="54" l="1"/>
  <c r="AA33" i="54"/>
  <c r="AB33" i="54" s="1"/>
  <c r="X17" i="54"/>
  <c r="W33" i="46"/>
  <c r="W17" i="46"/>
  <c r="X33" i="46" l="1"/>
  <c r="X17" i="46"/>
  <c r="P13" i="45"/>
  <c r="P12" i="45" l="1"/>
  <c r="I46" i="29"/>
  <c r="P11" i="45" l="1"/>
  <c r="P10" i="45"/>
  <c r="G42" i="31"/>
  <c r="I37" i="31" s="1"/>
  <c r="F42" i="31"/>
  <c r="I46" i="31"/>
  <c r="I46" i="30" l="1"/>
  <c r="P9" i="45" l="1"/>
  <c r="F14" i="32"/>
  <c r="I46" i="32" l="1"/>
  <c r="F23" i="32" l="1"/>
  <c r="AR10" i="46" l="1"/>
  <c r="BA10" i="46" s="1"/>
  <c r="AM10" i="46"/>
  <c r="F14" i="33"/>
  <c r="F23" i="33"/>
  <c r="AD10" i="46" l="1"/>
  <c r="M39" i="52" l="1"/>
  <c r="D39" i="52"/>
  <c r="M38" i="52"/>
  <c r="D38" i="52"/>
  <c r="M37" i="52"/>
  <c r="D37" i="52"/>
  <c r="M36" i="52"/>
  <c r="D36" i="52"/>
  <c r="M35" i="52"/>
  <c r="D35" i="52"/>
  <c r="M34" i="52"/>
  <c r="D34" i="52"/>
  <c r="M33" i="52"/>
  <c r="D33" i="52"/>
  <c r="M32" i="52"/>
  <c r="D32" i="52"/>
  <c r="M31" i="52"/>
  <c r="D31" i="52"/>
  <c r="M30" i="52"/>
  <c r="D30" i="52"/>
  <c r="M29" i="52"/>
  <c r="D29" i="52"/>
  <c r="M28" i="52"/>
  <c r="D28" i="52"/>
  <c r="M27" i="52"/>
  <c r="D27" i="52"/>
  <c r="M26" i="52"/>
  <c r="D26" i="52"/>
  <c r="M25" i="52"/>
  <c r="D25" i="52"/>
  <c r="M24" i="52"/>
  <c r="D24" i="52"/>
  <c r="M23" i="52"/>
  <c r="D23" i="52"/>
  <c r="M22" i="52"/>
  <c r="D22" i="52"/>
  <c r="M21" i="52"/>
  <c r="D21" i="52"/>
  <c r="M20" i="52"/>
  <c r="D20" i="52"/>
  <c r="M19" i="52"/>
  <c r="D19" i="52"/>
  <c r="M18" i="52"/>
  <c r="D18" i="52"/>
  <c r="M17" i="52"/>
  <c r="D17" i="52"/>
  <c r="M16" i="52"/>
  <c r="D16" i="52"/>
  <c r="M11" i="52"/>
  <c r="D11" i="52"/>
  <c r="M10" i="52"/>
  <c r="D10" i="52"/>
  <c r="M9" i="52"/>
  <c r="D9" i="52"/>
  <c r="M8" i="52"/>
  <c r="D8" i="52"/>
  <c r="M7" i="52"/>
  <c r="D7" i="52"/>
  <c r="M6" i="52"/>
  <c r="D6" i="52"/>
  <c r="M5" i="52"/>
  <c r="D5" i="52"/>
  <c r="M4" i="52"/>
  <c r="D4" i="52"/>
  <c r="E3" i="52"/>
  <c r="F3" i="52" s="1"/>
  <c r="G3" i="52" s="1"/>
  <c r="H3" i="52" s="1"/>
  <c r="M3" i="52" s="1"/>
  <c r="N3" i="52" s="1"/>
  <c r="O3" i="52" s="1"/>
  <c r="P3" i="52" s="1"/>
  <c r="Q3" i="52" s="1"/>
  <c r="D40" i="52" l="1"/>
  <c r="M40" i="52"/>
  <c r="P38" i="45" l="1"/>
  <c r="I46" i="43" s="1"/>
  <c r="P37" i="45"/>
  <c r="P36" i="45"/>
  <c r="I46" i="37" s="1"/>
  <c r="P34" i="45"/>
  <c r="I46" i="7" s="1"/>
  <c r="P33" i="45"/>
  <c r="I46" i="8" s="1"/>
  <c r="P32" i="45"/>
  <c r="P31" i="45"/>
  <c r="I46" i="10" s="1"/>
  <c r="P30" i="45"/>
  <c r="I46" i="11" s="1"/>
  <c r="P29" i="45"/>
  <c r="P28" i="45"/>
  <c r="I46" i="13" s="1"/>
  <c r="P26" i="45"/>
  <c r="I46" i="15" s="1"/>
  <c r="P25" i="45"/>
  <c r="I46" i="16" s="1"/>
  <c r="P23" i="45"/>
  <c r="I46" i="18" s="1"/>
  <c r="P22" i="45"/>
  <c r="I46" i="19" s="1"/>
  <c r="P21" i="45"/>
  <c r="P20" i="45"/>
  <c r="I46" i="22" s="1"/>
  <c r="P17" i="45"/>
  <c r="I46" i="24" s="1"/>
  <c r="P15" i="45"/>
  <c r="I46" i="26" s="1"/>
  <c r="P14" i="45"/>
  <c r="I46" i="28" s="1"/>
  <c r="S40" i="45"/>
  <c r="L8" i="45"/>
  <c r="E40" i="45"/>
  <c r="W40" i="45" s="1"/>
  <c r="D8" i="45"/>
  <c r="AR9" i="46"/>
  <c r="BA9" i="46" s="1"/>
  <c r="AM9" i="46"/>
  <c r="AR8" i="46"/>
  <c r="BA8" i="46" s="1"/>
  <c r="AM8" i="46"/>
  <c r="AR7" i="46"/>
  <c r="BA7" i="46" s="1"/>
  <c r="AM7" i="46"/>
  <c r="AR6" i="46"/>
  <c r="BA6" i="46" s="1"/>
  <c r="AM6" i="46"/>
  <c r="N6" i="46"/>
  <c r="H6" i="46" l="1"/>
  <c r="J6" i="46" s="1"/>
  <c r="I46" i="4"/>
  <c r="I46" i="20"/>
  <c r="I46" i="12"/>
  <c r="I46" i="9"/>
  <c r="I46" i="27"/>
  <c r="L9" i="45"/>
  <c r="D9" i="45"/>
  <c r="AD8" i="46"/>
  <c r="AD6" i="46"/>
  <c r="AD9" i="46"/>
  <c r="P19" i="45"/>
  <c r="I46" i="21" s="1"/>
  <c r="P27" i="45"/>
  <c r="I46" i="14" s="1"/>
  <c r="P35" i="45"/>
  <c r="I46" i="6" s="1"/>
  <c r="H8" i="45"/>
  <c r="P8" i="45"/>
  <c r="I46" i="33" s="1"/>
  <c r="P16" i="45"/>
  <c r="I46" i="25" s="1"/>
  <c r="P24" i="45"/>
  <c r="I46" i="17" s="1"/>
  <c r="I40" i="45"/>
  <c r="P18" i="45"/>
  <c r="I46" i="23" s="1"/>
  <c r="M40" i="45"/>
  <c r="AD7"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E14" i="26"/>
  <c r="D14" i="26"/>
  <c r="C14" i="26"/>
  <c r="F32" i="28"/>
  <c r="F34" i="28" s="1"/>
  <c r="E32" i="28"/>
  <c r="D32" i="28"/>
  <c r="C32" i="28"/>
  <c r="E23" i="28"/>
  <c r="D23" i="28"/>
  <c r="C23" i="28"/>
  <c r="E14" i="28"/>
  <c r="D14" i="28"/>
  <c r="C14" i="28"/>
  <c r="F32" i="32"/>
  <c r="E32" i="32"/>
  <c r="D32" i="32"/>
  <c r="C32" i="32"/>
  <c r="E23" i="32"/>
  <c r="D23" i="32"/>
  <c r="C23" i="32"/>
  <c r="E14" i="32"/>
  <c r="D14" i="32"/>
  <c r="C14" i="32"/>
  <c r="D24" i="26" l="1"/>
  <c r="C33" i="25"/>
  <c r="C33" i="22"/>
  <c r="D34" i="21"/>
  <c r="C34" i="21"/>
  <c r="K7" i="21" s="1"/>
  <c r="W63" i="54" s="1"/>
  <c r="E33" i="21"/>
  <c r="C33" i="23"/>
  <c r="D33" i="23"/>
  <c r="D33" i="19"/>
  <c r="D24" i="17"/>
  <c r="C24" i="9"/>
  <c r="E33" i="25"/>
  <c r="C33" i="18"/>
  <c r="E15" i="16"/>
  <c r="C33" i="14"/>
  <c r="D33" i="26"/>
  <c r="C33" i="12"/>
  <c r="D10" i="45"/>
  <c r="D11" i="45" s="1"/>
  <c r="L10" i="45"/>
  <c r="L11" i="45" s="1"/>
  <c r="D33" i="25"/>
  <c r="E33" i="19"/>
  <c r="E34" i="25"/>
  <c r="D33" i="24"/>
  <c r="D34" i="19"/>
  <c r="D33" i="18"/>
  <c r="D24" i="12"/>
  <c r="E33" i="10"/>
  <c r="E34" i="19"/>
  <c r="E24" i="28"/>
  <c r="D24" i="8"/>
  <c r="E34" i="7"/>
  <c r="C33" i="37"/>
  <c r="C34" i="23"/>
  <c r="K7" i="23" s="1"/>
  <c r="W58" i="54" s="1"/>
  <c r="E33" i="23"/>
  <c r="C24" i="21"/>
  <c r="C15" i="13"/>
  <c r="D34" i="10"/>
  <c r="C34" i="7"/>
  <c r="K7" i="7" s="1"/>
  <c r="E24" i="10"/>
  <c r="C24" i="24"/>
  <c r="C33" i="21"/>
  <c r="H9" i="45"/>
  <c r="C15" i="32"/>
  <c r="E33" i="18"/>
  <c r="D15" i="32"/>
  <c r="D24" i="21"/>
  <c r="E24" i="20"/>
  <c r="D24" i="19"/>
  <c r="D33" i="15"/>
  <c r="E24" i="11"/>
  <c r="C34" i="37"/>
  <c r="K7" i="37" s="1"/>
  <c r="E15" i="32"/>
  <c r="C33" i="26"/>
  <c r="C33" i="24"/>
  <c r="C15" i="21"/>
  <c r="E24" i="21"/>
  <c r="E34" i="18"/>
  <c r="D33" i="17"/>
  <c r="C24" i="16"/>
  <c r="D34" i="12"/>
  <c r="E33" i="11"/>
  <c r="D34" i="37"/>
  <c r="E33" i="26"/>
  <c r="E34" i="21"/>
  <c r="D33" i="21"/>
  <c r="C34" i="20"/>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E34" i="20"/>
  <c r="D33" i="11"/>
  <c r="E33" i="8"/>
  <c r="E24" i="25"/>
  <c r="E24" i="24"/>
  <c r="D34" i="22"/>
  <c r="D15" i="20"/>
  <c r="E24" i="18"/>
  <c r="E34" i="16"/>
  <c r="C34" i="14"/>
  <c r="D33" i="14"/>
  <c r="D15" i="13"/>
  <c r="D34" i="8"/>
  <c r="E34" i="6"/>
  <c r="D33" i="37"/>
  <c r="E15" i="17"/>
  <c r="E33" i="15"/>
  <c r="E15" i="7"/>
  <c r="C34" i="28"/>
  <c r="E33" i="28"/>
  <c r="E34" i="22"/>
  <c r="E24" i="19"/>
  <c r="E33" i="14"/>
  <c r="E15" i="13"/>
  <c r="E33" i="13"/>
  <c r="D15" i="12"/>
  <c r="E34" i="8"/>
  <c r="D24" i="7"/>
  <c r="C33" i="6"/>
  <c r="E33" i="37"/>
  <c r="C34" i="22"/>
  <c r="K7" i="22" s="1"/>
  <c r="W68" i="54" s="1"/>
  <c r="D24" i="16"/>
  <c r="C34" i="10"/>
  <c r="K9" i="10" s="1"/>
  <c r="D34" i="28"/>
  <c r="C15" i="24"/>
  <c r="D34" i="23"/>
  <c r="C15" i="17"/>
  <c r="C34" i="16"/>
  <c r="D15" i="11"/>
  <c r="D15" i="10"/>
  <c r="C34" i="9"/>
  <c r="E33" i="9"/>
  <c r="C34" i="8"/>
  <c r="K7" i="8" s="1"/>
  <c r="D24" i="9"/>
  <c r="E33" i="22"/>
  <c r="C24" i="18"/>
  <c r="E33" i="12"/>
  <c r="D33" i="10"/>
  <c r="E34" i="28"/>
  <c r="C34" i="25"/>
  <c r="E34" i="23"/>
  <c r="D33" i="20"/>
  <c r="C34" i="18"/>
  <c r="K16" i="18" s="1"/>
  <c r="W85" i="54" s="1"/>
  <c r="D34" i="16"/>
  <c r="D33" i="16"/>
  <c r="D15" i="14"/>
  <c r="D24" i="11"/>
  <c r="D24" i="10"/>
  <c r="D34" i="9"/>
  <c r="C33" i="7"/>
  <c r="C34" i="6"/>
  <c r="K7" i="6" s="1"/>
  <c r="E33" i="6"/>
  <c r="D24" i="37"/>
  <c r="D33" i="12"/>
  <c r="D24" i="25"/>
  <c r="C34" i="15"/>
  <c r="K16" i="15" s="1"/>
  <c r="W101" i="54" s="1"/>
  <c r="C34" i="11"/>
  <c r="K9" i="11" s="1"/>
  <c r="E24" i="9"/>
  <c r="C24" i="6"/>
  <c r="C24" i="28"/>
  <c r="D34" i="25"/>
  <c r="E15" i="24"/>
  <c r="E33" i="24"/>
  <c r="E24" i="22"/>
  <c r="C34" i="19"/>
  <c r="K16" i="19" s="1"/>
  <c r="W80" i="54" s="1"/>
  <c r="D34" i="18"/>
  <c r="C33" i="17"/>
  <c r="E33" i="16"/>
  <c r="E24" i="15"/>
  <c r="D24" i="14"/>
  <c r="D24" i="13"/>
  <c r="E24" i="12"/>
  <c r="E34" i="9"/>
  <c r="D33" i="7"/>
  <c r="P40" i="45"/>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AA68" i="54" l="1"/>
  <c r="AB68" i="54" s="1"/>
  <c r="X68" i="54"/>
  <c r="W148" i="54"/>
  <c r="W148" i="46"/>
  <c r="X148" i="46" s="1"/>
  <c r="X85" i="54"/>
  <c r="AA85" i="54"/>
  <c r="AB85" i="54" s="1"/>
  <c r="W142" i="54"/>
  <c r="W142" i="46"/>
  <c r="X63" i="54"/>
  <c r="AA63" i="54"/>
  <c r="AB63" i="54" s="1"/>
  <c r="AA80" i="54"/>
  <c r="AB80" i="54" s="1"/>
  <c r="X80" i="54"/>
  <c r="W121" i="54"/>
  <c r="W121" i="46"/>
  <c r="W137" i="54"/>
  <c r="W137" i="46"/>
  <c r="X101" i="54"/>
  <c r="AA101" i="54"/>
  <c r="AB101" i="54" s="1"/>
  <c r="W153" i="54"/>
  <c r="W153" i="46"/>
  <c r="W127" i="54"/>
  <c r="W127" i="46"/>
  <c r="Z128" i="54"/>
  <c r="Z128" i="46"/>
  <c r="X58" i="54"/>
  <c r="AA58" i="54"/>
  <c r="AB58" i="54" s="1"/>
  <c r="E35" i="6"/>
  <c r="W101" i="46"/>
  <c r="W85" i="46"/>
  <c r="W80" i="46"/>
  <c r="W63" i="46"/>
  <c r="W68" i="46"/>
  <c r="W58" i="46"/>
  <c r="L12" i="45"/>
  <c r="D12" i="45"/>
  <c r="H10" i="45"/>
  <c r="H11" i="45" s="1"/>
  <c r="D35" i="6"/>
  <c r="C35" i="6"/>
  <c r="P9" i="39"/>
  <c r="AO9" i="39"/>
  <c r="X137" i="46" l="1"/>
  <c r="X142" i="54"/>
  <c r="AA121" i="46"/>
  <c r="AB121" i="46" s="1"/>
  <c r="X121" i="46"/>
  <c r="X127" i="54"/>
  <c r="AA127" i="54"/>
  <c r="AB127" i="54" s="1"/>
  <c r="X121" i="54"/>
  <c r="AA121" i="54"/>
  <c r="AB121" i="54" s="1"/>
  <c r="X142" i="46"/>
  <c r="X153" i="54"/>
  <c r="X148" i="54"/>
  <c r="AA148" i="54"/>
  <c r="AB148" i="54" s="1"/>
  <c r="X137" i="54"/>
  <c r="AA127" i="46"/>
  <c r="AB127" i="46" s="1"/>
  <c r="X127" i="46"/>
  <c r="X153" i="46"/>
  <c r="AA101" i="46"/>
  <c r="AB101" i="46" s="1"/>
  <c r="X101" i="46"/>
  <c r="AA85" i="46"/>
  <c r="AB85" i="46" s="1"/>
  <c r="X85" i="46"/>
  <c r="AA80" i="46"/>
  <c r="AB80" i="46" s="1"/>
  <c r="X80" i="46"/>
  <c r="AA63" i="46"/>
  <c r="AB63" i="46" s="1"/>
  <c r="X63" i="46"/>
  <c r="X58" i="46"/>
  <c r="AA58" i="46"/>
  <c r="AB58" i="46" s="1"/>
  <c r="AA68" i="46"/>
  <c r="AB68" i="46" s="1"/>
  <c r="X68" i="46"/>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AP9" i="39"/>
  <c r="AI9" i="39"/>
  <c r="N8" i="45" l="1"/>
  <c r="T8" i="45"/>
  <c r="J8" i="45"/>
  <c r="F8" i="45"/>
  <c r="X8" i="45" s="1"/>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V22" i="37"/>
  <c r="Y22" i="37" s="1"/>
  <c r="W21" i="37"/>
  <c r="X21" i="37" s="1"/>
  <c r="V21" i="37"/>
  <c r="Y21" i="37" s="1"/>
  <c r="W20" i="37"/>
  <c r="W23" i="37" s="1"/>
  <c r="V20" i="37"/>
  <c r="Y20" i="37" s="1"/>
  <c r="X22" i="37"/>
  <c r="Y23" i="37" l="1"/>
  <c r="Y24" i="37" s="1"/>
  <c r="X20" i="37"/>
  <c r="X23" i="37" s="1"/>
  <c r="X24" i="37" s="1"/>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CO40" i="2"/>
  <c r="CI40" i="2"/>
  <c r="BW40" i="2"/>
  <c r="DM15" i="2" l="1"/>
  <c r="EU40" i="2"/>
  <c r="DL40" i="2" s="1"/>
  <c r="EB40" i="2" l="1"/>
  <c r="BH40" i="2"/>
  <c r="AJ40" i="2"/>
  <c r="AV40" i="2"/>
  <c r="CB40" i="2"/>
  <c r="ER40" i="2"/>
  <c r="DD40" i="2"/>
  <c r="X40" i="2"/>
  <c r="AR40" i="2"/>
  <c r="L40" i="2"/>
  <c r="AF40" i="2"/>
  <c r="CZ40" i="2"/>
  <c r="DT40" i="2"/>
  <c r="AN40" i="2"/>
  <c r="BD40" i="2"/>
  <c r="H40" i="2"/>
  <c r="BX40" i="2"/>
  <c r="CV40" i="2"/>
  <c r="EJ40" i="2"/>
  <c r="EF40" i="2"/>
  <c r="CJ40" i="2"/>
  <c r="EN40" i="2"/>
  <c r="DX40" i="2"/>
  <c r="CR40" i="2"/>
  <c r="AZ40" i="2"/>
  <c r="AB40" i="2"/>
  <c r="CN40" i="2"/>
  <c r="P40" i="2"/>
  <c r="T40" i="2"/>
  <c r="DM16" i="2"/>
  <c r="CF40" i="2"/>
  <c r="DP40" i="2"/>
  <c r="DH40" i="2"/>
  <c r="DM17" i="2" l="1"/>
  <c r="DM18" i="2" l="1"/>
  <c r="DM19" i="2" l="1"/>
  <c r="DM20" i="2" l="1"/>
  <c r="GL33" i="1"/>
  <c r="GO33" i="1"/>
  <c r="GR33" i="1"/>
  <c r="GU33" i="1"/>
  <c r="GX33" i="1"/>
  <c r="GL34" i="1"/>
  <c r="GO34" i="1"/>
  <c r="GR34" i="1"/>
  <c r="GU34" i="1"/>
  <c r="GX34" i="1"/>
  <c r="DM21" i="2" l="1"/>
  <c r="DM22" i="2" l="1"/>
  <c r="DM23" i="2" l="1"/>
  <c r="DM24" i="2" l="1"/>
  <c r="F42" i="8"/>
  <c r="G42" i="8"/>
  <c r="I37" i="8" s="1"/>
  <c r="DM25" i="2" l="1"/>
  <c r="DM26" i="2" l="1"/>
  <c r="DM27" i="2" l="1"/>
  <c r="DM28" i="2" l="1"/>
  <c r="DM29" i="2" l="1"/>
  <c r="DM30" i="2" l="1"/>
  <c r="DM31" i="2" l="1"/>
  <c r="G42" i="10"/>
  <c r="I37" i="10" s="1"/>
  <c r="F42" i="10"/>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5" l="1"/>
  <c r="G42" i="15" l="1"/>
  <c r="I37" i="15" s="1"/>
  <c r="F42" i="17"/>
  <c r="G42" i="17"/>
  <c r="I37" i="17" s="1"/>
  <c r="G42" i="20" l="1"/>
  <c r="I37" i="20" s="1"/>
  <c r="F42" i="20"/>
  <c r="P20" i="39" l="1"/>
  <c r="B19" i="45" l="1"/>
  <c r="BH20" i="39"/>
  <c r="T19" i="45"/>
  <c r="F19" i="45"/>
  <c r="X19" i="45" s="1"/>
  <c r="N19" i="45"/>
  <c r="J19" i="45"/>
  <c r="Q19" i="45"/>
  <c r="AX166" i="54"/>
  <c r="C41" i="24" l="1"/>
  <c r="F42" i="25" l="1"/>
  <c r="F42" i="26"/>
  <c r="G42" i="25" l="1"/>
  <c r="I37" i="25" s="1"/>
  <c r="G42" i="26"/>
  <c r="I37" i="26"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1" l="1"/>
  <c r="J8" i="30" s="1"/>
  <c r="G5" i="47" l="1"/>
  <c r="H5" i="47" s="1"/>
  <c r="O6" i="54" s="1"/>
  <c r="U6" i="54" l="1"/>
  <c r="P6" i="54"/>
  <c r="V6" i="54"/>
  <c r="T6" i="54"/>
  <c r="C6" i="54"/>
  <c r="K6" i="54"/>
  <c r="O6" i="46"/>
  <c r="X194" i="54"/>
  <c r="BC164" i="54"/>
  <c r="BB164" i="54"/>
  <c r="AZ164" i="54"/>
  <c r="AY164" i="54"/>
  <c r="AX164" i="54"/>
  <c r="AW164" i="54"/>
  <c r="AV164" i="54"/>
  <c r="AU164" i="54"/>
  <c r="AT164" i="54"/>
  <c r="AS164" i="54"/>
  <c r="AQ164" i="54"/>
  <c r="AP164" i="54"/>
  <c r="AO164" i="54"/>
  <c r="AN164" i="54"/>
  <c r="AL164" i="54"/>
  <c r="AK164" i="54"/>
  <c r="AJ164" i="54"/>
  <c r="AI164" i="54"/>
  <c r="AH164" i="54"/>
  <c r="AG164" i="54"/>
  <c r="AF164" i="54"/>
  <c r="S164" i="54"/>
  <c r="R164" i="54"/>
  <c r="Q164" i="54"/>
  <c r="Q165" i="54" s="1"/>
  <c r="AR163" i="54"/>
  <c r="AM163" i="54"/>
  <c r="AC163" i="54"/>
  <c r="AA163" i="54"/>
  <c r="AC6" i="54" l="1"/>
  <c r="P6" i="46"/>
  <c r="V6" i="46"/>
  <c r="C6" i="46"/>
  <c r="U6" i="46"/>
  <c r="T6" i="46"/>
  <c r="K6" i="46"/>
  <c r="BF166" i="54"/>
  <c r="BD166" i="54"/>
  <c r="BE166" i="54"/>
  <c r="BB166" i="54"/>
  <c r="BC166" i="54"/>
  <c r="S165" i="54"/>
  <c r="R165" i="54"/>
  <c r="AR164" i="54"/>
  <c r="BA164" i="54"/>
  <c r="AM164" i="54"/>
  <c r="S166"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K41" i="1"/>
  <c r="EH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Y41" i="1"/>
  <c r="AS41" i="1"/>
  <c r="AP41" i="1"/>
  <c r="AM41" i="1"/>
  <c r="AG41" i="1"/>
  <c r="AD41" i="1"/>
  <c r="AA41" i="1"/>
  <c r="X41" i="1"/>
  <c r="R41" i="1"/>
  <c r="L41" i="1"/>
  <c r="I41" i="1"/>
  <c r="F41" i="1"/>
  <c r="KR39" i="1"/>
  <c r="KO39" i="1"/>
  <c r="KL39" i="1"/>
  <c r="KI39" i="1"/>
  <c r="KF39" i="1"/>
  <c r="KC39" i="1"/>
  <c r="JZ39" i="1"/>
  <c r="JW39" i="1"/>
  <c r="JT39" i="1"/>
  <c r="JQ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N37" i="1"/>
  <c r="K37" i="1"/>
  <c r="H37" i="1"/>
  <c r="KR36" i="1"/>
  <c r="KO36" i="1"/>
  <c r="KL36" i="1"/>
  <c r="KI36" i="1"/>
  <c r="KF36" i="1"/>
  <c r="KC36" i="1"/>
  <c r="JZ36" i="1"/>
  <c r="JW36" i="1"/>
  <c r="JT36" i="1"/>
  <c r="JQ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T35" i="1"/>
  <c r="Q35" i="1"/>
  <c r="N35" i="1"/>
  <c r="K35" i="1"/>
  <c r="H35" i="1"/>
  <c r="KR34" i="1"/>
  <c r="KO34" i="1"/>
  <c r="KL34" i="1"/>
  <c r="KI34" i="1"/>
  <c r="KF34" i="1"/>
  <c r="KC34" i="1"/>
  <c r="JZ34" i="1"/>
  <c r="JW34" i="1"/>
  <c r="JT34" i="1"/>
  <c r="JQ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I32" i="1"/>
  <c r="AF32" i="1"/>
  <c r="AC32" i="1"/>
  <c r="Z32" i="1"/>
  <c r="W32" i="1"/>
  <c r="T32" i="1"/>
  <c r="Q32" i="1"/>
  <c r="N32" i="1"/>
  <c r="K32" i="1"/>
  <c r="H32" i="1"/>
  <c r="KR31" i="1"/>
  <c r="KO31" i="1"/>
  <c r="KL31" i="1"/>
  <c r="KI31" i="1"/>
  <c r="KF31" i="1"/>
  <c r="KC31" i="1"/>
  <c r="JZ31" i="1"/>
  <c r="JW31" i="1"/>
  <c r="JT31" i="1"/>
  <c r="JQ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N13" i="1"/>
  <c r="K13" i="1"/>
  <c r="H13" i="1"/>
  <c r="KR12" i="1"/>
  <c r="KO12" i="1"/>
  <c r="KL12" i="1"/>
  <c r="KI12" i="1"/>
  <c r="KF12" i="1"/>
  <c r="KC12" i="1"/>
  <c r="JZ12" i="1"/>
  <c r="JW12" i="1"/>
  <c r="JT12" i="1"/>
  <c r="JQ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I10" i="1"/>
  <c r="JF10" i="1"/>
  <c r="JC10" i="1"/>
  <c r="IZ10" i="1"/>
  <c r="IW10" i="1"/>
  <c r="IT10" i="1"/>
  <c r="IQ10" i="1"/>
  <c r="IN10" i="1"/>
  <c r="IK10" i="1"/>
  <c r="IH10" i="1"/>
  <c r="IE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N9" i="1"/>
  <c r="K9" i="1"/>
  <c r="H9" i="1"/>
  <c r="KS37" i="1"/>
  <c r="KP35" i="1"/>
  <c r="KM33" i="1"/>
  <c r="KJ39" i="1"/>
  <c r="KG37" i="1"/>
  <c r="KD35" i="1"/>
  <c r="KA33" i="1"/>
  <c r="JX39" i="1"/>
  <c r="JU37" i="1"/>
  <c r="JR35" i="1"/>
  <c r="JO33" i="1"/>
  <c r="JL39" i="1"/>
  <c r="AZ164" i="46"/>
  <c r="AY164" i="46"/>
  <c r="AX164" i="46"/>
  <c r="AW164" i="46"/>
  <c r="AV164" i="46"/>
  <c r="AU164" i="46"/>
  <c r="AT164" i="46"/>
  <c r="AS164" i="46"/>
  <c r="AQ164" i="46"/>
  <c r="AP164" i="46"/>
  <c r="AO164" i="46"/>
  <c r="AN164" i="46"/>
  <c r="AL164" i="46"/>
  <c r="AK164" i="46"/>
  <c r="AJ164" i="46"/>
  <c r="AI164" i="46"/>
  <c r="AH164" i="46"/>
  <c r="AG164" i="46"/>
  <c r="AF164" i="46"/>
  <c r="AC6" i="46" l="1"/>
  <c r="JW41" i="1"/>
  <c r="Z41" i="1"/>
  <c r="K41" i="1"/>
  <c r="AO41" i="1"/>
  <c r="BM41" i="1"/>
  <c r="T41" i="1"/>
  <c r="KT38" i="1"/>
  <c r="BV41" i="1"/>
  <c r="CT41" i="1"/>
  <c r="DR41" i="1"/>
  <c r="EP41" i="1"/>
  <c r="FN41" i="1"/>
  <c r="GL41" i="1"/>
  <c r="HJ41" i="1"/>
  <c r="IH41" i="1"/>
  <c r="JF41" i="1"/>
  <c r="CK41" i="1"/>
  <c r="DI41" i="1"/>
  <c r="BR41" i="1"/>
  <c r="HF41" i="1"/>
  <c r="AM164" i="46"/>
  <c r="AR164" i="46"/>
  <c r="KT19" i="1"/>
  <c r="KT17" i="1"/>
  <c r="KT14" i="1"/>
  <c r="KT15" i="1"/>
  <c r="KT16" i="1"/>
  <c r="KT20" i="1"/>
  <c r="KT18" i="1"/>
  <c r="KT24" i="1"/>
  <c r="KT25" i="1"/>
  <c r="KT30" i="1"/>
  <c r="KT22" i="1"/>
  <c r="KT23" i="1"/>
  <c r="KT21" i="1"/>
  <c r="KT28" i="1"/>
  <c r="KT27" i="1"/>
  <c r="KT29" i="1"/>
  <c r="KT34" i="1"/>
  <c r="KT31" i="1"/>
  <c r="KT39" i="1"/>
  <c r="FE41" i="1"/>
  <c r="GC41" i="1"/>
  <c r="HA41" i="1"/>
  <c r="HY41" i="1"/>
  <c r="IW41" i="1"/>
  <c r="KT36" i="1"/>
  <c r="AR41" i="1"/>
  <c r="BP41" i="1"/>
  <c r="CN41" i="1"/>
  <c r="DL41" i="1"/>
  <c r="EJ41" i="1"/>
  <c r="FH41" i="1"/>
  <c r="GF41" i="1"/>
  <c r="HD41" i="1"/>
  <c r="IB41" i="1"/>
  <c r="IZ41" i="1"/>
  <c r="AB41" i="1"/>
  <c r="AZ41" i="1"/>
  <c r="BX41" i="1"/>
  <c r="CV41" i="1"/>
  <c r="DT41" i="1"/>
  <c r="ER41" i="1"/>
  <c r="FP41" i="1"/>
  <c r="GN41" i="1"/>
  <c r="HL41" i="1"/>
  <c r="JH41" i="1"/>
  <c r="KF41" i="1"/>
  <c r="G41" i="1"/>
  <c r="AH41" i="1"/>
  <c r="HS41" i="1"/>
  <c r="IQ41" i="1"/>
  <c r="BJ41" i="1"/>
  <c r="DF41" i="1"/>
  <c r="ED41" i="1"/>
  <c r="FB41" i="1"/>
  <c r="FZ41" i="1"/>
  <c r="GX41" i="1"/>
  <c r="HV41" i="1"/>
  <c r="IT41" i="1"/>
  <c r="AD164" i="54"/>
  <c r="T9" i="53" s="1"/>
  <c r="R166" i="54"/>
  <c r="KM10" i="1"/>
  <c r="JX41" i="1"/>
  <c r="JX9" i="1"/>
  <c r="KM11" i="1"/>
  <c r="KT12" i="1"/>
  <c r="KD41" i="1"/>
  <c r="JL9" i="1"/>
  <c r="KG9" i="1"/>
  <c r="KG10" i="1"/>
  <c r="JL11"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BA41" i="1"/>
  <c r="BI41" i="1"/>
  <c r="BY41" i="1"/>
  <c r="CW41" i="1"/>
  <c r="DE41" i="1"/>
  <c r="DU41" i="1"/>
  <c r="EC41" i="1"/>
  <c r="ES41" i="1"/>
  <c r="FA41" i="1"/>
  <c r="FQ41" i="1"/>
  <c r="FY41" i="1"/>
  <c r="GO41" i="1"/>
  <c r="GW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AE41" i="1"/>
  <c r="AU41" i="1"/>
  <c r="BC41" i="1"/>
  <c r="BS41" i="1"/>
  <c r="CA41" i="1"/>
  <c r="CQ41" i="1"/>
  <c r="CY41" i="1"/>
  <c r="DO41" i="1"/>
  <c r="DW41" i="1"/>
  <c r="EM41" i="1"/>
  <c r="EU41" i="1"/>
  <c r="FK41" i="1"/>
  <c r="FS41" i="1"/>
  <c r="GI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AF41" i="1"/>
  <c r="AN41" i="1"/>
  <c r="BD41" i="1"/>
  <c r="BL41" i="1"/>
  <c r="CB41" i="1"/>
  <c r="CJ41" i="1"/>
  <c r="CZ41" i="1"/>
  <c r="DH41" i="1"/>
  <c r="DX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194" i="46"/>
  <c r="KU36" i="1" l="1"/>
  <c r="KU20" i="1"/>
  <c r="KU28" i="1"/>
  <c r="KU11" i="1"/>
  <c r="KU25" i="1"/>
  <c r="KU38" i="1"/>
  <c r="KU22" i="1"/>
  <c r="KU29" i="1"/>
  <c r="KU13" i="1"/>
  <c r="KU34" i="1"/>
  <c r="KU18" i="1"/>
  <c r="KU24" i="1"/>
  <c r="KU39" i="1"/>
  <c r="KU12" i="1"/>
  <c r="KU23" i="1"/>
  <c r="KU33" i="1"/>
  <c r="KU17" i="1"/>
  <c r="KU30" i="1"/>
  <c r="KU14" i="1"/>
  <c r="KU37" i="1"/>
  <c r="KU21" i="1"/>
  <c r="KU26" i="1"/>
  <c r="KU10" i="1"/>
  <c r="KU35" i="1"/>
  <c r="KU19" i="1"/>
  <c r="KU32" i="1"/>
  <c r="KU16" i="1"/>
  <c r="KU31" i="1"/>
  <c r="KU15" i="1"/>
  <c r="AD164" i="46"/>
  <c r="BA164" i="46"/>
  <c r="G4" i="47" l="1"/>
  <c r="H4" i="47" s="1"/>
  <c r="O7" i="54" s="1"/>
  <c r="P7" i="54" l="1"/>
  <c r="K7" i="54"/>
  <c r="X6" i="54" s="1"/>
  <c r="V7" i="54"/>
  <c r="T7" i="54"/>
  <c r="C7" i="54"/>
  <c r="U7" i="54"/>
  <c r="AA6" i="54" s="1"/>
  <c r="O7" i="46"/>
  <c r="BA9" i="39"/>
  <c r="AC7" i="54" l="1"/>
  <c r="AB6" i="54" s="1"/>
  <c r="U7" i="46"/>
  <c r="AA6" i="46" s="1"/>
  <c r="V7" i="46"/>
  <c r="C7" i="46"/>
  <c r="N9" i="39" s="1"/>
  <c r="P7" i="46"/>
  <c r="T7" i="46"/>
  <c r="K7" i="46"/>
  <c r="P164" i="54"/>
  <c r="O164" i="54" s="1"/>
  <c r="V164" i="54"/>
  <c r="T10" i="53" s="1"/>
  <c r="C164" i="54"/>
  <c r="AC7" i="46" l="1"/>
  <c r="L9" i="39"/>
  <c r="X6" i="46"/>
  <c r="O9" i="39"/>
  <c r="G9" i="39"/>
  <c r="BL9" i="39"/>
  <c r="BM9" i="39" s="1"/>
  <c r="AB6" i="46"/>
  <c r="N8" i="52"/>
  <c r="N18" i="52"/>
  <c r="N20" i="52"/>
  <c r="N17" i="52"/>
  <c r="N36" i="52"/>
  <c r="N10" i="52"/>
  <c r="N7" i="52"/>
  <c r="N5" i="52"/>
  <c r="N19" i="52"/>
  <c r="N22" i="52"/>
  <c r="N39" i="52"/>
  <c r="N34" i="52"/>
  <c r="N29" i="52"/>
  <c r="N25" i="52"/>
  <c r="N21" i="52"/>
  <c r="N26" i="52"/>
  <c r="N23" i="52"/>
  <c r="N24" i="52"/>
  <c r="N35" i="52"/>
  <c r="N27" i="52"/>
  <c r="N37" i="52"/>
  <c r="N32" i="52"/>
  <c r="N33" i="52"/>
  <c r="N38" i="52"/>
  <c r="N9" i="52"/>
  <c r="N30" i="52"/>
  <c r="N11" i="52"/>
  <c r="N4" i="52"/>
  <c r="N6" i="52"/>
  <c r="N16" i="52"/>
  <c r="N28" i="52"/>
  <c r="N31" i="52"/>
  <c r="K164" i="54"/>
  <c r="T8" i="53" s="1"/>
  <c r="T11" i="53" s="1"/>
  <c r="U164" i="54"/>
  <c r="T164" i="54"/>
  <c r="BL41" i="39" l="1"/>
  <c r="M9" i="39"/>
  <c r="BH9" i="39"/>
  <c r="H9" i="39"/>
  <c r="BB9" i="39"/>
  <c r="O17" i="52"/>
  <c r="O4" i="52"/>
  <c r="O31" i="52"/>
  <c r="O11" i="52"/>
  <c r="P11" i="52" s="1"/>
  <c r="O25" i="52"/>
  <c r="O32" i="52"/>
  <c r="O37" i="52"/>
  <c r="O27" i="52"/>
  <c r="O30" i="52"/>
  <c r="O29" i="52"/>
  <c r="O19" i="52"/>
  <c r="O5" i="52"/>
  <c r="P5" i="52" s="1"/>
  <c r="O38" i="52"/>
  <c r="O23" i="52"/>
  <c r="O6" i="52"/>
  <c r="P6" i="52" s="1"/>
  <c r="O26" i="52"/>
  <c r="O21" i="52"/>
  <c r="O28" i="52"/>
  <c r="O7" i="52"/>
  <c r="P7" i="52" s="1"/>
  <c r="O20" i="52"/>
  <c r="O34" i="52"/>
  <c r="O8" i="52"/>
  <c r="P8" i="52" s="1"/>
  <c r="O33" i="52"/>
  <c r="O39" i="52"/>
  <c r="O24" i="52"/>
  <c r="O35" i="52"/>
  <c r="O9" i="52"/>
  <c r="P9" i="52" s="1"/>
  <c r="O18" i="52"/>
  <c r="P18" i="52" s="1"/>
  <c r="O22" i="52"/>
  <c r="O10" i="52"/>
  <c r="P10" i="52" s="1"/>
  <c r="O36" i="52"/>
  <c r="O16" i="52"/>
  <c r="AC164" i="54"/>
  <c r="AC165" i="54" s="1"/>
  <c r="X174" i="54" s="1"/>
  <c r="V165" i="54"/>
  <c r="AO165" i="54" s="1"/>
  <c r="X185"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S164" i="46"/>
  <c r="S166" i="46" s="1"/>
  <c r="R164" i="46"/>
  <c r="AC163" i="46"/>
  <c r="AA163" i="46"/>
  <c r="P36" i="52" l="1"/>
  <c r="AH165" i="54"/>
  <c r="X179" i="54" s="1"/>
  <c r="P16" i="52"/>
  <c r="AW165" i="54"/>
  <c r="X191" i="54" s="1"/>
  <c r="AJ165" i="54"/>
  <c r="X181" i="54" s="1"/>
  <c r="AP165" i="54"/>
  <c r="X186" i="54" s="1"/>
  <c r="AY165" i="54"/>
  <c r="AZ165" i="54"/>
  <c r="P33" i="52"/>
  <c r="BA165" i="54"/>
  <c r="AV165" i="54"/>
  <c r="X192" i="54" s="1"/>
  <c r="AT165" i="54"/>
  <c r="X189" i="54" s="1"/>
  <c r="AX165" i="54"/>
  <c r="AK165" i="54"/>
  <c r="X182" i="54" s="1"/>
  <c r="BI9" i="39"/>
  <c r="BC9" i="39"/>
  <c r="AI165" i="54"/>
  <c r="X180" i="54" s="1"/>
  <c r="AR165" i="54"/>
  <c r="AU165" i="54"/>
  <c r="X190" i="54" s="1"/>
  <c r="AM165" i="54"/>
  <c r="AG165" i="54"/>
  <c r="X178" i="54" s="1"/>
  <c r="AQ165" i="54"/>
  <c r="X187" i="54" s="1"/>
  <c r="P38" i="52"/>
  <c r="Q38" i="52" s="1"/>
  <c r="P19" i="52"/>
  <c r="P31" i="52"/>
  <c r="P4" i="52"/>
  <c r="AL165" i="54"/>
  <c r="X183" i="54" s="1"/>
  <c r="AS165" i="54"/>
  <c r="X188" i="54" s="1"/>
  <c r="P24" i="52"/>
  <c r="AF165" i="54"/>
  <c r="X177" i="54" s="1"/>
  <c r="AN165" i="54"/>
  <c r="X184" i="54" s="1"/>
  <c r="T5" i="53"/>
  <c r="N15" i="52" s="1"/>
  <c r="V164" i="46"/>
  <c r="I10" i="53" s="1"/>
  <c r="I9" i="53"/>
  <c r="R166" i="46"/>
  <c r="X193" i="54" l="1"/>
  <c r="Q24" i="52"/>
  <c r="U5" i="53"/>
  <c r="O15" i="52" s="1"/>
  <c r="P15" i="52" s="1"/>
  <c r="E35" i="52"/>
  <c r="E25" i="52"/>
  <c r="E37" i="52"/>
  <c r="E19" i="52"/>
  <c r="E5" i="52"/>
  <c r="E11" i="52"/>
  <c r="E7" i="52"/>
  <c r="E36" i="52"/>
  <c r="E17" i="52"/>
  <c r="E16" i="52"/>
  <c r="E23" i="52"/>
  <c r="E9" i="52"/>
  <c r="E8" i="52"/>
  <c r="E10" i="52"/>
  <c r="E6" i="52"/>
  <c r="E18" i="52"/>
  <c r="E24" i="52"/>
  <c r="E21" i="52"/>
  <c r="E26" i="52"/>
  <c r="E30" i="52"/>
  <c r="E31" i="52"/>
  <c r="E33" i="52"/>
  <c r="E29" i="52"/>
  <c r="E28" i="52"/>
  <c r="E4" i="52"/>
  <c r="E22" i="52"/>
  <c r="E20" i="52"/>
  <c r="E39" i="52"/>
  <c r="E38" i="52"/>
  <c r="E27" i="52"/>
  <c r="E34" i="52"/>
  <c r="E32" i="52"/>
  <c r="Q4" i="52"/>
  <c r="EA42" i="2"/>
  <c r="DS42" i="2"/>
  <c r="DO42" i="2"/>
  <c r="DK42" i="2"/>
  <c r="DG42" i="2"/>
  <c r="DC42" i="2"/>
  <c r="CU42" i="2"/>
  <c r="CQ42" i="2"/>
  <c r="BS42" i="2"/>
  <c r="BK42" i="2"/>
  <c r="BG42" i="2"/>
  <c r="BC42" i="2"/>
  <c r="AY42" i="2"/>
  <c r="AU42" i="2"/>
  <c r="AQ42" i="2"/>
  <c r="AM42" i="2"/>
  <c r="AI42" i="2"/>
  <c r="AE42" i="2"/>
  <c r="AA42" i="2"/>
  <c r="EM39" i="2"/>
  <c r="CO39" i="2"/>
  <c r="BW39" i="2"/>
  <c r="EM38" i="2"/>
  <c r="CO38" i="2"/>
  <c r="EM37" i="2"/>
  <c r="CO37" i="2"/>
  <c r="BW37" i="2"/>
  <c r="EM36" i="2"/>
  <c r="CO36" i="2"/>
  <c r="BW36" i="2"/>
  <c r="EM35" i="2"/>
  <c r="CO35" i="2"/>
  <c r="BW35" i="2"/>
  <c r="EM34" i="2"/>
  <c r="CO34" i="2"/>
  <c r="BW34" i="2"/>
  <c r="EM33" i="2"/>
  <c r="CO33" i="2"/>
  <c r="BW33" i="2"/>
  <c r="EM32" i="2"/>
  <c r="CO32" i="2"/>
  <c r="BW32" i="2"/>
  <c r="EQ42" i="2"/>
  <c r="EM31" i="2"/>
  <c r="CO31" i="2"/>
  <c r="BW31" i="2"/>
  <c r="EM30" i="2"/>
  <c r="CO30" i="2"/>
  <c r="EM29" i="2"/>
  <c r="CO29" i="2"/>
  <c r="K42" i="2"/>
  <c r="K48" i="2" s="1"/>
  <c r="EM28" i="2"/>
  <c r="CO28" i="2"/>
  <c r="BW28" i="2"/>
  <c r="EM27" i="2"/>
  <c r="CO27" i="2"/>
  <c r="BW27" i="2"/>
  <c r="EM26" i="2"/>
  <c r="CO26" i="2"/>
  <c r="BW26" i="2"/>
  <c r="EM25" i="2"/>
  <c r="CO25" i="2"/>
  <c r="BW25" i="2"/>
  <c r="EM24" i="2"/>
  <c r="CO24" i="2"/>
  <c r="BW24" i="2"/>
  <c r="EM23" i="2"/>
  <c r="CO23" i="2"/>
  <c r="EM22" i="2"/>
  <c r="CO22" i="2"/>
  <c r="BW22" i="2"/>
  <c r="EM21" i="2"/>
  <c r="CO21" i="2"/>
  <c r="BW21" i="2"/>
  <c r="EM20" i="2"/>
  <c r="CO20" i="2"/>
  <c r="BW20" i="2"/>
  <c r="EM19" i="2"/>
  <c r="BW19" i="2"/>
  <c r="EM18" i="2"/>
  <c r="CO18" i="2"/>
  <c r="BW18" i="2"/>
  <c r="EM17" i="2"/>
  <c r="CO17" i="2"/>
  <c r="BW17" i="2"/>
  <c r="EM16" i="2"/>
  <c r="CO16" i="2"/>
  <c r="EM15" i="2"/>
  <c r="CO15" i="2"/>
  <c r="BW15" i="2"/>
  <c r="EM14" i="2"/>
  <c r="CO14" i="2"/>
  <c r="BW14" i="2"/>
  <c r="EM13" i="2"/>
  <c r="CO13" i="2"/>
  <c r="BW13" i="2"/>
  <c r="EM12" i="2"/>
  <c r="CO12" i="2"/>
  <c r="BW12" i="2"/>
  <c r="EM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U27" i="2" l="1"/>
  <c r="DL27" i="2" s="1"/>
  <c r="EU33" i="2"/>
  <c r="EU35" i="2"/>
  <c r="EU37" i="2"/>
  <c r="EU25" i="2"/>
  <c r="H25" i="2" s="1"/>
  <c r="EU31" i="2"/>
  <c r="EU39" i="2"/>
  <c r="EU15" i="2"/>
  <c r="DL15" i="2" s="1"/>
  <c r="EU24" i="2"/>
  <c r="CF33" i="2"/>
  <c r="EU17" i="2"/>
  <c r="EU21" i="2"/>
  <c r="DL21" i="2" s="1"/>
  <c r="EU11" i="2"/>
  <c r="EU13" i="2"/>
  <c r="EU26" i="2"/>
  <c r="DL26" i="2" s="1"/>
  <c r="EU28" i="2"/>
  <c r="DL28" i="2" s="1"/>
  <c r="EU32" i="2"/>
  <c r="EU34" i="2"/>
  <c r="EU36" i="2"/>
  <c r="EU18" i="2"/>
  <c r="EU20" i="2"/>
  <c r="EU22" i="2"/>
  <c r="DL22" i="2" s="1"/>
  <c r="EU12" i="2"/>
  <c r="DL12" i="2" s="1"/>
  <c r="EU14" i="2"/>
  <c r="EM10" i="2"/>
  <c r="EU10" i="2" s="1"/>
  <c r="AJ33" i="2"/>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BW23" i="2"/>
  <c r="EU23" i="2" s="1"/>
  <c r="DL23" i="2" s="1"/>
  <c r="BW30" i="2"/>
  <c r="EU30" i="2" s="1"/>
  <c r="DL30" i="2" s="1"/>
  <c r="EN27" i="2"/>
  <c r="BH33" i="2"/>
  <c r="AB33" i="2"/>
  <c r="BW29" i="2"/>
  <c r="EU29" i="2" s="1"/>
  <c r="DL29" i="2" s="1"/>
  <c r="BW38" i="2"/>
  <c r="EU38" i="2" s="1"/>
  <c r="DL38" i="2" s="1"/>
  <c r="CY42" i="2"/>
  <c r="CJ27" i="2" l="1"/>
  <c r="CF27" i="2"/>
  <c r="CB27" i="2"/>
  <c r="P25" i="2"/>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J10" i="2" l="1"/>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AO22" i="2"/>
  <c r="EK20" i="2"/>
  <c r="DU20" i="2"/>
  <c r="DQ22" i="2"/>
  <c r="DE23" i="2"/>
  <c r="Y24" i="2"/>
  <c r="CW22" i="2"/>
  <c r="EC21" i="2"/>
  <c r="DI20" i="2"/>
  <c r="AS21" i="2"/>
  <c r="BI21" i="2"/>
  <c r="BE24" i="2"/>
  <c r="I22" i="2"/>
  <c r="EO19" i="2"/>
  <c r="EG19" i="2"/>
  <c r="AH18" i="2" l="1"/>
  <c r="CD18" i="2"/>
  <c r="CL18" i="2"/>
  <c r="CH18" i="2"/>
  <c r="V18" i="2"/>
  <c r="CT18" i="2"/>
  <c r="CX18" i="2"/>
  <c r="EL18" i="2"/>
  <c r="AL18" i="2"/>
  <c r="BJ18" i="2"/>
  <c r="AT18" i="2"/>
  <c r="ED18" i="2"/>
  <c r="R18" i="2"/>
  <c r="DB18" i="2"/>
  <c r="DZ18" i="2"/>
  <c r="CP18" i="2"/>
  <c r="J18" i="2"/>
  <c r="DJ18" i="2"/>
  <c r="EH18" i="2"/>
  <c r="DR18" i="2"/>
  <c r="DF18" i="2"/>
  <c r="Z18" i="2"/>
  <c r="BB18" i="2"/>
  <c r="BZ18" i="2"/>
  <c r="AD18" i="2"/>
  <c r="BF18" i="2"/>
  <c r="DV18" i="2"/>
  <c r="EP18" i="2"/>
  <c r="AP18" i="2"/>
  <c r="AX18" i="2"/>
  <c r="ET18" i="2"/>
  <c r="N18"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AC24" i="2" l="1"/>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BY25" i="2" l="1"/>
  <c r="DE26" i="2"/>
  <c r="Y27" i="2"/>
  <c r="AO25" i="2"/>
  <c r="DA23" i="2"/>
  <c r="Q23" i="2"/>
  <c r="U23" i="2"/>
  <c r="DU23" i="2"/>
  <c r="EK23" i="2"/>
  <c r="AK25" i="2"/>
  <c r="DQ25" i="2"/>
  <c r="AW26" i="2"/>
  <c r="CS25" i="2"/>
  <c r="M23" i="2"/>
  <c r="I25" i="2"/>
  <c r="CW25" i="2"/>
  <c r="AS24" i="2"/>
  <c r="BE27" i="2"/>
  <c r="EG22" i="2"/>
  <c r="EO22" i="2"/>
  <c r="BA23" i="2"/>
  <c r="EC24" i="2"/>
  <c r="BI24" i="2"/>
  <c r="AG23" i="2"/>
  <c r="ES26" i="2"/>
  <c r="DI23" i="2"/>
  <c r="AC25" i="2"/>
  <c r="DQ26" i="2" l="1"/>
  <c r="EG23" i="2"/>
  <c r="I26" i="2"/>
  <c r="U24" i="2"/>
  <c r="AO26" i="2"/>
  <c r="ES27" i="2"/>
  <c r="BE28" i="2"/>
  <c r="M24" i="2"/>
  <c r="AK26" i="2"/>
  <c r="Y28" i="2"/>
  <c r="AG24" i="2"/>
  <c r="EK24" i="2"/>
  <c r="DE27" i="2"/>
  <c r="AS25" i="2"/>
  <c r="Q24" i="2"/>
  <c r="BA24" i="2"/>
  <c r="EO23" i="2"/>
  <c r="CW26" i="2"/>
  <c r="DU24" i="2"/>
  <c r="DA24" i="2"/>
  <c r="BY26" i="2"/>
  <c r="EC25" i="2"/>
  <c r="CS26" i="2"/>
  <c r="AC26" i="2"/>
  <c r="DI24" i="2"/>
  <c r="BI25" i="2"/>
  <c r="AW27" i="2"/>
  <c r="AS26" i="2" l="1"/>
  <c r="ES28" i="2"/>
  <c r="I27" i="2"/>
  <c r="EK25" i="2"/>
  <c r="AK27" i="2"/>
  <c r="EG24" i="2"/>
  <c r="EO24" i="2"/>
  <c r="CS27" i="2"/>
  <c r="AW28" i="2"/>
  <c r="DA25" i="2"/>
  <c r="AO27" i="2"/>
  <c r="DU25" i="2"/>
  <c r="AG25" i="2"/>
  <c r="M25" i="2"/>
  <c r="DQ27" i="2"/>
  <c r="BY27" i="2"/>
  <c r="BI26" i="2"/>
  <c r="DI25" i="2"/>
  <c r="Q25" i="2"/>
  <c r="Y29" i="2"/>
  <c r="U25" i="2"/>
  <c r="AC27" i="2"/>
  <c r="BA25" i="2"/>
  <c r="EC26" i="2"/>
  <c r="CW27" i="2"/>
  <c r="DE28" i="2"/>
  <c r="BE29" i="2"/>
  <c r="DI26" i="2" l="1"/>
  <c r="M26" i="2"/>
  <c r="EO25" i="2"/>
  <c r="I28" i="2"/>
  <c r="CW28" i="2"/>
  <c r="DA26" i="2"/>
  <c r="BI27" i="2"/>
  <c r="BY28" i="2"/>
  <c r="AG26" i="2"/>
  <c r="EG25" i="2"/>
  <c r="ES29" i="2"/>
  <c r="EC27" i="2"/>
  <c r="U26" i="2"/>
  <c r="Y30" i="2"/>
  <c r="AC28" i="2"/>
  <c r="DQ28" i="2"/>
  <c r="AW29" i="2"/>
  <c r="AK28" i="2"/>
  <c r="BA26" i="2"/>
  <c r="Q26" i="2"/>
  <c r="DU26" i="2"/>
  <c r="EK26" i="2"/>
  <c r="AO28" i="2"/>
  <c r="BE30" i="2"/>
  <c r="DE29" i="2"/>
  <c r="CS28" i="2"/>
  <c r="AS27" i="2"/>
  <c r="BI28" i="2" l="1"/>
  <c r="EO26" i="2"/>
  <c r="AC29" i="2"/>
  <c r="ES30" i="2"/>
  <c r="CS29" i="2"/>
  <c r="DE30" i="2"/>
  <c r="DU27" i="2"/>
  <c r="AK29" i="2"/>
  <c r="Y31" i="2"/>
  <c r="EG26" i="2"/>
  <c r="DA27" i="2"/>
  <c r="EK27" i="2"/>
  <c r="U27" i="2"/>
  <c r="AG27" i="2"/>
  <c r="BE31" i="2"/>
  <c r="Q27" i="2"/>
  <c r="AW30" i="2"/>
  <c r="CW29" i="2"/>
  <c r="M27" i="2"/>
  <c r="AS28" i="2"/>
  <c r="BA27" i="2"/>
  <c r="DQ29" i="2"/>
  <c r="BY29" i="2"/>
  <c r="I29" i="2"/>
  <c r="DI27" i="2"/>
  <c r="AO29" i="2"/>
  <c r="EC28" i="2"/>
  <c r="DQ30" i="2" l="1"/>
  <c r="CW30" i="2"/>
  <c r="EO27" i="2"/>
  <c r="U28" i="2"/>
  <c r="EG27" i="2"/>
  <c r="DE31" i="2"/>
  <c r="BA28" i="2"/>
  <c r="EK28" i="2"/>
  <c r="Y32" i="2"/>
  <c r="CS30" i="2"/>
  <c r="AS29" i="2"/>
  <c r="AW31" i="2"/>
  <c r="BI29" i="2"/>
  <c r="I30" i="2"/>
  <c r="EC29" i="2"/>
  <c r="BY30" i="2"/>
  <c r="M28" i="2"/>
  <c r="AK30" i="2"/>
  <c r="ES31" i="2"/>
  <c r="DI28" i="2"/>
  <c r="Q28" i="2"/>
  <c r="DA28" i="2"/>
  <c r="AO30" i="2"/>
  <c r="BE32" i="2"/>
  <c r="AG28" i="2"/>
  <c r="DU28" i="2"/>
  <c r="AC30" i="2"/>
  <c r="DA29" i="2" l="1"/>
  <c r="ES32" i="2"/>
  <c r="EK29" i="2"/>
  <c r="BI30" i="2"/>
  <c r="AW32" i="2"/>
  <c r="U29" i="2"/>
  <c r="BA29" i="2"/>
  <c r="EO28" i="2"/>
  <c r="Q29" i="2"/>
  <c r="AS30" i="2"/>
  <c r="BE33" i="2"/>
  <c r="AK31" i="2"/>
  <c r="CS31" i="2"/>
  <c r="DE32" i="2"/>
  <c r="CW31" i="2"/>
  <c r="EC30" i="2"/>
  <c r="AO31" i="2"/>
  <c r="M29" i="2"/>
  <c r="DI29" i="2"/>
  <c r="BY31" i="2"/>
  <c r="I31" i="2"/>
  <c r="AC31" i="2"/>
  <c r="DU29" i="2"/>
  <c r="AG29" i="2"/>
  <c r="Y33" i="2"/>
  <c r="EG28" i="2"/>
  <c r="DQ31" i="2"/>
  <c r="EC31" i="2" l="1"/>
  <c r="BA30" i="2"/>
  <c r="CW32" i="2"/>
  <c r="BE34" i="2"/>
  <c r="BI31" i="2"/>
  <c r="AS31" i="2"/>
  <c r="EK30" i="2"/>
  <c r="AC32" i="2"/>
  <c r="U30" i="2"/>
  <c r="ES33" i="2"/>
  <c r="EG29" i="2"/>
  <c r="DI30" i="2"/>
  <c r="AK32" i="2"/>
  <c r="Q30" i="2"/>
  <c r="DU30" i="2"/>
  <c r="DE33" i="2"/>
  <c r="AG30" i="2"/>
  <c r="I32" i="2"/>
  <c r="AO32" i="2"/>
  <c r="CS32" i="2"/>
  <c r="Y34" i="2"/>
  <c r="M30" i="2"/>
  <c r="DQ32" i="2"/>
  <c r="BY32" i="2"/>
  <c r="EO29" i="2"/>
  <c r="AW33" i="2"/>
  <c r="DA30" i="2"/>
  <c r="AG31" i="2" l="1"/>
  <c r="AC33" i="2"/>
  <c r="DQ33" i="2"/>
  <c r="BI32" i="2"/>
  <c r="DE34" i="2"/>
  <c r="AK33" i="2"/>
  <c r="ES34" i="2"/>
  <c r="EK31" i="2"/>
  <c r="CW33" i="2"/>
  <c r="CS33" i="2"/>
  <c r="AW34" i="2"/>
  <c r="EO30" i="2"/>
  <c r="AO33" i="2"/>
  <c r="DU31" i="2"/>
  <c r="DI31" i="2"/>
  <c r="U31" i="2"/>
  <c r="BE35" i="2"/>
  <c r="M31" i="2"/>
  <c r="EG30" i="2"/>
  <c r="BA31" i="2"/>
  <c r="BY33" i="2"/>
  <c r="I33" i="2"/>
  <c r="AS32" i="2"/>
  <c r="DA31" i="2"/>
  <c r="Y35" i="2"/>
  <c r="Q31" i="2"/>
  <c r="EC32" i="2"/>
  <c r="EC33" i="2" l="1"/>
  <c r="ES35" i="2"/>
  <c r="I34" i="2"/>
  <c r="M32" i="2"/>
  <c r="DI32" i="2"/>
  <c r="AW35" i="2"/>
  <c r="DQ34" i="2"/>
  <c r="AC34" i="2"/>
  <c r="Y36" i="2"/>
  <c r="BY34" i="2"/>
  <c r="BE36" i="2"/>
  <c r="DU32" i="2"/>
  <c r="CS34" i="2"/>
  <c r="AK34" i="2"/>
  <c r="DA32" i="2"/>
  <c r="BA32" i="2"/>
  <c r="AO34" i="2"/>
  <c r="CW34" i="2"/>
  <c r="DE35" i="2"/>
  <c r="Q32" i="2"/>
  <c r="AS33" i="2"/>
  <c r="EG31" i="2"/>
  <c r="U32" i="2"/>
  <c r="EO31" i="2"/>
  <c r="EK32" i="2"/>
  <c r="BI33" i="2"/>
  <c r="AG32" i="2"/>
  <c r="DU33" i="2" l="1"/>
  <c r="AW36" i="2"/>
  <c r="ES36" i="2"/>
  <c r="AO35" i="2"/>
  <c r="BE37" i="2"/>
  <c r="BI34" i="2"/>
  <c r="BA33" i="2"/>
  <c r="BY35" i="2"/>
  <c r="DI33" i="2"/>
  <c r="EG32" i="2"/>
  <c r="AS34" i="2"/>
  <c r="AK35" i="2"/>
  <c r="EO32" i="2"/>
  <c r="AC35" i="2"/>
  <c r="M33" i="2"/>
  <c r="EK33" i="2"/>
  <c r="Q33" i="2"/>
  <c r="DE36" i="2"/>
  <c r="DA33" i="2"/>
  <c r="CS35" i="2"/>
  <c r="Y37" i="2"/>
  <c r="AG33" i="2"/>
  <c r="U33" i="2"/>
  <c r="CW35" i="2"/>
  <c r="DQ35" i="2"/>
  <c r="I35" i="2"/>
  <c r="EC34" i="2"/>
  <c r="EO33" i="2" l="1"/>
  <c r="BE38" i="2"/>
  <c r="AS35" i="2"/>
  <c r="BA34" i="2"/>
  <c r="AO36" i="2"/>
  <c r="EC35" i="2"/>
  <c r="CS36" i="2"/>
  <c r="U34" i="2"/>
  <c r="M34" i="2"/>
  <c r="EG33" i="2"/>
  <c r="DA34" i="2"/>
  <c r="ES37" i="2"/>
  <c r="DU34" i="2"/>
  <c r="DE37" i="2"/>
  <c r="AC36" i="2"/>
  <c r="DI34" i="2"/>
  <c r="BI35" i="2"/>
  <c r="AW37" i="2"/>
  <c r="EK34" i="2"/>
  <c r="I36" i="2"/>
  <c r="Q34" i="2"/>
  <c r="AK36" i="2"/>
  <c r="BY36" i="2"/>
  <c r="CW36" i="2"/>
  <c r="AG34" i="2"/>
  <c r="DQ36" i="2"/>
  <c r="Y38" i="2"/>
  <c r="DQ37" i="2" l="1"/>
  <c r="EK35" i="2"/>
  <c r="U35" i="2"/>
  <c r="EC36" i="2"/>
  <c r="DA35" i="2"/>
  <c r="BA35" i="2"/>
  <c r="DE38" i="2"/>
  <c r="CS37" i="2"/>
  <c r="AS36" i="2"/>
  <c r="AW38" i="2"/>
  <c r="AK37" i="2"/>
  <c r="CW37" i="2"/>
  <c r="Q35" i="2"/>
  <c r="EG34" i="2"/>
  <c r="AG35" i="2"/>
  <c r="I37" i="2"/>
  <c r="BI36" i="2"/>
  <c r="DU35" i="2"/>
  <c r="BE39" i="2"/>
  <c r="BE40" i="2" s="1"/>
  <c r="Y39" i="2"/>
  <c r="Y40" i="2" s="1"/>
  <c r="ES38" i="2"/>
  <c r="M35" i="2"/>
  <c r="AC37" i="2"/>
  <c r="BY37" i="2"/>
  <c r="DI35" i="2"/>
  <c r="AO37" i="2"/>
  <c r="EO34" i="2"/>
  <c r="EG35" i="2" l="1"/>
  <c r="CS38" i="2"/>
  <c r="EC37" i="2"/>
  <c r="M36" i="2"/>
  <c r="DI36" i="2"/>
  <c r="Q36" i="2"/>
  <c r="AG36" i="2"/>
  <c r="DE39" i="2"/>
  <c r="DE40" i="2" s="1"/>
  <c r="U36" i="2"/>
  <c r="DU36" i="2"/>
  <c r="CW38" i="2"/>
  <c r="AW39" i="2"/>
  <c r="AW40" i="2" s="1"/>
  <c r="EO35" i="2"/>
  <c r="BA36" i="2"/>
  <c r="EK36" i="2"/>
  <c r="ES39" i="2"/>
  <c r="ES40" i="2" s="1"/>
  <c r="BY38" i="2"/>
  <c r="BI37" i="2"/>
  <c r="AK38" i="2"/>
  <c r="DQ38" i="2"/>
  <c r="AO38" i="2"/>
  <c r="AC38" i="2"/>
  <c r="I38" i="2"/>
  <c r="AS37" i="2"/>
  <c r="DA36" i="2"/>
  <c r="DI37" i="2" l="1"/>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U38" i="2" l="1"/>
  <c r="DI38" i="2"/>
  <c r="BI39" i="2"/>
  <c r="BI40" i="2" s="1"/>
  <c r="EC39" i="2"/>
  <c r="EC40" i="2" s="1"/>
  <c r="M38" i="2"/>
  <c r="EO37" i="2"/>
  <c r="DA38" i="2"/>
  <c r="U38" i="2"/>
  <c r="EG37" i="2"/>
  <c r="BA38" i="2"/>
  <c r="EK38" i="2"/>
  <c r="AS39" i="2"/>
  <c r="AS40" i="2" s="1"/>
  <c r="Q38" i="2"/>
  <c r="AG38" i="2"/>
  <c r="AG39" i="2" l="1"/>
  <c r="AG40" i="2" s="1"/>
  <c r="DA39" i="2"/>
  <c r="DA40" i="2" s="1"/>
  <c r="EO38" i="2"/>
  <c r="Q39" i="2"/>
  <c r="Q40" i="2" s="1"/>
  <c r="DI39" i="2"/>
  <c r="DI40" i="2" s="1"/>
  <c r="M39" i="2"/>
  <c r="M40" i="2" s="1"/>
  <c r="DU39" i="2"/>
  <c r="DU40" i="2" s="1"/>
  <c r="BA39" i="2"/>
  <c r="BA40" i="2" s="1"/>
  <c r="EG38" i="2"/>
  <c r="EK39" i="2"/>
  <c r="EK40" i="2" s="1"/>
  <c r="U39" i="2"/>
  <c r="U40" i="2" s="1"/>
  <c r="EO39" i="2" l="1"/>
  <c r="EO40" i="2" s="1"/>
  <c r="EG39" i="2"/>
  <c r="EG40" i="2" s="1"/>
  <c r="AF39" i="50" l="1"/>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AG36" i="50"/>
  <c r="AG35" i="50"/>
  <c r="AG34" i="50"/>
  <c r="AG33" i="50"/>
  <c r="Y43" i="54" s="1"/>
  <c r="AA43" i="54" s="1"/>
  <c r="AB43" i="54" s="1"/>
  <c r="AG32" i="50"/>
  <c r="AG31" i="50"/>
  <c r="AG30" i="50"/>
  <c r="AG29" i="50"/>
  <c r="Y38" i="54" s="1"/>
  <c r="AA38" i="54" s="1"/>
  <c r="AB38" i="54" s="1"/>
  <c r="AG28" i="50"/>
  <c r="AG27" i="50"/>
  <c r="AG26" i="50"/>
  <c r="AG25" i="50"/>
  <c r="AG24" i="50"/>
  <c r="AG23" i="50"/>
  <c r="AG22" i="50"/>
  <c r="AG21" i="50"/>
  <c r="AG20" i="50"/>
  <c r="AG19" i="50"/>
  <c r="AG18" i="50"/>
  <c r="AG17" i="50"/>
  <c r="AG16" i="50"/>
  <c r="AG15" i="50"/>
  <c r="AG14" i="50"/>
  <c r="AG13" i="50"/>
  <c r="AG12" i="50"/>
  <c r="AG11" i="50"/>
  <c r="AG10" i="50"/>
  <c r="AG9" i="50"/>
  <c r="AG8" i="50"/>
  <c r="AG7" i="50"/>
  <c r="AG6" i="50"/>
  <c r="Y17" i="54" l="1"/>
  <c r="AA17" i="54" s="1"/>
  <c r="AB17" i="54" s="1"/>
  <c r="Y142" i="54"/>
  <c r="Y142" i="46"/>
  <c r="Y153" i="54"/>
  <c r="AA153" i="54" s="1"/>
  <c r="AB153" i="54" s="1"/>
  <c r="Y153" i="46"/>
  <c r="AA153" i="46" s="1"/>
  <c r="AB153" i="46" s="1"/>
  <c r="AA148" i="46"/>
  <c r="AB148" i="46" s="1"/>
  <c r="Y43" i="46"/>
  <c r="AA43" i="46" s="1"/>
  <c r="AB43" i="46" s="1"/>
  <c r="Y38" i="46"/>
  <c r="AA38" i="46" s="1"/>
  <c r="AB38" i="46" s="1"/>
  <c r="AA33" i="46"/>
  <c r="AB33" i="46" s="1"/>
  <c r="AA27" i="46"/>
  <c r="AB27" i="46" s="1"/>
  <c r="AA22" i="46"/>
  <c r="AB22" i="46" s="1"/>
  <c r="Y17" i="46"/>
  <c r="AG39" i="50"/>
  <c r="AH21" i="50" s="1"/>
  <c r="AA17" i="46" l="1"/>
  <c r="AB17" i="46" s="1"/>
  <c r="Y164" i="46"/>
  <c r="Y166" i="46" s="1"/>
  <c r="Y164" i="54"/>
  <c r="AH19" i="50"/>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Y166" i="54" l="1"/>
  <c r="Y165" i="54"/>
  <c r="X172" i="54" s="1"/>
  <c r="AH39" i="50"/>
  <c r="C43" i="9" l="1"/>
  <c r="G42" i="11" l="1"/>
  <c r="I37" i="11" s="1"/>
  <c r="F42" i="11"/>
  <c r="C43" i="11"/>
  <c r="C43" i="12" l="1"/>
  <c r="C43" i="15" l="1"/>
  <c r="C43" i="19" l="1"/>
  <c r="C43" i="20" l="1"/>
  <c r="C43" i="23" l="1"/>
  <c r="C43" i="26" l="1"/>
  <c r="C38" i="24"/>
  <c r="C43" i="25"/>
  <c r="C43" i="28" l="1"/>
  <c r="G42" i="28"/>
  <c r="I37" i="28" s="1"/>
  <c r="F42" i="28"/>
  <c r="C43" i="30" l="1"/>
  <c r="C43" i="33" l="1"/>
  <c r="D9" i="39"/>
  <c r="E9" i="39" l="1"/>
  <c r="F9" i="39" s="1"/>
  <c r="C43" i="31" l="1"/>
  <c r="K40" i="39" l="1"/>
  <c r="M8" i="33" l="1"/>
  <c r="G42" i="43"/>
  <c r="I37" i="43" s="1"/>
  <c r="F42" i="43"/>
  <c r="D39" i="39" s="1"/>
  <c r="K34" i="4"/>
  <c r="G42" i="4"/>
  <c r="I37" i="4" s="1"/>
  <c r="F42" i="4"/>
  <c r="D38" i="39" s="1"/>
  <c r="F32" i="4"/>
  <c r="K34" i="37"/>
  <c r="D37" i="39"/>
  <c r="D36" i="39"/>
  <c r="D35" i="39"/>
  <c r="G42" i="9"/>
  <c r="I37" i="9" s="1"/>
  <c r="F42" i="9"/>
  <c r="D33" i="39" s="1"/>
  <c r="D32" i="39"/>
  <c r="G42" i="12"/>
  <c r="I37" i="12" s="1"/>
  <c r="F42" i="12"/>
  <c r="D30" i="39" s="1"/>
  <c r="G42" i="14"/>
  <c r="I37" i="14" s="1"/>
  <c r="F42" i="14"/>
  <c r="D28" i="39" s="1"/>
  <c r="J40" i="39"/>
  <c r="P28" i="39"/>
  <c r="BH28" i="39" s="1"/>
  <c r="P29" i="39"/>
  <c r="P30" i="39"/>
  <c r="P31" i="39"/>
  <c r="P32" i="39"/>
  <c r="P33" i="39"/>
  <c r="P34" i="39"/>
  <c r="P35" i="39"/>
  <c r="P36" i="39"/>
  <c r="BH36" i="39" s="1"/>
  <c r="P37" i="39"/>
  <c r="BB37" i="39"/>
  <c r="P38" i="39"/>
  <c r="BH38" i="39" s="1"/>
  <c r="P39" i="39"/>
  <c r="BB39" i="39"/>
  <c r="E27" i="39"/>
  <c r="D24" i="39"/>
  <c r="E35" i="39"/>
  <c r="E34" i="39"/>
  <c r="D34" i="39"/>
  <c r="E32" i="39"/>
  <c r="D31" i="39"/>
  <c r="E29" i="39"/>
  <c r="D29" i="39"/>
  <c r="D27" i="39"/>
  <c r="D26" i="39"/>
  <c r="E25" i="39"/>
  <c r="D25" i="39"/>
  <c r="E24" i="39"/>
  <c r="E14" i="39"/>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7" i="1"/>
  <c r="B18" i="2" s="1"/>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BA39"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I47" i="9"/>
  <c r="AT34" i="39"/>
  <c r="AV34" i="39" s="1"/>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I49" i="43"/>
  <c r="I50" i="43" s="1"/>
  <c r="C50" i="43"/>
  <c r="C51" i="43"/>
  <c r="H4" i="4"/>
  <c r="C14" i="4"/>
  <c r="D14" i="4"/>
  <c r="E14" i="4"/>
  <c r="F14" i="4"/>
  <c r="C23" i="4"/>
  <c r="D23" i="4"/>
  <c r="E23" i="4"/>
  <c r="F23" i="4"/>
  <c r="C32" i="4"/>
  <c r="D32" i="4"/>
  <c r="E32" i="4"/>
  <c r="L34" i="4"/>
  <c r="I40" i="4" s="1"/>
  <c r="R38" i="39" s="1"/>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K3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7" i="24"/>
  <c r="C48" i="24"/>
  <c r="C49" i="24"/>
  <c r="C50" i="24"/>
  <c r="C51" i="24"/>
  <c r="H4" i="25"/>
  <c r="K34" i="25"/>
  <c r="L34" i="25"/>
  <c r="C38" i="25"/>
  <c r="C39" i="25"/>
  <c r="C40" i="25"/>
  <c r="C41" i="25"/>
  <c r="C42" i="25"/>
  <c r="I43" i="25"/>
  <c r="I44" i="25" s="1"/>
  <c r="C44" i="25"/>
  <c r="C45" i="25"/>
  <c r="C46" i="25"/>
  <c r="C47"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12" i="31"/>
  <c r="J13" i="31"/>
  <c r="J14" i="31"/>
  <c r="J17" i="31"/>
  <c r="J17" i="30" s="1"/>
  <c r="J18" i="31"/>
  <c r="J19" i="31"/>
  <c r="J20" i="31"/>
  <c r="J21" i="31"/>
  <c r="J22" i="31"/>
  <c r="J23" i="31"/>
  <c r="J24" i="31"/>
  <c r="J25" i="31"/>
  <c r="J26" i="31"/>
  <c r="J27" i="31"/>
  <c r="J28" i="31"/>
  <c r="J29" i="31"/>
  <c r="J30" i="31"/>
  <c r="J31" i="31"/>
  <c r="J32" i="32"/>
  <c r="J32" i="31" s="1"/>
  <c r="J32" i="30" s="1"/>
  <c r="J32" i="29" s="1"/>
  <c r="J32" i="27" s="1"/>
  <c r="J32" i="28" s="1"/>
  <c r="J32" i="26" s="1"/>
  <c r="J32" i="25" s="1"/>
  <c r="J32" i="24" s="1"/>
  <c r="J32" i="23"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P10" i="39"/>
  <c r="P11" i="39"/>
  <c r="P12" i="39"/>
  <c r="P13" i="39"/>
  <c r="BH13" i="39" s="1"/>
  <c r="P14" i="39"/>
  <c r="BH14" i="39" s="1"/>
  <c r="P15" i="39"/>
  <c r="P16" i="39"/>
  <c r="BB16" i="39" s="1"/>
  <c r="P17" i="39"/>
  <c r="BB17" i="39" s="1"/>
  <c r="P18" i="39"/>
  <c r="BH18" i="39" s="1"/>
  <c r="P19" i="39"/>
  <c r="P21" i="39"/>
  <c r="P22" i="39"/>
  <c r="P23" i="39"/>
  <c r="P24" i="39"/>
  <c r="BB24" i="39" s="1"/>
  <c r="B24" i="45"/>
  <c r="B25" i="45"/>
  <c r="B26" i="45"/>
  <c r="Y41" i="39"/>
  <c r="AA41" i="39" s="1"/>
  <c r="AT39" i="39"/>
  <c r="AV39" i="39" s="1"/>
  <c r="L44" i="11"/>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31" i="39"/>
  <c r="BB35" i="39"/>
  <c r="H35" i="39"/>
  <c r="G35" i="39"/>
  <c r="G28" i="39"/>
  <c r="H28" i="39"/>
  <c r="G29" i="39"/>
  <c r="BB34" i="39"/>
  <c r="BB20" i="39"/>
  <c r="G34" i="39"/>
  <c r="BB25" i="39"/>
  <c r="BB26" i="39"/>
  <c r="E12" i="39"/>
  <c r="G36" i="39"/>
  <c r="BB38" i="39"/>
  <c r="H36" i="39"/>
  <c r="BB36" i="39"/>
  <c r="E39" i="39"/>
  <c r="K34" i="43"/>
  <c r="I40" i="43" s="1"/>
  <c r="R39" i="39" s="1"/>
  <c r="C38" i="4"/>
  <c r="E37" i="39"/>
  <c r="C38" i="37"/>
  <c r="H34" i="39"/>
  <c r="K34" i="16"/>
  <c r="E23" i="39"/>
  <c r="E16" i="39"/>
  <c r="I50" i="33"/>
  <c r="J37" i="33"/>
  <c r="J39" i="33" s="1"/>
  <c r="C38" i="33"/>
  <c r="D38" i="33" s="1"/>
  <c r="E38" i="33" s="1"/>
  <c r="BB30" i="39"/>
  <c r="AZ41" i="39"/>
  <c r="AT19" i="39"/>
  <c r="I47" i="15"/>
  <c r="I47" i="13"/>
  <c r="AT32" i="39"/>
  <c r="AT18" i="39"/>
  <c r="I47" i="26"/>
  <c r="I47" i="29"/>
  <c r="AV31" i="39" l="1"/>
  <c r="H31" i="39"/>
  <c r="BH31" i="39"/>
  <c r="B29" i="45"/>
  <c r="BH30" i="39"/>
  <c r="B31" i="45"/>
  <c r="T31" i="45" s="1"/>
  <c r="BH32" i="39"/>
  <c r="B36" i="45"/>
  <c r="T36" i="45" s="1"/>
  <c r="BH37" i="39"/>
  <c r="B28" i="45"/>
  <c r="BH29" i="39"/>
  <c r="B34" i="45"/>
  <c r="BH35" i="39"/>
  <c r="B33" i="45"/>
  <c r="J33" i="45" s="1"/>
  <c r="BH34" i="39"/>
  <c r="B32" i="45"/>
  <c r="F32" i="45" s="1"/>
  <c r="X32" i="45" s="1"/>
  <c r="BH33" i="39"/>
  <c r="B23" i="45"/>
  <c r="BH24" i="39"/>
  <c r="B22" i="45"/>
  <c r="BH23" i="39"/>
  <c r="AI25" i="39"/>
  <c r="B21" i="45"/>
  <c r="N21" i="45" s="1"/>
  <c r="BH22" i="39"/>
  <c r="B20" i="45"/>
  <c r="N20" i="45" s="1"/>
  <c r="BH21" i="39"/>
  <c r="B18" i="45"/>
  <c r="BH19" i="39"/>
  <c r="B15" i="45"/>
  <c r="F15" i="45" s="1"/>
  <c r="X15" i="45" s="1"/>
  <c r="BH16" i="39"/>
  <c r="BB14" i="39"/>
  <c r="B16" i="45"/>
  <c r="F16" i="45" s="1"/>
  <c r="X16" i="45" s="1"/>
  <c r="BH17" i="39"/>
  <c r="B14" i="45"/>
  <c r="BH15" i="39"/>
  <c r="J8" i="27"/>
  <c r="J8" i="28" s="1"/>
  <c r="J8" i="26" s="1"/>
  <c r="J24" i="30"/>
  <c r="J24" i="29" s="1"/>
  <c r="J14" i="30"/>
  <c r="J14" i="29" s="1"/>
  <c r="J31" i="30"/>
  <c r="J31" i="29" s="1"/>
  <c r="J23" i="30"/>
  <c r="J23" i="29" s="1"/>
  <c r="J13" i="30"/>
  <c r="J13" i="29" s="1"/>
  <c r="J25" i="30"/>
  <c r="J25" i="29" s="1"/>
  <c r="J30" i="30"/>
  <c r="J30" i="29" s="1"/>
  <c r="J22" i="30"/>
  <c r="J22" i="29" s="1"/>
  <c r="J12" i="30"/>
  <c r="J12" i="29" s="1"/>
  <c r="J29" i="30"/>
  <c r="J29" i="29" s="1"/>
  <c r="J21" i="30"/>
  <c r="J21" i="29" s="1"/>
  <c r="J28" i="30"/>
  <c r="J28" i="29" s="1"/>
  <c r="J20" i="30"/>
  <c r="J20" i="29" s="1"/>
  <c r="J27" i="30"/>
  <c r="J27" i="29" s="1"/>
  <c r="B11" i="45"/>
  <c r="J11" i="45" s="1"/>
  <c r="BH12" i="39"/>
  <c r="J19" i="30"/>
  <c r="J19" i="29" s="1"/>
  <c r="J26" i="30"/>
  <c r="J26" i="29" s="1"/>
  <c r="J18" i="30"/>
  <c r="J18" i="29" s="1"/>
  <c r="F32" i="39"/>
  <c r="G30" i="39"/>
  <c r="H30" i="39"/>
  <c r="B10" i="45"/>
  <c r="T10" i="45" s="1"/>
  <c r="BH11" i="39"/>
  <c r="B9" i="45"/>
  <c r="J9" i="45" s="1"/>
  <c r="BH10" i="39"/>
  <c r="F37" i="39"/>
  <c r="F14" i="39"/>
  <c r="BJ39" i="39"/>
  <c r="BJ38" i="39"/>
  <c r="H13" i="39"/>
  <c r="B12" i="45"/>
  <c r="I40" i="37"/>
  <c r="L45" i="37" s="1"/>
  <c r="H38" i="39"/>
  <c r="B37" i="45"/>
  <c r="AJ31" i="39"/>
  <c r="B30" i="45"/>
  <c r="BD38" i="39"/>
  <c r="C37" i="45"/>
  <c r="J29" i="45"/>
  <c r="T29" i="45"/>
  <c r="Q29" i="45"/>
  <c r="F29" i="45"/>
  <c r="X29" i="45" s="1"/>
  <c r="N29" i="45"/>
  <c r="H14" i="39"/>
  <c r="B13" i="45"/>
  <c r="BN39" i="39"/>
  <c r="C38" i="45"/>
  <c r="N18" i="45"/>
  <c r="T18" i="45"/>
  <c r="J18" i="45"/>
  <c r="F18" i="45"/>
  <c r="X18" i="45" s="1"/>
  <c r="Q18" i="45"/>
  <c r="F10" i="45"/>
  <c r="X10" i="45" s="1"/>
  <c r="T28" i="45"/>
  <c r="J28" i="45"/>
  <c r="Q28" i="45"/>
  <c r="F28" i="45"/>
  <c r="X28" i="45" s="1"/>
  <c r="N28" i="45"/>
  <c r="AD39" i="39"/>
  <c r="B38" i="45"/>
  <c r="J26" i="45"/>
  <c r="T26" i="45"/>
  <c r="N26" i="45"/>
  <c r="Q26" i="45"/>
  <c r="F26" i="45"/>
  <c r="X26" i="45" s="1"/>
  <c r="AJ18" i="39"/>
  <c r="B17" i="45"/>
  <c r="B35" i="45"/>
  <c r="B27" i="45"/>
  <c r="F34" i="45"/>
  <c r="X34" i="45" s="1"/>
  <c r="T34" i="45"/>
  <c r="N34" i="45"/>
  <c r="J34" i="45"/>
  <c r="Q34" i="45"/>
  <c r="N22" i="45"/>
  <c r="J22" i="45"/>
  <c r="Q22" i="45"/>
  <c r="T22" i="45"/>
  <c r="F22" i="45"/>
  <c r="X22" i="45" s="1"/>
  <c r="J25" i="45"/>
  <c r="T25" i="45"/>
  <c r="N25" i="45"/>
  <c r="Q25" i="45"/>
  <c r="F25" i="45"/>
  <c r="X25" i="45" s="1"/>
  <c r="N24" i="45"/>
  <c r="F24" i="45"/>
  <c r="X24" i="45" s="1"/>
  <c r="T24" i="45"/>
  <c r="J24" i="45"/>
  <c r="Q24" i="45"/>
  <c r="Q15" i="45"/>
  <c r="Q23" i="45"/>
  <c r="J23" i="45"/>
  <c r="T23" i="45"/>
  <c r="F23" i="45"/>
  <c r="X23" i="45" s="1"/>
  <c r="N23" i="45"/>
  <c r="J14" i="45"/>
  <c r="Q14" i="45"/>
  <c r="F14" i="45"/>
  <c r="X14" i="45" s="1"/>
  <c r="N14" i="45"/>
  <c r="T14" i="45"/>
  <c r="N32" i="45"/>
  <c r="E46" i="33"/>
  <c r="G38" i="39"/>
  <c r="M28" i="14"/>
  <c r="M28" i="13" s="1"/>
  <c r="M28" i="12" s="1"/>
  <c r="M28" i="11" s="1"/>
  <c r="M28" i="10" s="1"/>
  <c r="M28" i="9" s="1"/>
  <c r="M28" i="8" s="1"/>
  <c r="M28" i="7" s="1"/>
  <c r="M28" i="6" s="1"/>
  <c r="M15" i="37"/>
  <c r="M15" i="4" s="1"/>
  <c r="M15" i="43" s="1"/>
  <c r="G31" i="39"/>
  <c r="M27" i="14"/>
  <c r="M27" i="13" s="1"/>
  <c r="M27" i="12" s="1"/>
  <c r="M27" i="11" s="1"/>
  <c r="M27" i="10" s="1"/>
  <c r="M27" i="9" s="1"/>
  <c r="M27" i="8" s="1"/>
  <c r="M27" i="7" s="1"/>
  <c r="M27" i="6" s="1"/>
  <c r="M22" i="14"/>
  <c r="M22" i="13" s="1"/>
  <c r="M22" i="12" s="1"/>
  <c r="M22" i="11" s="1"/>
  <c r="M22" i="10" s="1"/>
  <c r="M22" i="9" s="1"/>
  <c r="M22" i="8" s="1"/>
  <c r="M22" i="7" s="1"/>
  <c r="M22" i="6" s="1"/>
  <c r="M14" i="37"/>
  <c r="M14" i="4" s="1"/>
  <c r="M14" i="43" s="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29"/>
  <c r="M25" i="14"/>
  <c r="M25" i="13" s="1"/>
  <c r="M25" i="12" s="1"/>
  <c r="M25" i="11" s="1"/>
  <c r="M25" i="10" s="1"/>
  <c r="M25" i="9" s="1"/>
  <c r="M25" i="8" s="1"/>
  <c r="M25" i="7" s="1"/>
  <c r="M25" i="6" s="1"/>
  <c r="M20" i="37"/>
  <c r="M20" i="4" s="1"/>
  <c r="M20" i="43" s="1"/>
  <c r="J16" i="31"/>
  <c r="M16" i="37"/>
  <c r="M16" i="4" s="1"/>
  <c r="M16" i="43" s="1"/>
  <c r="M24" i="14"/>
  <c r="M24" i="13" s="1"/>
  <c r="M24" i="12" s="1"/>
  <c r="M24" i="11" s="1"/>
  <c r="M24" i="10" s="1"/>
  <c r="M24" i="9" s="1"/>
  <c r="M24" i="8" s="1"/>
  <c r="M24" i="7" s="1"/>
  <c r="M24" i="6" s="1"/>
  <c r="M19" i="37"/>
  <c r="M19" i="4" s="1"/>
  <c r="M19" i="43" s="1"/>
  <c r="J15" i="31"/>
  <c r="M23" i="14"/>
  <c r="M23" i="13" s="1"/>
  <c r="M23" i="12" s="1"/>
  <c r="I47" i="33"/>
  <c r="AT9" i="39"/>
  <c r="BB22" i="39"/>
  <c r="BB33" i="39"/>
  <c r="I40" i="9"/>
  <c r="I48" i="9" s="1"/>
  <c r="L47" i="10"/>
  <c r="H29" i="39"/>
  <c r="AV32" i="39"/>
  <c r="F39" i="39"/>
  <c r="AJ37" i="39"/>
  <c r="J32" i="11"/>
  <c r="J32" i="10" s="1"/>
  <c r="J32" i="9" s="1"/>
  <c r="BB32" i="39"/>
  <c r="BB19" i="39"/>
  <c r="BB27" i="39"/>
  <c r="K34" i="6"/>
  <c r="I40" i="13"/>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BJ17" i="39" s="1"/>
  <c r="C34" i="24"/>
  <c r="K7" i="24" s="1"/>
  <c r="C33" i="43"/>
  <c r="C34" i="43"/>
  <c r="AV15" i="39"/>
  <c r="F19" i="39"/>
  <c r="BB11" i="39"/>
  <c r="AV18" i="39"/>
  <c r="E33" i="43"/>
  <c r="BB15" i="39"/>
  <c r="H26" i="39"/>
  <c r="G32" i="39"/>
  <c r="L47" i="4"/>
  <c r="L47" i="20"/>
  <c r="L47" i="12"/>
  <c r="G16" i="39"/>
  <c r="AV12" i="39"/>
  <c r="G12" i="39"/>
  <c r="BB12" i="39"/>
  <c r="H12" i="39"/>
  <c r="I40" i="28"/>
  <c r="I45" i="28" s="1"/>
  <c r="C34" i="32"/>
  <c r="K34" i="27"/>
  <c r="C33" i="4"/>
  <c r="G25" i="39"/>
  <c r="H25" i="39"/>
  <c r="G17" i="39"/>
  <c r="I47" i="6"/>
  <c r="F34" i="43"/>
  <c r="F34" i="4"/>
  <c r="E33" i="33"/>
  <c r="D34" i="24"/>
  <c r="AT33" i="39"/>
  <c r="AV33" i="39" s="1"/>
  <c r="L47" i="37"/>
  <c r="L47" i="13"/>
  <c r="C34" i="17"/>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BN38" i="39"/>
  <c r="A10" i="1"/>
  <c r="A11" i="2" s="1"/>
  <c r="H21" i="39"/>
  <c r="L47" i="24"/>
  <c r="L47" i="8"/>
  <c r="L47" i="16"/>
  <c r="L47" i="26"/>
  <c r="I47" i="4"/>
  <c r="D34" i="17"/>
  <c r="I48" i="4"/>
  <c r="AR38" i="39"/>
  <c r="H11" i="39"/>
  <c r="H24" i="39"/>
  <c r="I40" i="14"/>
  <c r="I48" i="14" s="1"/>
  <c r="T38" i="39"/>
  <c r="L45" i="4"/>
  <c r="C52" i="43"/>
  <c r="C53" i="43" s="1"/>
  <c r="AJ23" i="39"/>
  <c r="H27" i="39"/>
  <c r="G26" i="39"/>
  <c r="K34" i="10"/>
  <c r="I40" i="10" s="1"/>
  <c r="L45" i="10" s="1"/>
  <c r="AJ11" i="39"/>
  <c r="I38" i="39"/>
  <c r="G23" i="39"/>
  <c r="H15" i="39"/>
  <c r="H23" i="39"/>
  <c r="G19" i="39"/>
  <c r="D34" i="26"/>
  <c r="E34" i="43"/>
  <c r="AL38" i="39"/>
  <c r="V38" i="39"/>
  <c r="J38" i="39"/>
  <c r="C52" i="37"/>
  <c r="C53" i="37" s="1"/>
  <c r="G11" i="39"/>
  <c r="H17" i="39"/>
  <c r="K34" i="29"/>
  <c r="C52" i="14"/>
  <c r="C53" i="14" s="1"/>
  <c r="C52" i="13"/>
  <c r="C53" i="13" s="1"/>
  <c r="C52" i="9"/>
  <c r="C53" i="9" s="1"/>
  <c r="D34" i="32"/>
  <c r="E34" i="17"/>
  <c r="V39" i="39"/>
  <c r="AX39" i="39"/>
  <c r="AJ14" i="39"/>
  <c r="L47" i="23"/>
  <c r="E34" i="26"/>
  <c r="C24" i="43"/>
  <c r="G39" i="39"/>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AX38" i="39"/>
  <c r="I47" i="11"/>
  <c r="L48" i="43"/>
  <c r="M43" i="33"/>
  <c r="M44" i="33" s="1"/>
  <c r="I45" i="4"/>
  <c r="AJ10" i="39"/>
  <c r="L45" i="43"/>
  <c r="I51" i="43"/>
  <c r="AF39" i="39"/>
  <c r="AR39" i="39"/>
  <c r="AL39" i="39"/>
  <c r="I45" i="43"/>
  <c r="E38" i="1"/>
  <c r="D33" i="4"/>
  <c r="E33" i="4"/>
  <c r="D24" i="4"/>
  <c r="E15" i="4"/>
  <c r="D15" i="4"/>
  <c r="D34" i="4"/>
  <c r="AP37" i="39"/>
  <c r="H37" i="39"/>
  <c r="D37" i="1"/>
  <c r="D38" i="2" s="1"/>
  <c r="H33" i="39"/>
  <c r="G33" i="39"/>
  <c r="AJ29" i="39"/>
  <c r="E38" i="39"/>
  <c r="F38" i="39" s="1"/>
  <c r="E39" i="1"/>
  <c r="BD39" i="39"/>
  <c r="T39" i="39"/>
  <c r="J39" i="39"/>
  <c r="I39" i="39"/>
  <c r="I48" i="43"/>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V27" i="39" s="1"/>
  <c r="AT21" i="39"/>
  <c r="AV21" i="39" s="1"/>
  <c r="AT25" i="39"/>
  <c r="AV25" i="39" s="1"/>
  <c r="I40" i="15"/>
  <c r="AP27" i="39"/>
  <c r="D27" i="1"/>
  <c r="D28" i="2" s="1"/>
  <c r="C52" i="15"/>
  <c r="C53" i="15" s="1"/>
  <c r="L47" i="18"/>
  <c r="L48" i="21"/>
  <c r="L47" i="32"/>
  <c r="L47" i="30"/>
  <c r="L47" i="27"/>
  <c r="AT26" i="39"/>
  <c r="AV26" i="39" s="1"/>
  <c r="I47" i="18"/>
  <c r="I40" i="16"/>
  <c r="C52" i="16"/>
  <c r="C53" i="16" s="1"/>
  <c r="AP26" i="39"/>
  <c r="K34" i="18"/>
  <c r="I40" i="18" s="1"/>
  <c r="L45" i="18" s="1"/>
  <c r="I40" i="17"/>
  <c r="F25" i="39"/>
  <c r="AP25" i="39"/>
  <c r="D25" i="1"/>
  <c r="D26" i="2" s="1"/>
  <c r="C52" i="17"/>
  <c r="C53" i="17" s="1"/>
  <c r="C52" i="18"/>
  <c r="C53" i="18" s="1"/>
  <c r="AP24" i="39"/>
  <c r="C52" i="19"/>
  <c r="C53" i="19" s="1"/>
  <c r="AP23" i="39"/>
  <c r="D23" i="1"/>
  <c r="D24" i="2" s="1"/>
  <c r="I47" i="20"/>
  <c r="I40" i="20"/>
  <c r="L45" i="20" s="1"/>
  <c r="C52" i="20"/>
  <c r="C53" i="20" s="1"/>
  <c r="AP22" i="39"/>
  <c r="I47" i="23"/>
  <c r="AT20" i="39"/>
  <c r="AV20" i="39" s="1"/>
  <c r="I40" i="22"/>
  <c r="L45" i="22" s="1"/>
  <c r="C52" i="22"/>
  <c r="C53" i="22" s="1"/>
  <c r="AP21" i="39"/>
  <c r="D21" i="1"/>
  <c r="D22" i="2" s="1"/>
  <c r="I40" i="21"/>
  <c r="C52" i="21"/>
  <c r="C53" i="21" s="1"/>
  <c r="AP20" i="39"/>
  <c r="M46" i="33"/>
  <c r="M46" i="32" s="1"/>
  <c r="M47" i="32" s="1"/>
  <c r="L47" i="25"/>
  <c r="I40" i="23"/>
  <c r="L45" i="23" s="1"/>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C53" i="29" s="1"/>
  <c r="L47" i="31"/>
  <c r="D33" i="33"/>
  <c r="C15" i="33"/>
  <c r="C34" i="33"/>
  <c r="E24" i="33"/>
  <c r="E15" i="33"/>
  <c r="J38" i="31"/>
  <c r="E34" i="32"/>
  <c r="AP11" i="39"/>
  <c r="D11" i="1"/>
  <c r="D12" i="2" s="1"/>
  <c r="AP10" i="39"/>
  <c r="I47" i="30"/>
  <c r="F12" i="39"/>
  <c r="C52" i="30"/>
  <c r="C53" i="30" s="1"/>
  <c r="AP12" i="39"/>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D50" i="32"/>
  <c r="D49" i="32"/>
  <c r="D41" i="32"/>
  <c r="E24" i="4"/>
  <c r="J37" i="32"/>
  <c r="F35" i="39"/>
  <c r="I44" i="19"/>
  <c r="F15" i="39"/>
  <c r="H39" i="39"/>
  <c r="M8" i="32"/>
  <c r="AV19" i="39"/>
  <c r="I47" i="19"/>
  <c r="F26" i="39"/>
  <c r="AP38" i="39"/>
  <c r="AJ38" i="39"/>
  <c r="AP32" i="39"/>
  <c r="AJ32" i="39"/>
  <c r="AJ39" i="39"/>
  <c r="AP39" i="39"/>
  <c r="AP36" i="39"/>
  <c r="AJ36" i="39"/>
  <c r="AP35" i="39"/>
  <c r="AJ35" i="39"/>
  <c r="AP34" i="39"/>
  <c r="AJ34" i="39"/>
  <c r="AP33" i="39"/>
  <c r="AJ33" i="39"/>
  <c r="G37" i="39"/>
  <c r="T32" i="45" l="1"/>
  <c r="T15" i="45"/>
  <c r="F9" i="45"/>
  <c r="X9" i="45" s="1"/>
  <c r="J36" i="45"/>
  <c r="J32" i="45"/>
  <c r="N33" i="45"/>
  <c r="N9" i="45"/>
  <c r="J31" i="45"/>
  <c r="Q32" i="45"/>
  <c r="N15" i="45"/>
  <c r="Q33" i="45"/>
  <c r="J15" i="45"/>
  <c r="T33" i="45"/>
  <c r="Q9" i="45"/>
  <c r="F31" i="45"/>
  <c r="X31" i="45" s="1"/>
  <c r="T9" i="45"/>
  <c r="N36" i="45"/>
  <c r="N31" i="45"/>
  <c r="Q31" i="45"/>
  <c r="N16" i="45"/>
  <c r="F36" i="45"/>
  <c r="X36" i="45" s="1"/>
  <c r="F33" i="45"/>
  <c r="X33" i="45" s="1"/>
  <c r="Q36" i="45"/>
  <c r="JN39" i="1"/>
  <c r="JK39" i="1"/>
  <c r="K34" i="24"/>
  <c r="I40" i="24" s="1"/>
  <c r="W53" i="54"/>
  <c r="JK38" i="1"/>
  <c r="JN38" i="1"/>
  <c r="T21" i="45"/>
  <c r="F21" i="45"/>
  <c r="X21" i="45" s="1"/>
  <c r="Q21" i="45"/>
  <c r="J21" i="45"/>
  <c r="T20" i="45"/>
  <c r="I45" i="16"/>
  <c r="R26" i="39"/>
  <c r="J20" i="45"/>
  <c r="F20" i="45"/>
  <c r="X20" i="45" s="1"/>
  <c r="L45" i="15"/>
  <c r="R27" i="39"/>
  <c r="BJ27" i="39" s="1"/>
  <c r="R25" i="39"/>
  <c r="BJ25" i="39" s="1"/>
  <c r="Q20" i="45"/>
  <c r="AI26" i="39"/>
  <c r="Q16" i="45"/>
  <c r="T16" i="45"/>
  <c r="J16" i="45"/>
  <c r="J8" i="25"/>
  <c r="J8" i="24" s="1"/>
  <c r="J8" i="23" s="1"/>
  <c r="J8" i="21" s="1"/>
  <c r="J8" i="22" s="1"/>
  <c r="J8" i="20" s="1"/>
  <c r="J8" i="19" s="1"/>
  <c r="J8" i="18" s="1"/>
  <c r="W53" i="46"/>
  <c r="J29" i="27"/>
  <c r="J29" i="28" s="1"/>
  <c r="J29" i="26" s="1"/>
  <c r="J14" i="27"/>
  <c r="J14" i="28" s="1"/>
  <c r="J14" i="26" s="1"/>
  <c r="J14" i="24" s="1"/>
  <c r="J14" i="23" s="1"/>
  <c r="J14" i="21" s="1"/>
  <c r="J14" i="22" s="1"/>
  <c r="J14" i="20" s="1"/>
  <c r="J14" i="19" s="1"/>
  <c r="J30" i="27"/>
  <c r="J30" i="28" s="1"/>
  <c r="J30" i="26" s="1"/>
  <c r="J18" i="27"/>
  <c r="J18" i="28" s="1"/>
  <c r="J18" i="26" s="1"/>
  <c r="J31" i="27"/>
  <c r="J31" i="28" s="1"/>
  <c r="J31" i="26" s="1"/>
  <c r="J20" i="27"/>
  <c r="J20" i="28" s="1"/>
  <c r="J20" i="26" s="1"/>
  <c r="J22" i="27"/>
  <c r="J22" i="28" s="1"/>
  <c r="J22" i="26" s="1"/>
  <c r="J28" i="27"/>
  <c r="J28" i="28" s="1"/>
  <c r="J28" i="26" s="1"/>
  <c r="AX17" i="39"/>
  <c r="J26" i="27"/>
  <c r="J26" i="28" s="1"/>
  <c r="J26" i="26" s="1"/>
  <c r="J24" i="27"/>
  <c r="J24" i="28" s="1"/>
  <c r="J24" i="26" s="1"/>
  <c r="J27" i="27"/>
  <c r="J27" i="28" s="1"/>
  <c r="J27" i="26" s="1"/>
  <c r="V17" i="39"/>
  <c r="AL17" i="39"/>
  <c r="E17" i="1"/>
  <c r="V17" i="1" s="1"/>
  <c r="J17" i="27"/>
  <c r="J17" i="28" s="1"/>
  <c r="J17" i="26" s="1"/>
  <c r="J19" i="27"/>
  <c r="J19" i="28" s="1"/>
  <c r="J19" i="26" s="1"/>
  <c r="J21" i="27"/>
  <c r="J21" i="28" s="1"/>
  <c r="J21" i="26" s="1"/>
  <c r="J25" i="27"/>
  <c r="J25" i="28" s="1"/>
  <c r="J25" i="26" s="1"/>
  <c r="J13" i="27"/>
  <c r="J13" i="28" s="1"/>
  <c r="J13" i="24" s="1"/>
  <c r="J13" i="23" s="1"/>
  <c r="J13" i="21" s="1"/>
  <c r="J13" i="22" s="1"/>
  <c r="J13" i="20" s="1"/>
  <c r="J13" i="19" s="1"/>
  <c r="J13" i="18" s="1"/>
  <c r="J23" i="27"/>
  <c r="J23" i="28" s="1"/>
  <c r="J23" i="26" s="1"/>
  <c r="J12" i="26"/>
  <c r="J12" i="27"/>
  <c r="Q10" i="45"/>
  <c r="J16" i="30"/>
  <c r="J16" i="29" s="1"/>
  <c r="N10" i="45"/>
  <c r="J10" i="45"/>
  <c r="F11" i="45"/>
  <c r="X11" i="45" s="1"/>
  <c r="J15" i="30"/>
  <c r="J15" i="29" s="1"/>
  <c r="N11" i="45"/>
  <c r="T11" i="45"/>
  <c r="Q11" i="45"/>
  <c r="A11" i="1"/>
  <c r="A12" i="2" s="1"/>
  <c r="C16" i="45"/>
  <c r="R16" i="45" s="1"/>
  <c r="F13" i="45"/>
  <c r="X13" i="45" s="1"/>
  <c r="T13" i="45"/>
  <c r="J13" i="45"/>
  <c r="N13" i="45"/>
  <c r="Q13" i="45"/>
  <c r="T12" i="45"/>
  <c r="J12" i="45"/>
  <c r="N12" i="45"/>
  <c r="F12" i="45"/>
  <c r="X12" i="45" s="1"/>
  <c r="Q12" i="45"/>
  <c r="U38" i="45"/>
  <c r="O38" i="45"/>
  <c r="K38" i="45"/>
  <c r="R38" i="45"/>
  <c r="G38" i="45"/>
  <c r="I45" i="37"/>
  <c r="T27" i="45"/>
  <c r="N27" i="45"/>
  <c r="J27" i="45"/>
  <c r="F27" i="45"/>
  <c r="X27" i="45" s="1"/>
  <c r="Q27" i="45"/>
  <c r="G37" i="45"/>
  <c r="K37" i="45"/>
  <c r="U37" i="45"/>
  <c r="O37" i="45"/>
  <c r="R37" i="45"/>
  <c r="I48" i="37"/>
  <c r="J38" i="45"/>
  <c r="T38" i="45"/>
  <c r="F38" i="45"/>
  <c r="X38" i="45" s="1"/>
  <c r="Q38" i="45"/>
  <c r="N38" i="45"/>
  <c r="N30" i="45"/>
  <c r="J30" i="45"/>
  <c r="F30" i="45"/>
  <c r="X30" i="45" s="1"/>
  <c r="T30" i="45"/>
  <c r="Q30" i="45"/>
  <c r="R37" i="39"/>
  <c r="I37" i="39" s="1"/>
  <c r="J35" i="45"/>
  <c r="F35" i="45"/>
  <c r="X35" i="45" s="1"/>
  <c r="T35" i="45"/>
  <c r="N35" i="45"/>
  <c r="Q35" i="45"/>
  <c r="N17" i="45"/>
  <c r="T17" i="45"/>
  <c r="J17" i="45"/>
  <c r="Q17" i="45"/>
  <c r="F17" i="45"/>
  <c r="X17" i="45" s="1"/>
  <c r="J37" i="45"/>
  <c r="F37" i="45"/>
  <c r="X37" i="45" s="1"/>
  <c r="Q37" i="45"/>
  <c r="N37" i="45"/>
  <c r="T37" i="45"/>
  <c r="B40" i="45"/>
  <c r="D53" i="33"/>
  <c r="E46" i="32"/>
  <c r="E40" i="32"/>
  <c r="C35" i="32"/>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I45" i="9"/>
  <c r="R33" i="39"/>
  <c r="E33" i="1" s="1"/>
  <c r="L45" i="9"/>
  <c r="M18" i="37"/>
  <c r="M18" i="4" s="1"/>
  <c r="M18" i="43" s="1"/>
  <c r="I17" i="39"/>
  <c r="BD17" i="39"/>
  <c r="AU9" i="39"/>
  <c r="AU10" i="39" s="1"/>
  <c r="AU11" i="39" s="1"/>
  <c r="AU12" i="39" s="1"/>
  <c r="AU13" i="39" s="1"/>
  <c r="AU14" i="39" s="1"/>
  <c r="AU15" i="39" s="1"/>
  <c r="AU16" i="39" s="1"/>
  <c r="AV9" i="39"/>
  <c r="I40" i="6"/>
  <c r="J32" i="8"/>
  <c r="J32" i="7" s="1"/>
  <c r="J32" i="6" s="1"/>
  <c r="J32" i="43" s="1"/>
  <c r="GN39" i="1"/>
  <c r="GK39" i="1"/>
  <c r="GQ39" i="1"/>
  <c r="GW39" i="1"/>
  <c r="GT39" i="1"/>
  <c r="E40" i="2"/>
  <c r="GQ38" i="1"/>
  <c r="GT38" i="1"/>
  <c r="GK38" i="1"/>
  <c r="GW38" i="1"/>
  <c r="GN38" i="1"/>
  <c r="M23" i="11"/>
  <c r="M23" i="10" s="1"/>
  <c r="M23" i="9" s="1"/>
  <c r="M23" i="8" s="1"/>
  <c r="M23" i="7" s="1"/>
  <c r="M23" i="6" s="1"/>
  <c r="D35" i="17"/>
  <c r="R29" i="39"/>
  <c r="BJ29" i="39" s="1"/>
  <c r="I45" i="13"/>
  <c r="L45" i="13"/>
  <c r="R15" i="39"/>
  <c r="BJ15" i="39" s="1"/>
  <c r="I48" i="13"/>
  <c r="I48" i="28"/>
  <c r="E35" i="11"/>
  <c r="C35" i="12"/>
  <c r="D35" i="14"/>
  <c r="I48" i="30"/>
  <c r="R12" i="39"/>
  <c r="I45" i="30"/>
  <c r="L45" i="30"/>
  <c r="J44" i="33"/>
  <c r="C35" i="17"/>
  <c r="E35" i="17"/>
  <c r="E35" i="13"/>
  <c r="L45" i="28"/>
  <c r="C35" i="14"/>
  <c r="BN17" i="39"/>
  <c r="J17" i="39"/>
  <c r="I48" i="25"/>
  <c r="C35" i="16"/>
  <c r="C35" i="24"/>
  <c r="AR17" i="39"/>
  <c r="T17" i="39"/>
  <c r="D35" i="25"/>
  <c r="E35" i="14"/>
  <c r="E35" i="12"/>
  <c r="C35" i="9"/>
  <c r="L45" i="25"/>
  <c r="I45" i="25"/>
  <c r="C35" i="8"/>
  <c r="Q10" i="39"/>
  <c r="AQ10" i="39" s="1"/>
  <c r="D35" i="9"/>
  <c r="C35" i="43"/>
  <c r="I40" i="27"/>
  <c r="I45" i="27" s="1"/>
  <c r="D35" i="12"/>
  <c r="E35" i="37"/>
  <c r="C35" i="15"/>
  <c r="D35" i="26"/>
  <c r="C35" i="26"/>
  <c r="C35" i="7"/>
  <c r="I45" i="10"/>
  <c r="D35" i="13"/>
  <c r="R32" i="39"/>
  <c r="BJ32" i="39" s="1"/>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E35" i="25"/>
  <c r="E35" i="9"/>
  <c r="C35" i="30"/>
  <c r="I40" i="29"/>
  <c r="I48" i="29" s="1"/>
  <c r="E35" i="27"/>
  <c r="D35" i="37"/>
  <c r="D35" i="27"/>
  <c r="I45" i="19"/>
  <c r="E35" i="30"/>
  <c r="I45" i="17"/>
  <c r="M30" i="7"/>
  <c r="M30" i="6" s="1"/>
  <c r="M30" i="37" s="1"/>
  <c r="M30" i="4" s="1"/>
  <c r="M30" i="43" s="1"/>
  <c r="D35" i="29"/>
  <c r="M43" i="32"/>
  <c r="M44" i="32" s="1"/>
  <c r="JE38" i="1"/>
  <c r="IS38" i="1"/>
  <c r="IG38" i="1"/>
  <c r="HU38" i="1"/>
  <c r="HI38" i="1"/>
  <c r="FY38" i="1"/>
  <c r="FM38" i="1"/>
  <c r="FA38" i="1"/>
  <c r="EO38" i="1"/>
  <c r="EC38" i="1"/>
  <c r="DQ38" i="1"/>
  <c r="DE38" i="1"/>
  <c r="CS38" i="1"/>
  <c r="CG38" i="1"/>
  <c r="BU38" i="1"/>
  <c r="BI38" i="1"/>
  <c r="AW38" i="1"/>
  <c r="AK38" i="1"/>
  <c r="Y38" i="1"/>
  <c r="M38" i="1"/>
  <c r="JB38" i="1"/>
  <c r="IP38" i="1"/>
  <c r="ID38" i="1"/>
  <c r="HR38" i="1"/>
  <c r="HF38" i="1"/>
  <c r="GH38" i="1"/>
  <c r="FV38" i="1"/>
  <c r="FJ38" i="1"/>
  <c r="EX38" i="1"/>
  <c r="EL38" i="1"/>
  <c r="DZ38" i="1"/>
  <c r="DN38" i="1"/>
  <c r="DB38" i="1"/>
  <c r="CP38" i="1"/>
  <c r="CD38" i="1"/>
  <c r="BR38" i="1"/>
  <c r="BF38" i="1"/>
  <c r="AT38" i="1"/>
  <c r="AH38" i="1"/>
  <c r="V38" i="1"/>
  <c r="J38" i="1"/>
  <c r="JH38" i="1"/>
  <c r="IV38" i="1"/>
  <c r="IJ38" i="1"/>
  <c r="HX38" i="1"/>
  <c r="HL38" i="1"/>
  <c r="GZ38" i="1"/>
  <c r="GB38" i="1"/>
  <c r="FP38" i="1"/>
  <c r="FD38" i="1"/>
  <c r="ER38" i="1"/>
  <c r="EF38" i="1"/>
  <c r="DT38" i="1"/>
  <c r="DH38" i="1"/>
  <c r="CV38" i="1"/>
  <c r="CJ38" i="1"/>
  <c r="BX38" i="1"/>
  <c r="BL38" i="1"/>
  <c r="AZ38" i="1"/>
  <c r="AN38" i="1"/>
  <c r="AB38" i="1"/>
  <c r="P38" i="1"/>
  <c r="CY38" i="1"/>
  <c r="G38" i="1"/>
  <c r="IA38" i="1"/>
  <c r="EI38" i="1"/>
  <c r="AQ38" i="1"/>
  <c r="FS38" i="1"/>
  <c r="CA38" i="1"/>
  <c r="HC38" i="1"/>
  <c r="DK38" i="1"/>
  <c r="S38" i="1"/>
  <c r="IM38" i="1"/>
  <c r="EU38" i="1"/>
  <c r="BC38" i="1"/>
  <c r="HO38" i="1"/>
  <c r="DW38" i="1"/>
  <c r="AE38" i="1"/>
  <c r="IY38" i="1"/>
  <c r="GE38" i="1"/>
  <c r="BO38" i="1"/>
  <c r="CM38" i="1"/>
  <c r="FG38" i="1"/>
  <c r="C35" i="37"/>
  <c r="IY39" i="1"/>
  <c r="IM39" i="1"/>
  <c r="IA39" i="1"/>
  <c r="HO39" i="1"/>
  <c r="HC39" i="1"/>
  <c r="GE39" i="1"/>
  <c r="FS39" i="1"/>
  <c r="FG39" i="1"/>
  <c r="EU39" i="1"/>
  <c r="EI39" i="1"/>
  <c r="DW39" i="1"/>
  <c r="DK39" i="1"/>
  <c r="CY39" i="1"/>
  <c r="CM39" i="1"/>
  <c r="CA39" i="1"/>
  <c r="BO39" i="1"/>
  <c r="BC39" i="1"/>
  <c r="AQ39" i="1"/>
  <c r="AE39" i="1"/>
  <c r="S39" i="1"/>
  <c r="G39" i="1"/>
  <c r="JH39" i="1"/>
  <c r="IV39" i="1"/>
  <c r="IJ39" i="1"/>
  <c r="HX39" i="1"/>
  <c r="HL39" i="1"/>
  <c r="GZ39" i="1"/>
  <c r="GB39" i="1"/>
  <c r="FP39" i="1"/>
  <c r="FD39" i="1"/>
  <c r="ER39" i="1"/>
  <c r="EF39" i="1"/>
  <c r="DT39" i="1"/>
  <c r="DH39" i="1"/>
  <c r="CV39" i="1"/>
  <c r="CJ39" i="1"/>
  <c r="BX39" i="1"/>
  <c r="BL39" i="1"/>
  <c r="AZ39" i="1"/>
  <c r="AN39" i="1"/>
  <c r="AB39" i="1"/>
  <c r="P39" i="1"/>
  <c r="JB39" i="1"/>
  <c r="IP39" i="1"/>
  <c r="ID39" i="1"/>
  <c r="HR39" i="1"/>
  <c r="HF39" i="1"/>
  <c r="GH39" i="1"/>
  <c r="FV39" i="1"/>
  <c r="FJ39" i="1"/>
  <c r="EX39" i="1"/>
  <c r="EL39" i="1"/>
  <c r="DZ39" i="1"/>
  <c r="DN39" i="1"/>
  <c r="DB39" i="1"/>
  <c r="CP39" i="1"/>
  <c r="CD39" i="1"/>
  <c r="BR39" i="1"/>
  <c r="BF39" i="1"/>
  <c r="AT39" i="1"/>
  <c r="AH39" i="1"/>
  <c r="V39" i="1"/>
  <c r="J39" i="1"/>
  <c r="CS39" i="1"/>
  <c r="HU39" i="1"/>
  <c r="EC39" i="1"/>
  <c r="AK39" i="1"/>
  <c r="JE39" i="1"/>
  <c r="FM39" i="1"/>
  <c r="BU39" i="1"/>
  <c r="DE39" i="1"/>
  <c r="M39" i="1"/>
  <c r="IG39" i="1"/>
  <c r="EO39" i="1"/>
  <c r="AW39" i="1"/>
  <c r="HI39" i="1"/>
  <c r="DQ39" i="1"/>
  <c r="Y39" i="1"/>
  <c r="IS39" i="1"/>
  <c r="FY39" i="1"/>
  <c r="BI39" i="1"/>
  <c r="FA39" i="1"/>
  <c r="CG39" i="1"/>
  <c r="E35" i="43"/>
  <c r="E35" i="28"/>
  <c r="E35" i="8"/>
  <c r="D35" i="10"/>
  <c r="D35" i="8"/>
  <c r="D35" i="28"/>
  <c r="L45" i="14"/>
  <c r="R28" i="39"/>
  <c r="BJ28" i="39" s="1"/>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BJ30" i="39" s="1"/>
  <c r="I48" i="12"/>
  <c r="D35" i="16"/>
  <c r="E35" i="7"/>
  <c r="D35" i="7"/>
  <c r="D35" i="20"/>
  <c r="D35" i="32"/>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E39" i="2"/>
  <c r="D35" i="30"/>
  <c r="E35" i="20"/>
  <c r="C35" i="27"/>
  <c r="J38" i="30"/>
  <c r="J44" i="30" s="1"/>
  <c r="C35" i="23"/>
  <c r="C35" i="20"/>
  <c r="E35" i="16"/>
  <c r="C35" i="4"/>
  <c r="A12" i="1"/>
  <c r="A13" i="2" s="1"/>
  <c r="D40" i="31"/>
  <c r="D40" i="30" s="1"/>
  <c r="E40" i="30" s="1"/>
  <c r="C35" i="29"/>
  <c r="E35" i="29"/>
  <c r="C35" i="25"/>
  <c r="C35" i="18"/>
  <c r="E35" i="18"/>
  <c r="I45" i="18"/>
  <c r="L45" i="17"/>
  <c r="I48" i="17"/>
  <c r="J44" i="32"/>
  <c r="L45" i="7"/>
  <c r="I45" i="7"/>
  <c r="R35" i="39"/>
  <c r="BJ35" i="39" s="1"/>
  <c r="I48" i="7"/>
  <c r="R34" i="39"/>
  <c r="BJ34" i="39" s="1"/>
  <c r="I45" i="8"/>
  <c r="I48" i="8"/>
  <c r="L45" i="8"/>
  <c r="M47" i="33"/>
  <c r="F33" i="39"/>
  <c r="D35" i="11"/>
  <c r="C35" i="11"/>
  <c r="F31" i="39"/>
  <c r="AV28" i="39"/>
  <c r="I45" i="15"/>
  <c r="I48" i="15"/>
  <c r="L45" i="16"/>
  <c r="I48" i="16"/>
  <c r="BJ26" i="39"/>
  <c r="D35" i="18"/>
  <c r="M17" i="18"/>
  <c r="M17" i="17" s="1"/>
  <c r="M17" i="16" s="1"/>
  <c r="M17" i="15" s="1"/>
  <c r="M17" i="14" s="1"/>
  <c r="M17" i="13" s="1"/>
  <c r="M17" i="12" s="1"/>
  <c r="M17" i="11" s="1"/>
  <c r="M17" i="10" s="1"/>
  <c r="M17" i="9" s="1"/>
  <c r="M17" i="8" s="1"/>
  <c r="M17" i="7" s="1"/>
  <c r="M17" i="6" s="1"/>
  <c r="R24" i="39"/>
  <c r="BJ24" i="39" s="1"/>
  <c r="I48" i="18"/>
  <c r="R23" i="39"/>
  <c r="BJ23" i="39" s="1"/>
  <c r="I45" i="20"/>
  <c r="R22" i="39"/>
  <c r="BJ22" i="39" s="1"/>
  <c r="I48" i="20"/>
  <c r="AT41" i="39"/>
  <c r="C35" i="22"/>
  <c r="E35" i="22"/>
  <c r="D35" i="22"/>
  <c r="R21" i="39"/>
  <c r="BJ21" i="39" s="1"/>
  <c r="I45" i="22"/>
  <c r="I48" i="22"/>
  <c r="L45" i="21"/>
  <c r="I48" i="21"/>
  <c r="I45" i="21"/>
  <c r="R20" i="39"/>
  <c r="BJ20" i="39" s="1"/>
  <c r="C35" i="21"/>
  <c r="E35" i="21"/>
  <c r="D35" i="21"/>
  <c r="J46" i="32"/>
  <c r="J47" i="32" s="1"/>
  <c r="I45" i="23"/>
  <c r="R19" i="39"/>
  <c r="BJ19" i="39" s="1"/>
  <c r="I48" i="23"/>
  <c r="D35" i="23"/>
  <c r="E35" i="23"/>
  <c r="L45" i="24"/>
  <c r="I45" i="24"/>
  <c r="I48" i="24"/>
  <c r="R18" i="39"/>
  <c r="BJ18" i="39" s="1"/>
  <c r="R16" i="39"/>
  <c r="BJ16" i="39" s="1"/>
  <c r="I48" i="26"/>
  <c r="I45" i="26"/>
  <c r="L45" i="26"/>
  <c r="E35" i="31"/>
  <c r="E35" i="33"/>
  <c r="C35" i="33"/>
  <c r="D35" i="33"/>
  <c r="D47" i="31"/>
  <c r="E47" i="31" s="1"/>
  <c r="C35" i="31"/>
  <c r="D35" i="31"/>
  <c r="AP41" i="39"/>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M8" i="31"/>
  <c r="BX17" i="1" l="1"/>
  <c r="GE17" i="1"/>
  <c r="Z49" i="54"/>
  <c r="AA48" i="54" s="1"/>
  <c r="AB48" i="54" s="1"/>
  <c r="Z49" i="46"/>
  <c r="CJ17" i="1"/>
  <c r="GQ17" i="1"/>
  <c r="AW17" i="1"/>
  <c r="FP17" i="1"/>
  <c r="GT17" i="1"/>
  <c r="JN17" i="1"/>
  <c r="JK17" i="1"/>
  <c r="BI17" i="1"/>
  <c r="GB17" i="1"/>
  <c r="AH17" i="1"/>
  <c r="EO17" i="1"/>
  <c r="JH17" i="1"/>
  <c r="DN17" i="1"/>
  <c r="AA53" i="54"/>
  <c r="AB53" i="54" s="1"/>
  <c r="X53" i="54"/>
  <c r="FA17" i="1"/>
  <c r="G17" i="1"/>
  <c r="DZ17" i="1"/>
  <c r="IG17" i="1"/>
  <c r="CM17" i="1"/>
  <c r="HF17" i="1"/>
  <c r="IS17" i="1"/>
  <c r="CY17" i="1"/>
  <c r="HR17" i="1"/>
  <c r="AL37" i="39"/>
  <c r="ID33" i="1"/>
  <c r="JN33" i="1"/>
  <c r="JK33" i="1"/>
  <c r="J13" i="17"/>
  <c r="J13" i="16" s="1"/>
  <c r="J13" i="15" s="1"/>
  <c r="J13" i="14" s="1"/>
  <c r="J13" i="13" s="1"/>
  <c r="J13" i="12" s="1"/>
  <c r="J13" i="11" s="1"/>
  <c r="J13" i="10" s="1"/>
  <c r="J13" i="9" s="1"/>
  <c r="J13" i="8" s="1"/>
  <c r="J13" i="7" s="1"/>
  <c r="J13" i="6" s="1"/>
  <c r="J8" i="17"/>
  <c r="J8" i="16" s="1"/>
  <c r="J8" i="15" s="1"/>
  <c r="J8" i="14" s="1"/>
  <c r="J8" i="13" s="1"/>
  <c r="J8" i="12" s="1"/>
  <c r="J8" i="11" s="1"/>
  <c r="J8" i="10" s="1"/>
  <c r="J8" i="9" s="1"/>
  <c r="J8" i="8" s="1"/>
  <c r="J8" i="7" s="1"/>
  <c r="J8" i="6" s="1"/>
  <c r="J8" i="37" s="1"/>
  <c r="J8" i="4" s="1"/>
  <c r="J8" i="43" s="1"/>
  <c r="V27" i="39"/>
  <c r="T27" i="39"/>
  <c r="AL27" i="39"/>
  <c r="AL26" i="39"/>
  <c r="T26" i="39"/>
  <c r="V26" i="39"/>
  <c r="V25" i="39"/>
  <c r="AL25" i="39"/>
  <c r="T25" i="39"/>
  <c r="AI27" i="39"/>
  <c r="O16" i="45"/>
  <c r="K16" i="45"/>
  <c r="J18" i="25"/>
  <c r="J18" i="24" s="1"/>
  <c r="J18" i="23" s="1"/>
  <c r="J18" i="21" s="1"/>
  <c r="J18" i="22" s="1"/>
  <c r="J18" i="20" s="1"/>
  <c r="J18" i="19" s="1"/>
  <c r="J18" i="18" s="1"/>
  <c r="G16" i="45"/>
  <c r="J25" i="25"/>
  <c r="J25" i="24" s="1"/>
  <c r="J25" i="23" s="1"/>
  <c r="J25" i="21" s="1"/>
  <c r="J25" i="22" s="1"/>
  <c r="J25" i="20" s="1"/>
  <c r="J25" i="19" s="1"/>
  <c r="J25" i="18" s="1"/>
  <c r="J24" i="25"/>
  <c r="J24" i="24" s="1"/>
  <c r="J24" i="23" s="1"/>
  <c r="J24" i="21" s="1"/>
  <c r="J24" i="22" s="1"/>
  <c r="J24" i="20" s="1"/>
  <c r="J24" i="19" s="1"/>
  <c r="J24" i="18" s="1"/>
  <c r="J30" i="25"/>
  <c r="J30" i="24" s="1"/>
  <c r="J30" i="23" s="1"/>
  <c r="J30" i="21" s="1"/>
  <c r="J30" i="22" s="1"/>
  <c r="J30" i="20" s="1"/>
  <c r="J30" i="19" s="1"/>
  <c r="J30" i="18" s="1"/>
  <c r="AA48" i="46"/>
  <c r="AB48" i="46" s="1"/>
  <c r="J21" i="25"/>
  <c r="J21" i="24" s="1"/>
  <c r="J21" i="23" s="1"/>
  <c r="J21" i="21" s="1"/>
  <c r="J21" i="22" s="1"/>
  <c r="J21" i="20" s="1"/>
  <c r="J21" i="19" s="1"/>
  <c r="J21" i="18" s="1"/>
  <c r="J21" i="17" s="1"/>
  <c r="J26" i="25"/>
  <c r="J26" i="24" s="1"/>
  <c r="J26" i="23" s="1"/>
  <c r="J26" i="21" s="1"/>
  <c r="J26" i="22" s="1"/>
  <c r="J26" i="20" s="1"/>
  <c r="J26" i="19" s="1"/>
  <c r="J26" i="18" s="1"/>
  <c r="J27" i="25"/>
  <c r="J27" i="24" s="1"/>
  <c r="J27" i="23" s="1"/>
  <c r="J27" i="21" s="1"/>
  <c r="J27" i="22" s="1"/>
  <c r="J27" i="20" s="1"/>
  <c r="J27" i="19" s="1"/>
  <c r="J27" i="18" s="1"/>
  <c r="U16" i="45"/>
  <c r="J19" i="25"/>
  <c r="J19" i="24" s="1"/>
  <c r="J19" i="23" s="1"/>
  <c r="J19" i="21" s="1"/>
  <c r="J19" i="22" s="1"/>
  <c r="J19" i="20" s="1"/>
  <c r="J19" i="19" s="1"/>
  <c r="J19" i="18" s="1"/>
  <c r="J29" i="25"/>
  <c r="J29" i="24" s="1"/>
  <c r="J29" i="23" s="1"/>
  <c r="J29" i="21" s="1"/>
  <c r="J29" i="22" s="1"/>
  <c r="J29" i="20" s="1"/>
  <c r="J29" i="19" s="1"/>
  <c r="J29" i="18" s="1"/>
  <c r="AR29" i="39"/>
  <c r="J17" i="25"/>
  <c r="J17" i="24" s="1"/>
  <c r="J17" i="23" s="1"/>
  <c r="J17" i="21" s="1"/>
  <c r="J17" i="22" s="1"/>
  <c r="J17" i="20" s="1"/>
  <c r="J17" i="19" s="1"/>
  <c r="J17" i="18" s="1"/>
  <c r="J17" i="16" s="1"/>
  <c r="J17" i="15" s="1"/>
  <c r="J17" i="14" s="1"/>
  <c r="J17" i="13" s="1"/>
  <c r="J17" i="12" s="1"/>
  <c r="J17" i="11" s="1"/>
  <c r="J17" i="10" s="1"/>
  <c r="J17" i="9" s="1"/>
  <c r="J17" i="8" s="1"/>
  <c r="J17" i="7" s="1"/>
  <c r="J17" i="6" s="1"/>
  <c r="J17" i="37" s="1"/>
  <c r="J28" i="25"/>
  <c r="J28" i="24" s="1"/>
  <c r="J28" i="23" s="1"/>
  <c r="J28" i="21" s="1"/>
  <c r="J28" i="22" s="1"/>
  <c r="J28" i="20" s="1"/>
  <c r="J28" i="19" s="1"/>
  <c r="J28" i="18" s="1"/>
  <c r="J22" i="25"/>
  <c r="J22" i="24" s="1"/>
  <c r="J22" i="23" s="1"/>
  <c r="J22" i="21" s="1"/>
  <c r="J22" i="22" s="1"/>
  <c r="J22" i="20" s="1"/>
  <c r="J22" i="19" s="1"/>
  <c r="J22" i="18" s="1"/>
  <c r="J22" i="17" s="1"/>
  <c r="AA53" i="46"/>
  <c r="AB53" i="46" s="1"/>
  <c r="X53" i="46"/>
  <c r="J12" i="25"/>
  <c r="J12" i="24" s="1"/>
  <c r="J12" i="23" s="1"/>
  <c r="J12" i="21" s="1"/>
  <c r="J12" i="22" s="1"/>
  <c r="J12" i="20" s="1"/>
  <c r="J12" i="19" s="1"/>
  <c r="J12" i="18" s="1"/>
  <c r="J20" i="25"/>
  <c r="J20" i="24" s="1"/>
  <c r="J20" i="23" s="1"/>
  <c r="J20" i="21" s="1"/>
  <c r="J20" i="22" s="1"/>
  <c r="J20" i="20" s="1"/>
  <c r="J20" i="19" s="1"/>
  <c r="J20" i="18" s="1"/>
  <c r="J20" i="17" s="1"/>
  <c r="J23" i="25"/>
  <c r="J23" i="24" s="1"/>
  <c r="J23" i="23" s="1"/>
  <c r="J23" i="21" s="1"/>
  <c r="J23" i="22" s="1"/>
  <c r="J23" i="20" s="1"/>
  <c r="J23" i="19" s="1"/>
  <c r="J23" i="18" s="1"/>
  <c r="J23" i="17" s="1"/>
  <c r="J31" i="25"/>
  <c r="J31" i="24" s="1"/>
  <c r="J31" i="23" s="1"/>
  <c r="J31" i="21" s="1"/>
  <c r="J31" i="22" s="1"/>
  <c r="J31" i="20" s="1"/>
  <c r="J31" i="19" s="1"/>
  <c r="J31" i="18" s="1"/>
  <c r="BU17" i="1"/>
  <c r="FM17" i="1"/>
  <c r="JE17" i="1"/>
  <c r="CV17" i="1"/>
  <c r="GN17" i="1"/>
  <c r="S17" i="1"/>
  <c r="DK17" i="1"/>
  <c r="HC17" i="1"/>
  <c r="AT17" i="1"/>
  <c r="EL17" i="1"/>
  <c r="ID17" i="1"/>
  <c r="E18" i="2"/>
  <c r="EW18" i="2" s="1"/>
  <c r="CG17" i="1"/>
  <c r="FY17" i="1"/>
  <c r="P17" i="1"/>
  <c r="DH17" i="1"/>
  <c r="GZ17" i="1"/>
  <c r="AE17" i="1"/>
  <c r="DW17" i="1"/>
  <c r="HO17" i="1"/>
  <c r="BF17" i="1"/>
  <c r="EX17" i="1"/>
  <c r="IP17" i="1"/>
  <c r="CS17" i="1"/>
  <c r="GK17" i="1"/>
  <c r="AB17" i="1"/>
  <c r="DT17" i="1"/>
  <c r="HL17" i="1"/>
  <c r="AQ17" i="1"/>
  <c r="EI17" i="1"/>
  <c r="IA17" i="1"/>
  <c r="BR17" i="1"/>
  <c r="FJ17" i="1"/>
  <c r="JB17" i="1"/>
  <c r="M17" i="1"/>
  <c r="DE17" i="1"/>
  <c r="GW17" i="1"/>
  <c r="AN17" i="1"/>
  <c r="EF17" i="1"/>
  <c r="HX17" i="1"/>
  <c r="BC17" i="1"/>
  <c r="EU17" i="1"/>
  <c r="IM17" i="1"/>
  <c r="CD17" i="1"/>
  <c r="FV17" i="1"/>
  <c r="Y17" i="1"/>
  <c r="DQ17" i="1"/>
  <c r="HI17" i="1"/>
  <c r="AZ17" i="1"/>
  <c r="ER17" i="1"/>
  <c r="IJ17" i="1"/>
  <c r="BO17" i="1"/>
  <c r="FG17" i="1"/>
  <c r="IY17" i="1"/>
  <c r="CP17" i="1"/>
  <c r="GH17" i="1"/>
  <c r="AK17" i="1"/>
  <c r="EC17" i="1"/>
  <c r="HU17" i="1"/>
  <c r="BL17" i="1"/>
  <c r="FD17" i="1"/>
  <c r="IV17" i="1"/>
  <c r="CA17" i="1"/>
  <c r="FS17" i="1"/>
  <c r="J17" i="1"/>
  <c r="DB17" i="1"/>
  <c r="J15" i="27"/>
  <c r="J15" i="28" s="1"/>
  <c r="J15" i="26" s="1"/>
  <c r="J15" i="24" s="1"/>
  <c r="J15" i="23" s="1"/>
  <c r="J15" i="21" s="1"/>
  <c r="J15" i="22" s="1"/>
  <c r="J15" i="20" s="1"/>
  <c r="J15" i="19" s="1"/>
  <c r="J15" i="18" s="1"/>
  <c r="J16" i="27"/>
  <c r="J16" i="28" s="1"/>
  <c r="J16" i="26" s="1"/>
  <c r="J16" i="24" s="1"/>
  <c r="J16" i="23" s="1"/>
  <c r="J16" i="21" s="1"/>
  <c r="J16" i="22" s="1"/>
  <c r="J16" i="19" s="1"/>
  <c r="J16" i="18" s="1"/>
  <c r="I33" i="39"/>
  <c r="V33" i="39"/>
  <c r="AX33" i="39"/>
  <c r="BD33" i="39"/>
  <c r="T33" i="39"/>
  <c r="BN33" i="39"/>
  <c r="BN37" i="39"/>
  <c r="AX37" i="39"/>
  <c r="V37" i="39"/>
  <c r="AR37" i="39"/>
  <c r="E37" i="1"/>
  <c r="J37" i="39"/>
  <c r="BH41" i="39"/>
  <c r="BJ12" i="39"/>
  <c r="BJ33" i="39"/>
  <c r="BJ37" i="39"/>
  <c r="C22" i="45"/>
  <c r="O22" i="45" s="1"/>
  <c r="C28" i="45"/>
  <c r="U28" i="45" s="1"/>
  <c r="C17" i="45"/>
  <c r="O17" i="45" s="1"/>
  <c r="C34" i="45"/>
  <c r="R34" i="45" s="1"/>
  <c r="C33" i="45"/>
  <c r="U33" i="45" s="1"/>
  <c r="C24" i="45"/>
  <c r="U24" i="45" s="1"/>
  <c r="C23" i="45"/>
  <c r="O23" i="45" s="1"/>
  <c r="C29" i="45"/>
  <c r="O29" i="45" s="1"/>
  <c r="C27" i="45"/>
  <c r="U27" i="45" s="1"/>
  <c r="C21" i="45"/>
  <c r="K21" i="45" s="1"/>
  <c r="C26" i="45"/>
  <c r="G26" i="45" s="1"/>
  <c r="C18" i="45"/>
  <c r="R18" i="45" s="1"/>
  <c r="C15" i="45"/>
  <c r="U15" i="45" s="1"/>
  <c r="C19" i="45"/>
  <c r="G19" i="45" s="1"/>
  <c r="C20" i="45"/>
  <c r="G20" i="45" s="1"/>
  <c r="C25" i="45"/>
  <c r="O25" i="45" s="1"/>
  <c r="C14" i="45"/>
  <c r="O14" i="45" s="1"/>
  <c r="C31" i="45"/>
  <c r="K31" i="45" s="1"/>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S33" i="1"/>
  <c r="BD37" i="39"/>
  <c r="C36" i="45"/>
  <c r="K23" i="45"/>
  <c r="T40" i="45"/>
  <c r="F40" i="45"/>
  <c r="X40" i="45" s="1"/>
  <c r="J40" i="45"/>
  <c r="N40" i="45"/>
  <c r="Q40" i="45"/>
  <c r="E12" i="1"/>
  <c r="C11" i="45"/>
  <c r="AR33" i="39"/>
  <c r="C32" i="45"/>
  <c r="T37" i="39"/>
  <c r="J33" i="39"/>
  <c r="AL33" i="39"/>
  <c r="K34" i="32"/>
  <c r="I40" i="32" s="1"/>
  <c r="T29" i="39"/>
  <c r="IM33" i="1"/>
  <c r="AT33" i="1"/>
  <c r="AQ33" i="1"/>
  <c r="V29" i="39"/>
  <c r="AL29" i="39"/>
  <c r="I29" i="39"/>
  <c r="JB33" i="1"/>
  <c r="AX29" i="39"/>
  <c r="BD29" i="39"/>
  <c r="J29" i="39"/>
  <c r="E29" i="1"/>
  <c r="HX33" i="1"/>
  <c r="P33" i="1"/>
  <c r="M23" i="37"/>
  <c r="M23" i="4" s="1"/>
  <c r="M23" i="43" s="1"/>
  <c r="M17" i="37"/>
  <c r="M17" i="4" s="1"/>
  <c r="M17" i="43" s="1"/>
  <c r="BX33" i="1"/>
  <c r="AW33" i="1"/>
  <c r="BC33" i="1"/>
  <c r="BR33" i="1"/>
  <c r="FA33" i="1"/>
  <c r="FD33" i="1"/>
  <c r="DK33" i="1"/>
  <c r="CD33" i="1"/>
  <c r="E34" i="2"/>
  <c r="EY34" i="2" s="1"/>
  <c r="JH33" i="1"/>
  <c r="IG33" i="1"/>
  <c r="EI33" i="1"/>
  <c r="EL33" i="1"/>
  <c r="AN33" i="1"/>
  <c r="CV33" i="1"/>
  <c r="EU33" i="1"/>
  <c r="FJ33" i="1"/>
  <c r="CJ33" i="1"/>
  <c r="ER33" i="1"/>
  <c r="HC33" i="1"/>
  <c r="FV33" i="1"/>
  <c r="DQ33" i="1"/>
  <c r="FY33" i="1"/>
  <c r="IA33" i="1"/>
  <c r="I32" i="39"/>
  <c r="V32" i="39"/>
  <c r="BN29" i="39"/>
  <c r="BN28" i="39"/>
  <c r="J25" i="39"/>
  <c r="E15" i="1"/>
  <c r="BN12" i="39"/>
  <c r="AW9" i="39"/>
  <c r="L45" i="6"/>
  <c r="R36" i="39"/>
  <c r="BJ36" i="39" s="1"/>
  <c r="I48" i="6"/>
  <c r="I45" i="6"/>
  <c r="AX32" i="39"/>
  <c r="I15" i="39"/>
  <c r="EY40" i="2"/>
  <c r="EW40" i="2"/>
  <c r="J32" i="39"/>
  <c r="T15" i="39"/>
  <c r="AL32" i="39"/>
  <c r="BD15" i="39"/>
  <c r="AX15" i="39"/>
  <c r="BD32" i="39"/>
  <c r="BN15" i="39"/>
  <c r="AR15" i="39"/>
  <c r="T32" i="39"/>
  <c r="E32" i="1"/>
  <c r="V15" i="39"/>
  <c r="AL15" i="39"/>
  <c r="AR32" i="39"/>
  <c r="J15" i="39"/>
  <c r="HR33" i="1"/>
  <c r="GN33" i="1"/>
  <c r="GZ33" i="1"/>
  <c r="GQ33" i="1"/>
  <c r="GT33" i="1"/>
  <c r="GW33" i="1"/>
  <c r="GK33" i="1"/>
  <c r="V12" i="39"/>
  <c r="BD12" i="39"/>
  <c r="AK10" i="39"/>
  <c r="AR12" i="39"/>
  <c r="AX12" i="39"/>
  <c r="T12" i="39"/>
  <c r="Q11" i="39"/>
  <c r="AQ11" i="39" s="1"/>
  <c r="J12" i="39"/>
  <c r="K34" i="11"/>
  <c r="I12" i="39"/>
  <c r="AL12" i="39"/>
  <c r="BN32" i="39"/>
  <c r="BN30" i="39"/>
  <c r="L45" i="29"/>
  <c r="J14" i="18"/>
  <c r="J14" i="17" s="1"/>
  <c r="J56" i="24"/>
  <c r="J59" i="24" s="1"/>
  <c r="BD25" i="39"/>
  <c r="HL33" i="1"/>
  <c r="BU33" i="1"/>
  <c r="JE33" i="1"/>
  <c r="EC33" i="1"/>
  <c r="AE33" i="1"/>
  <c r="DW33" i="1"/>
  <c r="HO33" i="1"/>
  <c r="BF33" i="1"/>
  <c r="EX33" i="1"/>
  <c r="IP33" i="1"/>
  <c r="AR25" i="39"/>
  <c r="E25" i="1"/>
  <c r="M33" i="1"/>
  <c r="BI33" i="1"/>
  <c r="EF33" i="1"/>
  <c r="BL33" i="1"/>
  <c r="IV33" i="1"/>
  <c r="BO33" i="1"/>
  <c r="FG33" i="1"/>
  <c r="IY33" i="1"/>
  <c r="CP33" i="1"/>
  <c r="GH33" i="1"/>
  <c r="AX25" i="39"/>
  <c r="DE33" i="1"/>
  <c r="DT33" i="1"/>
  <c r="FM33" i="1"/>
  <c r="CS33" i="1"/>
  <c r="AK33" i="1"/>
  <c r="HU33" i="1"/>
  <c r="CA33" i="1"/>
  <c r="FS33" i="1"/>
  <c r="J33" i="1"/>
  <c r="DB33" i="1"/>
  <c r="I25" i="39"/>
  <c r="FP33" i="1"/>
  <c r="IS33" i="1"/>
  <c r="GB33" i="1"/>
  <c r="DH33" i="1"/>
  <c r="AZ33" i="1"/>
  <c r="IJ33" i="1"/>
  <c r="CM33" i="1"/>
  <c r="GE33" i="1"/>
  <c r="V33" i="1"/>
  <c r="DN33" i="1"/>
  <c r="HF33" i="1"/>
  <c r="BN25" i="39"/>
  <c r="AB33" i="1"/>
  <c r="Y33" i="1"/>
  <c r="HI33" i="1"/>
  <c r="EO33" i="1"/>
  <c r="G33" i="1"/>
  <c r="CY33" i="1"/>
  <c r="AH33" i="1"/>
  <c r="DZ33" i="1"/>
  <c r="I48" i="27"/>
  <c r="R14" i="39"/>
  <c r="BJ14" i="39" s="1"/>
  <c r="L45" i="27"/>
  <c r="AX28" i="39"/>
  <c r="R13" i="39"/>
  <c r="BJ13" i="39" s="1"/>
  <c r="I45" i="29"/>
  <c r="J38" i="29"/>
  <c r="J38" i="27" s="1"/>
  <c r="BN26" i="39"/>
  <c r="BN35" i="39"/>
  <c r="BN24" i="39"/>
  <c r="BN16" i="39"/>
  <c r="BN21" i="39"/>
  <c r="D40" i="29"/>
  <c r="D40" i="27" s="1"/>
  <c r="D40" i="28" s="1"/>
  <c r="BN22" i="39"/>
  <c r="W164" i="54"/>
  <c r="BN34" i="39"/>
  <c r="BN27" i="39"/>
  <c r="BN20" i="39"/>
  <c r="BN18" i="39"/>
  <c r="BN19" i="39"/>
  <c r="BN23" i="39"/>
  <c r="M47" i="31"/>
  <c r="T28" i="39"/>
  <c r="J28" i="39"/>
  <c r="AL28" i="39"/>
  <c r="I28" i="39"/>
  <c r="AR28" i="39"/>
  <c r="V28" i="39"/>
  <c r="BD28" i="39"/>
  <c r="E28" i="1"/>
  <c r="D53" i="32"/>
  <c r="BD30" i="39"/>
  <c r="V30" i="39"/>
  <c r="I30" i="39"/>
  <c r="AX30" i="39"/>
  <c r="T30" i="39"/>
  <c r="AL30" i="39"/>
  <c r="J30" i="39"/>
  <c r="AR30" i="39"/>
  <c r="E30" i="1"/>
  <c r="M47" i="30"/>
  <c r="M7" i="32"/>
  <c r="M34" i="33"/>
  <c r="J40" i="33" s="1"/>
  <c r="I40" i="33"/>
  <c r="R9" i="39" s="1"/>
  <c r="BJ9" i="39" s="1"/>
  <c r="E40" i="31"/>
  <c r="EY39" i="2"/>
  <c r="EW39" i="2"/>
  <c r="A13" i="1"/>
  <c r="A14" i="2" s="1"/>
  <c r="D46" i="30"/>
  <c r="D46" i="29" s="1"/>
  <c r="E46" i="29" s="1"/>
  <c r="E48" i="31"/>
  <c r="E42" i="31"/>
  <c r="AR35" i="39"/>
  <c r="T35" i="39"/>
  <c r="V35" i="39"/>
  <c r="BD35" i="39"/>
  <c r="I35" i="39"/>
  <c r="AL35" i="39"/>
  <c r="J35" i="39"/>
  <c r="AX35" i="39"/>
  <c r="E35" i="1"/>
  <c r="AR34" i="39"/>
  <c r="T34" i="39"/>
  <c r="V34" i="39"/>
  <c r="I34" i="39"/>
  <c r="BD34" i="39"/>
  <c r="J34" i="39"/>
  <c r="E34" i="1"/>
  <c r="AL34" i="39"/>
  <c r="AX34" i="39"/>
  <c r="J46" i="31"/>
  <c r="J47" i="31" s="1"/>
  <c r="BD27" i="39"/>
  <c r="E27" i="1"/>
  <c r="I27" i="39"/>
  <c r="J27" i="39"/>
  <c r="AX27" i="39"/>
  <c r="AR27" i="39"/>
  <c r="E26" i="1"/>
  <c r="I26" i="39"/>
  <c r="J26" i="39"/>
  <c r="BD26" i="39"/>
  <c r="AR26" i="39"/>
  <c r="AX26" i="39"/>
  <c r="J24" i="39"/>
  <c r="AR24" i="39"/>
  <c r="BD24" i="39"/>
  <c r="I24" i="39"/>
  <c r="V24" i="39"/>
  <c r="AX24" i="39"/>
  <c r="T24" i="39"/>
  <c r="E24" i="1"/>
  <c r="AL24" i="39"/>
  <c r="E23" i="1"/>
  <c r="AR23" i="39"/>
  <c r="AL23" i="39"/>
  <c r="V23" i="39"/>
  <c r="I23" i="39"/>
  <c r="AX23" i="39"/>
  <c r="J23" i="39"/>
  <c r="BD23" i="39"/>
  <c r="T23" i="39"/>
  <c r="AV41" i="39"/>
  <c r="J22" i="39"/>
  <c r="V22" i="39"/>
  <c r="BD22" i="39"/>
  <c r="AX22" i="39"/>
  <c r="E22" i="1"/>
  <c r="AL22" i="39"/>
  <c r="T22" i="39"/>
  <c r="I22" i="39"/>
  <c r="AR22" i="39"/>
  <c r="BD21" i="39"/>
  <c r="T21" i="39"/>
  <c r="V21" i="39"/>
  <c r="AX21" i="39"/>
  <c r="E21" i="1"/>
  <c r="I21" i="39"/>
  <c r="AR21" i="39"/>
  <c r="AL21" i="39"/>
  <c r="J21" i="39"/>
  <c r="BD20" i="39"/>
  <c r="AR20" i="39"/>
  <c r="T20" i="39"/>
  <c r="V20" i="39"/>
  <c r="E20" i="1"/>
  <c r="AX20" i="39"/>
  <c r="J20" i="39"/>
  <c r="AL20" i="39"/>
  <c r="I20" i="39"/>
  <c r="AR19" i="39"/>
  <c r="J19" i="39"/>
  <c r="E19" i="1"/>
  <c r="BD19" i="39"/>
  <c r="AL19" i="39"/>
  <c r="I19" i="39"/>
  <c r="V19" i="39"/>
  <c r="T19" i="39"/>
  <c r="AX19" i="39"/>
  <c r="BD18" i="39"/>
  <c r="AL18" i="39"/>
  <c r="E18" i="1"/>
  <c r="AX18" i="39"/>
  <c r="T18" i="39"/>
  <c r="V18" i="39"/>
  <c r="I18" i="39"/>
  <c r="J18" i="39"/>
  <c r="AR18" i="39"/>
  <c r="E16" i="1"/>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EY18" i="2" l="1"/>
  <c r="R29" i="45"/>
  <c r="HI29" i="1"/>
  <c r="JN29" i="1"/>
  <c r="JK29" i="1"/>
  <c r="JK28" i="1"/>
  <c r="JN28" i="1"/>
  <c r="JK26" i="1"/>
  <c r="JN26" i="1"/>
  <c r="FS25" i="1"/>
  <c r="JN25" i="1"/>
  <c r="JK25" i="1"/>
  <c r="JK18" i="1"/>
  <c r="JN18" i="1"/>
  <c r="JK20" i="1"/>
  <c r="JN20" i="1"/>
  <c r="JN23" i="1"/>
  <c r="JK23" i="1"/>
  <c r="JN16" i="1"/>
  <c r="JK16" i="1"/>
  <c r="JK19" i="1"/>
  <c r="JN19" i="1"/>
  <c r="JN21" i="1"/>
  <c r="JK21" i="1"/>
  <c r="HX12" i="1"/>
  <c r="JK12" i="1"/>
  <c r="JN12" i="1"/>
  <c r="JK22" i="1"/>
  <c r="JN22" i="1"/>
  <c r="JN24" i="1"/>
  <c r="JK24" i="1"/>
  <c r="R20" i="45"/>
  <c r="Y15" i="1"/>
  <c r="JK15" i="1"/>
  <c r="JN15" i="1"/>
  <c r="JK27" i="1"/>
  <c r="JN27" i="1"/>
  <c r="JN30" i="1"/>
  <c r="JK30" i="1"/>
  <c r="FD37" i="1"/>
  <c r="JN37" i="1"/>
  <c r="JK37" i="1"/>
  <c r="JK35" i="1"/>
  <c r="JN35" i="1"/>
  <c r="JK34" i="1"/>
  <c r="JN34" i="1"/>
  <c r="GN32" i="1"/>
  <c r="JN32" i="1"/>
  <c r="JK32" i="1"/>
  <c r="HL29" i="1"/>
  <c r="JH29" i="1"/>
  <c r="J28" i="17"/>
  <c r="J28" i="16" s="1"/>
  <c r="J28" i="15" s="1"/>
  <c r="J28" i="14" s="1"/>
  <c r="J28" i="13" s="1"/>
  <c r="J28" i="12" s="1"/>
  <c r="J28" i="11" s="1"/>
  <c r="J28" i="10" s="1"/>
  <c r="J28" i="9" s="1"/>
  <c r="J28" i="8" s="1"/>
  <c r="J28" i="7" s="1"/>
  <c r="J28" i="6" s="1"/>
  <c r="J28" i="37" s="1"/>
  <c r="J28" i="4" s="1"/>
  <c r="J28" i="43" s="1"/>
  <c r="J26" i="17"/>
  <c r="J26" i="16" s="1"/>
  <c r="J26" i="15" s="1"/>
  <c r="J26" i="14" s="1"/>
  <c r="J26" i="13" s="1"/>
  <c r="J26" i="12" s="1"/>
  <c r="J26" i="11" s="1"/>
  <c r="J26" i="10" s="1"/>
  <c r="J26" i="9" s="1"/>
  <c r="J26" i="8" s="1"/>
  <c r="J26" i="7" s="1"/>
  <c r="J26" i="6" s="1"/>
  <c r="J26" i="37" s="1"/>
  <c r="J26" i="4" s="1"/>
  <c r="J26" i="43" s="1"/>
  <c r="DT29" i="1"/>
  <c r="FJ29" i="1"/>
  <c r="J12" i="17"/>
  <c r="J12" i="16" s="1"/>
  <c r="J12" i="15" s="1"/>
  <c r="J12" i="14" s="1"/>
  <c r="J12" i="13" s="1"/>
  <c r="J12" i="12" s="1"/>
  <c r="J12" i="11" s="1"/>
  <c r="J12" i="10" s="1"/>
  <c r="J12" i="9" s="1"/>
  <c r="J12" i="8" s="1"/>
  <c r="J12" i="7" s="1"/>
  <c r="J12" i="6" s="1"/>
  <c r="J12" i="37" s="1"/>
  <c r="J12" i="4" s="1"/>
  <c r="J12" i="43" s="1"/>
  <c r="J30" i="17"/>
  <c r="J30" i="16" s="1"/>
  <c r="J30" i="15" s="1"/>
  <c r="J30" i="14" s="1"/>
  <c r="J30" i="13" s="1"/>
  <c r="J30" i="12" s="1"/>
  <c r="J30" i="11" s="1"/>
  <c r="J30" i="10" s="1"/>
  <c r="J30" i="9" s="1"/>
  <c r="J30" i="8" s="1"/>
  <c r="J30" i="7" s="1"/>
  <c r="J30" i="6" s="1"/>
  <c r="J30" i="37" s="1"/>
  <c r="J30" i="4" s="1"/>
  <c r="J30" i="43" s="1"/>
  <c r="J31" i="17"/>
  <c r="J31" i="16" s="1"/>
  <c r="J31" i="15" s="1"/>
  <c r="J31" i="14" s="1"/>
  <c r="J31" i="13" s="1"/>
  <c r="J31" i="12" s="1"/>
  <c r="J31" i="11" s="1"/>
  <c r="J31" i="10" s="1"/>
  <c r="J31" i="9" s="1"/>
  <c r="J31" i="8" s="1"/>
  <c r="J31" i="7" s="1"/>
  <c r="J31" i="6" s="1"/>
  <c r="J31" i="37" s="1"/>
  <c r="J31" i="4" s="1"/>
  <c r="J31" i="43" s="1"/>
  <c r="J16" i="17"/>
  <c r="J16" i="16" s="1"/>
  <c r="J16" i="15" s="1"/>
  <c r="J16" i="14" s="1"/>
  <c r="J16" i="13" s="1"/>
  <c r="J16" i="12" s="1"/>
  <c r="J16" i="11" s="1"/>
  <c r="J16" i="10" s="1"/>
  <c r="J16" i="9" s="1"/>
  <c r="J16" i="8" s="1"/>
  <c r="J16" i="7" s="1"/>
  <c r="J16" i="6" s="1"/>
  <c r="J16" i="37" s="1"/>
  <c r="J29" i="17"/>
  <c r="J29" i="16" s="1"/>
  <c r="J29" i="15" s="1"/>
  <c r="J29" i="14" s="1"/>
  <c r="J29" i="13" s="1"/>
  <c r="J29" i="12" s="1"/>
  <c r="J29" i="11" s="1"/>
  <c r="J29" i="10" s="1"/>
  <c r="J29" i="9" s="1"/>
  <c r="J29" i="8" s="1"/>
  <c r="J29" i="7" s="1"/>
  <c r="J29" i="6" s="1"/>
  <c r="J29" i="37" s="1"/>
  <c r="J29" i="4" s="1"/>
  <c r="J29" i="43" s="1"/>
  <c r="J24" i="17"/>
  <c r="J24" i="16" s="1"/>
  <c r="J24" i="15" s="1"/>
  <c r="J24" i="14" s="1"/>
  <c r="J24" i="13" s="1"/>
  <c r="J24" i="12" s="1"/>
  <c r="J24" i="11" s="1"/>
  <c r="J24" i="10" s="1"/>
  <c r="J24" i="9" s="1"/>
  <c r="J24" i="8" s="1"/>
  <c r="J24" i="7" s="1"/>
  <c r="J24" i="6" s="1"/>
  <c r="J24" i="37" s="1"/>
  <c r="J24" i="4" s="1"/>
  <c r="J24" i="43" s="1"/>
  <c r="J15" i="16"/>
  <c r="J15" i="15" s="1"/>
  <c r="J15" i="14" s="1"/>
  <c r="J15" i="13" s="1"/>
  <c r="J15" i="12" s="1"/>
  <c r="J15" i="11" s="1"/>
  <c r="J15" i="10" s="1"/>
  <c r="J15" i="9" s="1"/>
  <c r="J15" i="8" s="1"/>
  <c r="J15" i="7" s="1"/>
  <c r="J15" i="6" s="1"/>
  <c r="J15" i="37" s="1"/>
  <c r="J15" i="17"/>
  <c r="J19" i="17"/>
  <c r="J19" i="16" s="1"/>
  <c r="J19" i="15" s="1"/>
  <c r="J19" i="14" s="1"/>
  <c r="J25" i="17"/>
  <c r="J25" i="16" s="1"/>
  <c r="J25" i="15" s="1"/>
  <c r="J25" i="14" s="1"/>
  <c r="J25" i="13" s="1"/>
  <c r="J25" i="12" s="1"/>
  <c r="J25" i="11" s="1"/>
  <c r="J25" i="10" s="1"/>
  <c r="J25" i="9" s="1"/>
  <c r="J25" i="8" s="1"/>
  <c r="J25" i="7" s="1"/>
  <c r="J25" i="6" s="1"/>
  <c r="J25" i="37" s="1"/>
  <c r="J25" i="4" s="1"/>
  <c r="J25" i="43" s="1"/>
  <c r="J27" i="17"/>
  <c r="J27" i="16" s="1"/>
  <c r="J27" i="15" s="1"/>
  <c r="J27" i="14" s="1"/>
  <c r="J27" i="13" s="1"/>
  <c r="J27" i="12" s="1"/>
  <c r="J27" i="11" s="1"/>
  <c r="J27" i="10" s="1"/>
  <c r="J27" i="9" s="1"/>
  <c r="J27" i="8" s="1"/>
  <c r="J27" i="7" s="1"/>
  <c r="J27" i="6" s="1"/>
  <c r="J27" i="37" s="1"/>
  <c r="J18" i="17"/>
  <c r="J18" i="16" s="1"/>
  <c r="J18" i="15" s="1"/>
  <c r="J18" i="13" s="1"/>
  <c r="J18" i="12" s="1"/>
  <c r="J18" i="11" s="1"/>
  <c r="J18" i="10" s="1"/>
  <c r="J18" i="9" s="1"/>
  <c r="J18" i="8" s="1"/>
  <c r="J18" i="7" s="1"/>
  <c r="J18" i="6" s="1"/>
  <c r="J18" i="37" s="1"/>
  <c r="U14" i="45"/>
  <c r="AI28" i="39"/>
  <c r="AI29" i="39" s="1"/>
  <c r="AI30" i="39" s="1"/>
  <c r="AI31" i="39" s="1"/>
  <c r="AI32" i="39" s="1"/>
  <c r="AI33" i="39" s="1"/>
  <c r="AI34" i="39" s="1"/>
  <c r="AI35" i="39" s="1"/>
  <c r="AI36" i="39" s="1"/>
  <c r="AI37" i="39" s="1"/>
  <c r="AI38" i="39" s="1"/>
  <c r="AI39" i="39" s="1"/>
  <c r="S25" i="1"/>
  <c r="HI25" i="1"/>
  <c r="BU29" i="1"/>
  <c r="FM29" i="1"/>
  <c r="S29" i="1"/>
  <c r="DK29" i="1"/>
  <c r="IA29" i="1"/>
  <c r="IV29" i="1"/>
  <c r="BR29" i="1"/>
  <c r="AH37" i="1"/>
  <c r="K20" i="45"/>
  <c r="G23" i="45"/>
  <c r="G21" i="45"/>
  <c r="AW37" i="1"/>
  <c r="G29" i="45"/>
  <c r="U20" i="45"/>
  <c r="R23" i="45"/>
  <c r="EU37" i="1"/>
  <c r="M37" i="1"/>
  <c r="DZ37" i="1"/>
  <c r="IS37" i="1"/>
  <c r="ER37" i="1"/>
  <c r="U29" i="45"/>
  <c r="DQ37" i="1"/>
  <c r="K17" i="45"/>
  <c r="R17" i="45"/>
  <c r="IV32" i="1"/>
  <c r="AT37" i="1"/>
  <c r="U17" i="45"/>
  <c r="U25" i="45"/>
  <c r="M44" i="31"/>
  <c r="R27" i="45"/>
  <c r="K14" i="45"/>
  <c r="G22" i="45"/>
  <c r="K27" i="45"/>
  <c r="R22" i="45"/>
  <c r="K22" i="45"/>
  <c r="U22" i="45"/>
  <c r="K29" i="45"/>
  <c r="O20" i="45"/>
  <c r="BC37" i="1"/>
  <c r="JB37" i="1"/>
  <c r="Y37" i="1"/>
  <c r="IP37" i="1"/>
  <c r="CJ37" i="1"/>
  <c r="HC37" i="1"/>
  <c r="FA37" i="1"/>
  <c r="EO37" i="1"/>
  <c r="CM37" i="1"/>
  <c r="JE37" i="1"/>
  <c r="HU37" i="1"/>
  <c r="FJ37" i="1"/>
  <c r="GB37" i="1"/>
  <c r="EX37" i="1"/>
  <c r="EF37" i="1"/>
  <c r="DK37" i="1"/>
  <c r="BI37" i="1"/>
  <c r="GN37" i="1"/>
  <c r="IY37" i="1"/>
  <c r="FG37" i="1"/>
  <c r="CV37" i="1"/>
  <c r="DH37" i="1"/>
  <c r="EC37" i="1"/>
  <c r="BR37" i="1"/>
  <c r="HX37" i="1"/>
  <c r="BF37" i="1"/>
  <c r="S37" i="1"/>
  <c r="IJ37" i="1"/>
  <c r="GQ37" i="1"/>
  <c r="IG37" i="1"/>
  <c r="CG37" i="1"/>
  <c r="E38" i="2"/>
  <c r="EY38" i="2" s="1"/>
  <c r="BO37" i="1"/>
  <c r="AK37" i="1"/>
  <c r="IA37" i="1"/>
  <c r="HO37" i="1"/>
  <c r="CS37" i="1"/>
  <c r="DB37" i="1"/>
  <c r="IV37" i="1"/>
  <c r="GW37" i="1"/>
  <c r="DT37" i="1"/>
  <c r="R14" i="45"/>
  <c r="AZ37" i="1"/>
  <c r="EI37" i="1"/>
  <c r="DW37" i="1"/>
  <c r="GZ37" i="1"/>
  <c r="J37" i="1"/>
  <c r="FP37" i="1"/>
  <c r="GK37" i="1"/>
  <c r="HF37" i="1"/>
  <c r="V37" i="1"/>
  <c r="GH37" i="1"/>
  <c r="O27" i="45"/>
  <c r="G14" i="45"/>
  <c r="CD37" i="1"/>
  <c r="BL37" i="1"/>
  <c r="AQ37" i="1"/>
  <c r="AE37" i="1"/>
  <c r="ID37" i="1"/>
  <c r="HL37" i="1"/>
  <c r="FS37" i="1"/>
  <c r="GT37" i="1"/>
  <c r="GE37" i="1"/>
  <c r="CP37" i="1"/>
  <c r="BU37" i="1"/>
  <c r="G37" i="1"/>
  <c r="G25" i="45"/>
  <c r="G28" i="45"/>
  <c r="IM37" i="1"/>
  <c r="BX37" i="1"/>
  <c r="HI37" i="1"/>
  <c r="DE37" i="1"/>
  <c r="EL37" i="1"/>
  <c r="AN37" i="1"/>
  <c r="CA37" i="1"/>
  <c r="FV37" i="1"/>
  <c r="FY37" i="1"/>
  <c r="CY37" i="1"/>
  <c r="AB37" i="1"/>
  <c r="K28" i="45"/>
  <c r="G27" i="45"/>
  <c r="V12" i="1"/>
  <c r="GK12" i="1"/>
  <c r="M12" i="1"/>
  <c r="FM12" i="1"/>
  <c r="CM12" i="1"/>
  <c r="IS12" i="1"/>
  <c r="EC12" i="1"/>
  <c r="ER12" i="1"/>
  <c r="IJ12" i="1"/>
  <c r="AQ12" i="1"/>
  <c r="CD12" i="1"/>
  <c r="K26" i="45"/>
  <c r="G31" i="45"/>
  <c r="O31" i="45"/>
  <c r="K24" i="45"/>
  <c r="R19" i="45"/>
  <c r="K34" i="45"/>
  <c r="U19" i="45"/>
  <c r="R24" i="45"/>
  <c r="K19" i="45"/>
  <c r="R21" i="45"/>
  <c r="O24" i="45"/>
  <c r="O18" i="45"/>
  <c r="U26" i="45"/>
  <c r="O19" i="45"/>
  <c r="O21" i="45"/>
  <c r="G24" i="45"/>
  <c r="G17" i="45"/>
  <c r="R26" i="45"/>
  <c r="M44" i="30"/>
  <c r="ER29" i="1"/>
  <c r="P29" i="1"/>
  <c r="CJ29" i="1"/>
  <c r="CG29" i="1"/>
  <c r="FY29" i="1"/>
  <c r="AE29" i="1"/>
  <c r="DW29" i="1"/>
  <c r="IM29" i="1"/>
  <c r="CD29" i="1"/>
  <c r="FV29" i="1"/>
  <c r="HF29" i="1"/>
  <c r="K15" i="45"/>
  <c r="BX29" i="1"/>
  <c r="DH29" i="1"/>
  <c r="GB29" i="1"/>
  <c r="CS29" i="1"/>
  <c r="GK29" i="1"/>
  <c r="AQ29" i="1"/>
  <c r="EI29" i="1"/>
  <c r="IY29" i="1"/>
  <c r="CP29" i="1"/>
  <c r="GH29" i="1"/>
  <c r="HC29" i="1"/>
  <c r="U34" i="45"/>
  <c r="BL29" i="1"/>
  <c r="AN29" i="1"/>
  <c r="M29" i="1"/>
  <c r="DE29" i="1"/>
  <c r="HU29" i="1"/>
  <c r="BC29" i="1"/>
  <c r="EU29" i="1"/>
  <c r="J29" i="1"/>
  <c r="DB29" i="1"/>
  <c r="HR29" i="1"/>
  <c r="GQ29" i="1"/>
  <c r="R33" i="45"/>
  <c r="HR37" i="1"/>
  <c r="DN37" i="1"/>
  <c r="FM37" i="1"/>
  <c r="JH37" i="1"/>
  <c r="AK11" i="39"/>
  <c r="FP29" i="1"/>
  <c r="EF29" i="1"/>
  <c r="Y29" i="1"/>
  <c r="DQ29" i="1"/>
  <c r="IG29" i="1"/>
  <c r="BO29" i="1"/>
  <c r="FG29" i="1"/>
  <c r="V29" i="1"/>
  <c r="DN29" i="1"/>
  <c r="ID29" i="1"/>
  <c r="G33" i="45"/>
  <c r="R31" i="45"/>
  <c r="R28" i="45"/>
  <c r="U21" i="45"/>
  <c r="O15" i="45"/>
  <c r="E30" i="2"/>
  <c r="EW30" i="2" s="1"/>
  <c r="IJ29" i="1"/>
  <c r="HX29" i="1"/>
  <c r="AK29" i="1"/>
  <c r="EC29" i="1"/>
  <c r="IS29" i="1"/>
  <c r="CA29" i="1"/>
  <c r="FS29" i="1"/>
  <c r="AH29" i="1"/>
  <c r="DZ29" i="1"/>
  <c r="IP29" i="1"/>
  <c r="K33" i="45"/>
  <c r="G15" i="45"/>
  <c r="AZ29" i="1"/>
  <c r="CV29" i="1"/>
  <c r="AW29" i="1"/>
  <c r="EO29" i="1"/>
  <c r="JE29" i="1"/>
  <c r="CM29" i="1"/>
  <c r="GE29" i="1"/>
  <c r="AT29" i="1"/>
  <c r="EL29" i="1"/>
  <c r="JB29" i="1"/>
  <c r="GN29" i="1"/>
  <c r="O33" i="45"/>
  <c r="G18" i="45"/>
  <c r="U31" i="45"/>
  <c r="R15" i="45"/>
  <c r="O28" i="45"/>
  <c r="FD29" i="1"/>
  <c r="AB29" i="1"/>
  <c r="BI29" i="1"/>
  <c r="FA29" i="1"/>
  <c r="G29" i="1"/>
  <c r="CY29" i="1"/>
  <c r="HO29" i="1"/>
  <c r="BF29" i="1"/>
  <c r="EX29" i="1"/>
  <c r="GW29" i="1"/>
  <c r="K18" i="45"/>
  <c r="O34" i="45"/>
  <c r="U23" i="45"/>
  <c r="GZ29" i="1"/>
  <c r="U18" i="45"/>
  <c r="O26" i="45"/>
  <c r="R25" i="45"/>
  <c r="DN12" i="1"/>
  <c r="FS12" i="1"/>
  <c r="BC12" i="1"/>
  <c r="DE12" i="1"/>
  <c r="AH12" i="1"/>
  <c r="IA12" i="1"/>
  <c r="Y12" i="1"/>
  <c r="HC12" i="1"/>
  <c r="JE12" i="1"/>
  <c r="FD12" i="1"/>
  <c r="IV12" i="1"/>
  <c r="C12" i="45"/>
  <c r="K12" i="45" s="1"/>
  <c r="EO12" i="1"/>
  <c r="GT12" i="1"/>
  <c r="BO12" i="1"/>
  <c r="AT12" i="1"/>
  <c r="CG12" i="1"/>
  <c r="AK12" i="1"/>
  <c r="ID12" i="1"/>
  <c r="BX12" i="1"/>
  <c r="FP12" i="1"/>
  <c r="JH12" i="1"/>
  <c r="EU12" i="1"/>
  <c r="EW34" i="2"/>
  <c r="P12" i="1"/>
  <c r="GE12" i="1"/>
  <c r="HU12" i="1"/>
  <c r="CP12" i="1"/>
  <c r="FV12" i="1"/>
  <c r="BF12" i="1"/>
  <c r="DW12" i="1"/>
  <c r="AW12" i="1"/>
  <c r="CY12" i="1"/>
  <c r="CJ12" i="1"/>
  <c r="GB12" i="1"/>
  <c r="GT29" i="1"/>
  <c r="K25" i="45"/>
  <c r="G34" i="45"/>
  <c r="C8" i="45"/>
  <c r="K8" i="45" s="1"/>
  <c r="AB12" i="1"/>
  <c r="HF12" i="1"/>
  <c r="IY12" i="1"/>
  <c r="DQ12" i="1"/>
  <c r="GW12" i="1"/>
  <c r="BR12" i="1"/>
  <c r="EX12" i="1"/>
  <c r="BI12" i="1"/>
  <c r="DZ12" i="1"/>
  <c r="CV12" i="1"/>
  <c r="GN12" i="1"/>
  <c r="C13" i="45"/>
  <c r="U13" i="45" s="1"/>
  <c r="AN12" i="1"/>
  <c r="IG12" i="1"/>
  <c r="G12" i="1"/>
  <c r="FG12" i="1"/>
  <c r="IM12" i="1"/>
  <c r="CS12" i="1"/>
  <c r="FY12" i="1"/>
  <c r="BU12" i="1"/>
  <c r="FA12" i="1"/>
  <c r="DH12" i="1"/>
  <c r="GZ12" i="1"/>
  <c r="C35" i="45"/>
  <c r="O35" i="45" s="1"/>
  <c r="E13" i="2"/>
  <c r="AZ12" i="1"/>
  <c r="CA12" i="1"/>
  <c r="S12" i="1"/>
  <c r="GH12" i="1"/>
  <c r="JB12" i="1"/>
  <c r="EI12" i="1"/>
  <c r="HO12" i="1"/>
  <c r="DK12" i="1"/>
  <c r="GQ12" i="1"/>
  <c r="DT12" i="1"/>
  <c r="HL12" i="1"/>
  <c r="BL12" i="1"/>
  <c r="DB12" i="1"/>
  <c r="AE12" i="1"/>
  <c r="HI12" i="1"/>
  <c r="J12" i="1"/>
  <c r="FJ12" i="1"/>
  <c r="IP12" i="1"/>
  <c r="EL12" i="1"/>
  <c r="HR12" i="1"/>
  <c r="EF12" i="1"/>
  <c r="U32" i="45"/>
  <c r="O32" i="45"/>
  <c r="K32" i="45"/>
  <c r="G32" i="45"/>
  <c r="R32" i="45"/>
  <c r="U36" i="45"/>
  <c r="O36" i="45"/>
  <c r="K36" i="45"/>
  <c r="R36" i="45"/>
  <c r="G36" i="45"/>
  <c r="U11" i="45"/>
  <c r="G11" i="45"/>
  <c r="K11" i="45"/>
  <c r="O11" i="45"/>
  <c r="R11" i="45"/>
  <c r="R10" i="39"/>
  <c r="BJ10" i="39" s="1"/>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AQ12" i="39" s="1"/>
  <c r="AB32" i="1"/>
  <c r="J15" i="1"/>
  <c r="EF15" i="1"/>
  <c r="HL15" i="1"/>
  <c r="DT32" i="1"/>
  <c r="IP15" i="1"/>
  <c r="AN15" i="1"/>
  <c r="DT15" i="1"/>
  <c r="M15" i="1"/>
  <c r="CS32" i="1"/>
  <c r="BI32" i="1"/>
  <c r="EO32" i="1"/>
  <c r="CD32" i="1"/>
  <c r="FV32" i="1"/>
  <c r="AN32" i="1"/>
  <c r="EF32" i="1"/>
  <c r="JH32" i="1"/>
  <c r="CM32" i="1"/>
  <c r="GE32" i="1"/>
  <c r="GW32" i="1"/>
  <c r="E33" i="2"/>
  <c r="EW33" i="2" s="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6"/>
  <c r="J14" i="15" s="1"/>
  <c r="J14" i="14" s="1"/>
  <c r="J14" i="13" s="1"/>
  <c r="J14" i="12" s="1"/>
  <c r="J14" i="11" s="1"/>
  <c r="J14" i="10" s="1"/>
  <c r="J14" i="9" s="1"/>
  <c r="J14" i="8" s="1"/>
  <c r="J14" i="7" s="1"/>
  <c r="J14" i="6" s="1"/>
  <c r="J14" i="37"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13" i="37"/>
  <c r="J13" i="4" s="1"/>
  <c r="J13" i="43" s="1"/>
  <c r="GK15" i="1"/>
  <c r="S15" i="1"/>
  <c r="GB15" i="1"/>
  <c r="CJ15" i="1"/>
  <c r="DB15" i="1"/>
  <c r="HI15" i="1"/>
  <c r="CD15" i="1"/>
  <c r="DQ15" i="1"/>
  <c r="BF15" i="1"/>
  <c r="HC15" i="1"/>
  <c r="FJ15" i="1"/>
  <c r="DK15" i="1"/>
  <c r="I9" i="39"/>
  <c r="V9" i="39"/>
  <c r="BN9" i="39"/>
  <c r="AR9" i="39"/>
  <c r="T9" i="39"/>
  <c r="J9" i="39"/>
  <c r="S9" i="39"/>
  <c r="AL9" i="39"/>
  <c r="BD9" i="39"/>
  <c r="AX9" i="39"/>
  <c r="V36" i="39"/>
  <c r="E36" i="1"/>
  <c r="J36" i="39"/>
  <c r="AX36" i="39"/>
  <c r="I36" i="39"/>
  <c r="AL36" i="39"/>
  <c r="T36" i="39"/>
  <c r="BD36" i="39"/>
  <c r="AR36" i="39"/>
  <c r="BN36" i="39"/>
  <c r="G25" i="1"/>
  <c r="GH25" i="1"/>
  <c r="EL25" i="1"/>
  <c r="GZ25" i="1"/>
  <c r="EF25" i="1"/>
  <c r="GN35" i="1"/>
  <c r="GW35" i="1"/>
  <c r="GQ35" i="1"/>
  <c r="GT35" i="1"/>
  <c r="GK35" i="1"/>
  <c r="DT25" i="1"/>
  <c r="IP25" i="1"/>
  <c r="FV25" i="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5" s="1"/>
  <c r="J22" i="14" s="1"/>
  <c r="J22" i="13" s="1"/>
  <c r="J22" i="12" s="1"/>
  <c r="J22" i="11" s="1"/>
  <c r="J22" i="10" s="1"/>
  <c r="J22" i="9" s="1"/>
  <c r="J22" i="8" s="1"/>
  <c r="J22" i="7" s="1"/>
  <c r="J22" i="6" s="1"/>
  <c r="J22" i="37" s="1"/>
  <c r="J23" i="16"/>
  <c r="J23" i="15" s="1"/>
  <c r="J23" i="14" s="1"/>
  <c r="J23" i="13" s="1"/>
  <c r="J23" i="12" s="1"/>
  <c r="J23" i="11" s="1"/>
  <c r="J23" i="10" s="1"/>
  <c r="J23" i="9" s="1"/>
  <c r="J23" i="8" s="1"/>
  <c r="J23" i="7" s="1"/>
  <c r="J23" i="6" s="1"/>
  <c r="J23" i="37" s="1"/>
  <c r="BD14" i="39"/>
  <c r="AR14" i="39"/>
  <c r="AX14" i="39"/>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J13" i="39"/>
  <c r="V13" i="39"/>
  <c r="E13" i="1"/>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69" i="54"/>
  <c r="X164" i="54"/>
  <c r="O41" i="52" s="1"/>
  <c r="P41" i="52" s="1"/>
  <c r="Q41" i="52" s="1"/>
  <c r="X167"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W27" i="2" s="1"/>
  <c r="E28" i="2"/>
  <c r="EY28" i="2" s="1"/>
  <c r="E35" i="2"/>
  <c r="EW35" i="2" s="1"/>
  <c r="E24" i="2"/>
  <c r="EY24" i="2" s="1"/>
  <c r="E17" i="2"/>
  <c r="EW17" i="2" s="1"/>
  <c r="E22" i="2"/>
  <c r="EW22" i="2" s="1"/>
  <c r="E19" i="2"/>
  <c r="E20" i="2"/>
  <c r="EY20" i="2" s="1"/>
  <c r="E23" i="2"/>
  <c r="EY23" i="2" s="1"/>
  <c r="E25" i="2"/>
  <c r="EY25" i="2" s="1"/>
  <c r="I45" i="33"/>
  <c r="L45" i="33"/>
  <c r="I48" i="33"/>
  <c r="I51" i="33"/>
  <c r="J45" i="33"/>
  <c r="J40" i="32"/>
  <c r="M45" i="33"/>
  <c r="M48" i="33"/>
  <c r="J48" i="33"/>
  <c r="K57" i="33"/>
  <c r="K56" i="33"/>
  <c r="J51" i="33"/>
  <c r="J41" i="33"/>
  <c r="W164"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A14" i="1"/>
  <c r="A15" i="2" s="1"/>
  <c r="EY13" i="2"/>
  <c r="EW13" i="2"/>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Q13" i="39"/>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JN13" i="1" l="1"/>
  <c r="JK13" i="1"/>
  <c r="HI14" i="1"/>
  <c r="JN14" i="1"/>
  <c r="JK14" i="1"/>
  <c r="JK36" i="1"/>
  <c r="JN36" i="1"/>
  <c r="AK12" i="39"/>
  <c r="R12" i="45"/>
  <c r="O12" i="45"/>
  <c r="EW38" i="2"/>
  <c r="G12" i="45"/>
  <c r="U12" i="45"/>
  <c r="EY30" i="2"/>
  <c r="G13" i="45"/>
  <c r="O13" i="45"/>
  <c r="U35" i="45"/>
  <c r="R35" i="45"/>
  <c r="G35" i="45"/>
  <c r="K35" i="45"/>
  <c r="BK9" i="39"/>
  <c r="R13" i="45"/>
  <c r="R8" i="45"/>
  <c r="C9" i="45"/>
  <c r="K9" i="45" s="1"/>
  <c r="U8" i="45"/>
  <c r="O8" i="45"/>
  <c r="G8" i="45"/>
  <c r="K13" i="45"/>
  <c r="EY33" i="2"/>
  <c r="I10" i="39"/>
  <c r="AX10" i="39"/>
  <c r="AR10" i="39"/>
  <c r="BD10" i="39"/>
  <c r="T10" i="39"/>
  <c r="AL10" i="39"/>
  <c r="BN10" i="39"/>
  <c r="E10" i="1"/>
  <c r="EW16" i="2"/>
  <c r="EY16" i="2"/>
  <c r="J27" i="4"/>
  <c r="J27" i="43" s="1"/>
  <c r="J15" i="4"/>
  <c r="J15" i="43" s="1"/>
  <c r="J17" i="4"/>
  <c r="J17" i="43" s="1"/>
  <c r="W9" i="39"/>
  <c r="AS9" i="39"/>
  <c r="BO9" i="39"/>
  <c r="U9" i="39"/>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2"/>
  <c r="J19" i="11" s="1"/>
  <c r="J19" i="10" s="1"/>
  <c r="J19" i="9" s="1"/>
  <c r="J19" i="8" s="1"/>
  <c r="J19" i="7" s="1"/>
  <c r="J19" i="6" s="1"/>
  <c r="J19" i="37" s="1"/>
  <c r="J59" i="23"/>
  <c r="I45" i="11"/>
  <c r="L45" i="11"/>
  <c r="R31" i="39"/>
  <c r="BJ31" i="39" s="1"/>
  <c r="I48" i="11"/>
  <c r="J21" i="16"/>
  <c r="J21" i="15" s="1"/>
  <c r="J21" i="14" s="1"/>
  <c r="J21" i="13" s="1"/>
  <c r="J21" i="12" s="1"/>
  <c r="J21" i="11" s="1"/>
  <c r="J21" i="10" s="1"/>
  <c r="J21" i="9" s="1"/>
  <c r="J21" i="8" s="1"/>
  <c r="J21" i="7" s="1"/>
  <c r="J21" i="6" s="1"/>
  <c r="J21" i="37" s="1"/>
  <c r="EY17" i="2"/>
  <c r="BL14" i="1"/>
  <c r="EO14" i="1"/>
  <c r="IV14" i="1"/>
  <c r="IG14" i="1"/>
  <c r="GN14" i="1"/>
  <c r="CY14" i="1"/>
  <c r="V14" i="1"/>
  <c r="DN14" i="1"/>
  <c r="HF14" i="1"/>
  <c r="J56" i="22"/>
  <c r="J59" i="2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AB13" i="1"/>
  <c r="AN13" i="1"/>
  <c r="CA13" i="1"/>
  <c r="JH13" i="1"/>
  <c r="EY27" i="2"/>
  <c r="EW28" i="2"/>
  <c r="EW23" i="2"/>
  <c r="EW20" i="2"/>
  <c r="EW25" i="2"/>
  <c r="M34" i="31"/>
  <c r="EY21" i="2"/>
  <c r="EY22" i="2"/>
  <c r="EY29" i="2"/>
  <c r="EW29" i="2"/>
  <c r="EW36" i="2"/>
  <c r="A15" i="1"/>
  <c r="A16" i="2" s="1"/>
  <c r="EW24" i="2"/>
  <c r="EY31" i="2"/>
  <c r="EW31" i="2"/>
  <c r="M34" i="30"/>
  <c r="X169" i="46"/>
  <c r="K56" i="32"/>
  <c r="M48" i="32"/>
  <c r="K57" i="32"/>
  <c r="J45" i="32"/>
  <c r="M45" i="32"/>
  <c r="J41" i="32"/>
  <c r="J48" i="32"/>
  <c r="E9" i="1"/>
  <c r="E46" i="27"/>
  <c r="J47" i="29"/>
  <c r="J47" i="27"/>
  <c r="J47" i="30"/>
  <c r="L45" i="31"/>
  <c r="I45" i="31"/>
  <c r="R11" i="39"/>
  <c r="BJ11" i="39" s="1"/>
  <c r="I48" i="31"/>
  <c r="J40" i="31"/>
  <c r="D47" i="27"/>
  <c r="D47" i="28" s="1"/>
  <c r="D47" i="26" s="1"/>
  <c r="D44" i="27"/>
  <c r="E44" i="27" s="1"/>
  <c r="D42" i="25"/>
  <c r="D42" i="24" s="1"/>
  <c r="AQ13" i="39"/>
  <c r="Q14" i="39"/>
  <c r="AK13" i="39"/>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JK10" i="1" l="1"/>
  <c r="JN10" i="1"/>
  <c r="IS9" i="1"/>
  <c r="GH9" i="1"/>
  <c r="GB9" i="1"/>
  <c r="JN9" i="1"/>
  <c r="JK9" i="1"/>
  <c r="G9" i="45"/>
  <c r="O9" i="45"/>
  <c r="U9" i="45"/>
  <c r="R9" i="45"/>
  <c r="C30" i="45"/>
  <c r="U30" i="45" s="1"/>
  <c r="C10" i="45"/>
  <c r="K30" i="45"/>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8" i="4"/>
  <c r="J18" i="43" s="1"/>
  <c r="J22" i="4"/>
  <c r="J22" i="43" s="1"/>
  <c r="J16" i="4"/>
  <c r="J16" i="43" s="1"/>
  <c r="J14" i="4"/>
  <c r="J14" i="43" s="1"/>
  <c r="EY37" i="2"/>
  <c r="EW37" i="2"/>
  <c r="AX31" i="39"/>
  <c r="AR31" i="39"/>
  <c r="BN31" i="39"/>
  <c r="T31" i="39"/>
  <c r="E31" i="1"/>
  <c r="J31" i="39"/>
  <c r="V31" i="39"/>
  <c r="BD31" i="39"/>
  <c r="AL31" i="39"/>
  <c r="I31" i="39"/>
  <c r="J20" i="16"/>
  <c r="J56" i="20"/>
  <c r="J59" i="22"/>
  <c r="EW14" i="2"/>
  <c r="EY14" i="2"/>
  <c r="BN11" i="39"/>
  <c r="JH9" i="1"/>
  <c r="IV9" i="1"/>
  <c r="HX9" i="1"/>
  <c r="HL9" i="1"/>
  <c r="GZ9" i="1"/>
  <c r="GN9" i="1"/>
  <c r="FP9" i="1"/>
  <c r="FD9" i="1"/>
  <c r="ER9" i="1"/>
  <c r="EF9" i="1"/>
  <c r="DT9" i="1"/>
  <c r="DH9" i="1"/>
  <c r="CV9" i="1"/>
  <c r="CJ9" i="1"/>
  <c r="BX9" i="1"/>
  <c r="BL9" i="1"/>
  <c r="AZ9" i="1"/>
  <c r="AN9" i="1"/>
  <c r="AB9" i="1"/>
  <c r="JE9" i="1"/>
  <c r="IG9" i="1"/>
  <c r="HU9" i="1"/>
  <c r="HI9" i="1"/>
  <c r="GW9" i="1"/>
  <c r="GK9" i="1"/>
  <c r="FY9" i="1"/>
  <c r="FM9" i="1"/>
  <c r="FA9" i="1"/>
  <c r="EO9" i="1"/>
  <c r="EC9" i="1"/>
  <c r="DQ9" i="1"/>
  <c r="DE9" i="1"/>
  <c r="CS9" i="1"/>
  <c r="CG9" i="1"/>
  <c r="BU9" i="1"/>
  <c r="BI9" i="1"/>
  <c r="AW9" i="1"/>
  <c r="AK9" i="1"/>
  <c r="Y9" i="1"/>
  <c r="M9" i="1"/>
  <c r="JB9" i="1"/>
  <c r="IP9" i="1"/>
  <c r="ID9" i="1"/>
  <c r="HR9" i="1"/>
  <c r="HF9" i="1"/>
  <c r="GT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K57" i="31"/>
  <c r="M45" i="31"/>
  <c r="J45" i="31"/>
  <c r="K56" i="31"/>
  <c r="M48" i="31"/>
  <c r="J48" i="31"/>
  <c r="J40" i="30"/>
  <c r="J41" i="31"/>
  <c r="E11" i="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C40" i="45" l="1"/>
  <c r="JK11" i="1"/>
  <c r="JN11" i="1"/>
  <c r="JK31" i="1"/>
  <c r="JN31" i="1"/>
  <c r="O30" i="45"/>
  <c r="R30" i="45"/>
  <c r="G30" i="45"/>
  <c r="G10" i="45"/>
  <c r="R10" i="45"/>
  <c r="BK10" i="39"/>
  <c r="K10" i="45"/>
  <c r="O40" i="45"/>
  <c r="R40" i="45"/>
  <c r="K40" i="45"/>
  <c r="G40" i="45"/>
  <c r="U40" i="45"/>
  <c r="O10" i="45"/>
  <c r="U10" i="45"/>
  <c r="EW11" i="2"/>
  <c r="EY11" i="2"/>
  <c r="J20" i="15"/>
  <c r="J20" i="14" s="1"/>
  <c r="J20" i="12" s="1"/>
  <c r="J20" i="11" s="1"/>
  <c r="J20" i="10" s="1"/>
  <c r="J20" i="9" s="1"/>
  <c r="J20" i="8" s="1"/>
  <c r="J20" i="7" s="1"/>
  <c r="J20" i="6" s="1"/>
  <c r="J20" i="37" s="1"/>
  <c r="J23" i="4"/>
  <c r="J23" i="43" s="1"/>
  <c r="J19" i="4"/>
  <c r="J1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S11" i="39"/>
  <c r="F10" i="2"/>
  <c r="EZ10" i="2" s="1"/>
  <c r="EY10" i="2"/>
  <c r="EW10" i="2"/>
  <c r="J40" i="29"/>
  <c r="M45" i="30"/>
  <c r="M48" i="30"/>
  <c r="K57" i="30"/>
  <c r="J45" i="30"/>
  <c r="K56" i="30"/>
  <c r="J41" i="30"/>
  <c r="J48" i="30"/>
  <c r="AX41" i="39"/>
  <c r="AR41" i="39"/>
  <c r="AL41" i="39"/>
  <c r="BD41" i="39"/>
  <c r="I41" i="39"/>
  <c r="T41" i="39"/>
  <c r="Z41" i="39"/>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BK11" i="39" l="1"/>
  <c r="BJ41" i="39"/>
  <c r="J21" i="4"/>
  <c r="J21" i="43" s="1"/>
  <c r="EY32" i="2"/>
  <c r="EW32" i="2"/>
  <c r="J56" i="18"/>
  <c r="J59" i="19"/>
  <c r="A18" i="1"/>
  <c r="A19" i="2" s="1"/>
  <c r="BO11" i="39"/>
  <c r="BE11" i="39"/>
  <c r="EW12" i="2"/>
  <c r="E42" i="2"/>
  <c r="AS11" i="39"/>
  <c r="S12" i="39"/>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BK12" i="39" l="1"/>
  <c r="J20" i="4"/>
  <c r="J20" i="43" s="1"/>
  <c r="A19" i="1"/>
  <c r="A20" i="2" s="1"/>
  <c r="J56" i="17"/>
  <c r="J59" i="18"/>
  <c r="BO12" i="39"/>
  <c r="AY12" i="39"/>
  <c r="AM12" i="39"/>
  <c r="BE12" i="39"/>
  <c r="S13" i="39"/>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BK13" i="39" l="1"/>
  <c r="A20" i="1"/>
  <c r="A21" i="2" s="1"/>
  <c r="J56" i="16"/>
  <c r="J56" i="15" s="1"/>
  <c r="J56" i="14" s="1"/>
  <c r="J56" i="13" s="1"/>
  <c r="J56" i="12" s="1"/>
  <c r="J56" i="11" s="1"/>
  <c r="J56" i="10" s="1"/>
  <c r="J56" i="9" s="1"/>
  <c r="J56" i="8" s="1"/>
  <c r="J56" i="7" s="1"/>
  <c r="J56" i="6" s="1"/>
  <c r="J56" i="37" s="1"/>
  <c r="J56" i="4" s="1"/>
  <c r="J56" i="43" s="1"/>
  <c r="BE13" i="39"/>
  <c r="BO13" i="39"/>
  <c r="U13" i="39"/>
  <c r="S14" i="39"/>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BK14" i="39" l="1"/>
  <c r="AS14" i="39"/>
  <c r="BE14" i="39"/>
  <c r="U14" i="39"/>
  <c r="AY14" i="39"/>
  <c r="BO14" i="39"/>
  <c r="AM14" i="39"/>
  <c r="S15" i="39"/>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BK15" i="39" l="1"/>
  <c r="AM15" i="39"/>
  <c r="S16" i="39"/>
  <c r="AY15" i="39"/>
  <c r="U15" i="39"/>
  <c r="BO15" i="39"/>
  <c r="AS15" i="39"/>
  <c r="BE15" i="39"/>
  <c r="EZ14" i="2"/>
  <c r="EX14" i="2"/>
  <c r="F15" i="2"/>
  <c r="A23" i="1"/>
  <c r="A24" i="2" s="1"/>
  <c r="S17" i="39"/>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K17" i="39" l="1"/>
  <c r="BK16" i="39"/>
  <c r="BO16" i="39"/>
  <c r="AS16" i="39"/>
  <c r="AY16" i="39"/>
  <c r="BE16" i="39"/>
  <c r="BO17" i="39"/>
  <c r="EX15" i="2"/>
  <c r="EZ15" i="2"/>
  <c r="F16" i="2"/>
  <c r="A24" i="1"/>
  <c r="A25" i="2" s="1"/>
  <c r="J41" i="24"/>
  <c r="M48" i="24"/>
  <c r="J45" i="24"/>
  <c r="J48" i="24"/>
  <c r="K57" i="24"/>
  <c r="J40" i="23"/>
  <c r="K56" i="24"/>
  <c r="M45" i="24"/>
  <c r="AS17" i="39"/>
  <c r="AM17" i="39"/>
  <c r="BE17" i="39"/>
  <c r="AY17" i="39"/>
  <c r="U17" i="39"/>
  <c r="S18" i="39"/>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K18" i="39" l="1"/>
  <c r="BO18" i="39"/>
  <c r="EZ16" i="2"/>
  <c r="EX16" i="2"/>
  <c r="F17" i="2"/>
  <c r="A25" i="1"/>
  <c r="A26" i="2" s="1"/>
  <c r="S19" i="39"/>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K19" i="39" l="1"/>
  <c r="BO19" i="39"/>
  <c r="EX17" i="2"/>
  <c r="EZ17" i="2"/>
  <c r="F18" i="2"/>
  <c r="A26" i="1"/>
  <c r="A27" i="2" s="1"/>
  <c r="J45" i="21"/>
  <c r="K56" i="21"/>
  <c r="M45" i="21"/>
  <c r="J40" i="22"/>
  <c r="J48" i="21"/>
  <c r="J41" i="21"/>
  <c r="M48" i="21"/>
  <c r="K57" i="21"/>
  <c r="AS19" i="39"/>
  <c r="BE19" i="39"/>
  <c r="AM19" i="39"/>
  <c r="AY19" i="39"/>
  <c r="U19" i="39"/>
  <c r="S20" i="39"/>
  <c r="AQ23" i="39"/>
  <c r="Q24" i="39"/>
  <c r="Q25" i="39" s="1"/>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Q26" i="39" l="1"/>
  <c r="AK25" i="39"/>
  <c r="BK20" i="39"/>
  <c r="BO20" i="39"/>
  <c r="EZ18" i="2"/>
  <c r="EX18" i="2"/>
  <c r="F19" i="2"/>
  <c r="A27" i="1"/>
  <c r="A28" i="2" s="1"/>
  <c r="U20" i="39"/>
  <c r="AS20" i="39"/>
  <c r="S21" i="39"/>
  <c r="AY20" i="39"/>
  <c r="BE20" i="39"/>
  <c r="AM20" i="39"/>
  <c r="M48" i="22"/>
  <c r="M45" i="22"/>
  <c r="J45" i="22"/>
  <c r="K57" i="22"/>
  <c r="J41" i="22"/>
  <c r="K56" i="22"/>
  <c r="J40" i="20"/>
  <c r="J48" i="22"/>
  <c r="J44" i="16"/>
  <c r="J47" i="16"/>
  <c r="M47" i="16"/>
  <c r="J38" i="15"/>
  <c r="M44" i="16"/>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Q27" i="39" l="1"/>
  <c r="AK27" i="39" s="1"/>
  <c r="AK26" i="39"/>
  <c r="BK21" i="39"/>
  <c r="BO21" i="39"/>
  <c r="F20" i="2"/>
  <c r="A28" i="1"/>
  <c r="A29" i="2" s="1"/>
  <c r="J41" i="20"/>
  <c r="M48" i="20"/>
  <c r="J48" i="20"/>
  <c r="K57" i="20"/>
  <c r="J45" i="20"/>
  <c r="J40" i="19"/>
  <c r="K56" i="20"/>
  <c r="M45" i="20"/>
  <c r="AM21" i="39"/>
  <c r="AS21" i="39"/>
  <c r="BE21" i="39"/>
  <c r="S22" i="39"/>
  <c r="U21" i="39"/>
  <c r="AY21" i="39"/>
  <c r="AQ25"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K22" i="39" l="1"/>
  <c r="BO22" i="39"/>
  <c r="F21" i="2"/>
  <c r="A29" i="1"/>
  <c r="A30" i="2" s="1"/>
  <c r="U22" i="39"/>
  <c r="AS22" i="39"/>
  <c r="S23" i="39"/>
  <c r="AY22" i="39"/>
  <c r="BE22" i="39"/>
  <c r="AM22" i="39"/>
  <c r="J41" i="19"/>
  <c r="M45" i="19"/>
  <c r="J40" i="18"/>
  <c r="J48" i="19"/>
  <c r="M48" i="19"/>
  <c r="K56" i="19"/>
  <c r="J45" i="19"/>
  <c r="K57" i="19"/>
  <c r="J47" i="14"/>
  <c r="M47" i="14"/>
  <c r="J38" i="13"/>
  <c r="M44" i="14"/>
  <c r="J44" i="14"/>
  <c r="AQ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K23" i="39" l="1"/>
  <c r="BO23" i="39"/>
  <c r="F22" i="2"/>
  <c r="A30" i="1"/>
  <c r="A31" i="2" s="1"/>
  <c r="M48" i="18"/>
  <c r="J41" i="18"/>
  <c r="J48" i="18"/>
  <c r="K57" i="18"/>
  <c r="J40" i="17"/>
  <c r="K56" i="18"/>
  <c r="J45" i="18"/>
  <c r="M45" i="18"/>
  <c r="U23" i="39"/>
  <c r="S24" i="39"/>
  <c r="S25" i="39" s="1"/>
  <c r="AS23" i="39"/>
  <c r="BE23" i="39"/>
  <c r="AM23" i="39"/>
  <c r="AY23" i="39"/>
  <c r="AQ27" i="39"/>
  <c r="Q28"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Z143" i="54" l="1"/>
  <c r="AA142" i="54" s="1"/>
  <c r="AB142" i="54" s="1"/>
  <c r="Z143" i="46"/>
  <c r="AA142" i="46" s="1"/>
  <c r="AB142" i="46" s="1"/>
  <c r="Z138" i="54"/>
  <c r="AA137" i="54" s="1"/>
  <c r="AB137" i="54" s="1"/>
  <c r="Z138" i="46"/>
  <c r="AA137" i="46" s="1"/>
  <c r="AB137" i="46" s="1"/>
  <c r="U25" i="39"/>
  <c r="AM25" i="39"/>
  <c r="S26" i="39"/>
  <c r="BK24" i="39"/>
  <c r="BO24" i="39"/>
  <c r="F23" i="2"/>
  <c r="A31" i="1"/>
  <c r="A32" i="2" s="1"/>
  <c r="U24" i="39"/>
  <c r="AM24" i="39"/>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U26" i="39" l="1"/>
  <c r="S27" i="39"/>
  <c r="AM26" i="39"/>
  <c r="BK25" i="39"/>
  <c r="BO25" i="39"/>
  <c r="F24" i="2"/>
  <c r="A32" i="1"/>
  <c r="A33" i="2" s="1"/>
  <c r="BE25" i="39"/>
  <c r="AS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U27" i="39" l="1"/>
  <c r="AM27" i="39"/>
  <c r="BK26" i="39"/>
  <c r="BO26" i="39"/>
  <c r="F25" i="2"/>
  <c r="A33" i="1"/>
  <c r="A34" i="2" s="1"/>
  <c r="J41" i="15"/>
  <c r="M48" i="15"/>
  <c r="J45" i="15"/>
  <c r="J48" i="15"/>
  <c r="K57" i="15"/>
  <c r="J40" i="14"/>
  <c r="K56" i="15"/>
  <c r="M45" i="15"/>
  <c r="AS26" i="39"/>
  <c r="BE26" i="39"/>
  <c r="AY26" i="39"/>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BK27" i="39" l="1"/>
  <c r="Z164" i="54"/>
  <c r="Z164" i="46"/>
  <c r="BO27" i="39"/>
  <c r="F26" i="2"/>
  <c r="A34" i="1"/>
  <c r="A35" i="2" s="1"/>
  <c r="S28" i="39"/>
  <c r="AY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BK28" i="39" l="1"/>
  <c r="T2" i="53"/>
  <c r="N12" i="52" s="1"/>
  <c r="Z165" i="54"/>
  <c r="X173" i="54" s="1"/>
  <c r="Z166" i="54"/>
  <c r="I2" i="53"/>
  <c r="E12" i="52" s="1"/>
  <c r="AB164" i="54"/>
  <c r="AA164" i="54"/>
  <c r="BO28" i="39"/>
  <c r="F27" i="2"/>
  <c r="A35" i="1"/>
  <c r="A36" i="2" s="1"/>
  <c r="J41" i="13"/>
  <c r="K56" i="13"/>
  <c r="M45" i="13"/>
  <c r="K57" i="13"/>
  <c r="J45" i="13"/>
  <c r="J48" i="13"/>
  <c r="J40" i="12"/>
  <c r="M48" i="13"/>
  <c r="BE28" i="39"/>
  <c r="U28" i="39"/>
  <c r="AS28" i="39"/>
  <c r="S29" i="39"/>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BK29" i="39" l="1"/>
  <c r="T4" i="53"/>
  <c r="N14" i="52" s="1"/>
  <c r="AB165" i="54"/>
  <c r="X176" i="54" s="1"/>
  <c r="AA165" i="54"/>
  <c r="X175" i="54" s="1"/>
  <c r="T3" i="53"/>
  <c r="N13" i="52" s="1"/>
  <c r="N40" i="52" s="1"/>
  <c r="U2" i="53"/>
  <c r="O12" i="52" s="1"/>
  <c r="BO29" i="39"/>
  <c r="F28" i="2"/>
  <c r="F29" i="2" s="1"/>
  <c r="A36" i="1"/>
  <c r="A37" i="2" s="1"/>
  <c r="J41" i="12"/>
  <c r="M45" i="12"/>
  <c r="J45" i="12"/>
  <c r="J48" i="12"/>
  <c r="K56" i="12"/>
  <c r="J40" i="11"/>
  <c r="K56" i="11" s="1"/>
  <c r="M48" i="12"/>
  <c r="K57" i="12"/>
  <c r="S30" i="39"/>
  <c r="U29" i="39"/>
  <c r="AY29" i="39"/>
  <c r="AM29" i="39"/>
  <c r="BE29" i="39"/>
  <c r="AS29" i="39"/>
  <c r="J44" i="7"/>
  <c r="J38" i="6"/>
  <c r="J44" i="6" s="1"/>
  <c r="M47" i="7"/>
  <c r="J47" i="7"/>
  <c r="M44" i="7"/>
  <c r="AK33" i="39"/>
  <c r="Q34" i="39"/>
  <c r="AK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U4" i="53"/>
  <c r="O14" i="52" s="1"/>
  <c r="P14" i="52" s="1"/>
  <c r="Q14" i="52" s="1"/>
  <c r="A37" i="1"/>
  <c r="A38" i="2" s="1"/>
  <c r="AQ34" i="39" l="1"/>
  <c r="BK30" i="39"/>
  <c r="E44" i="7"/>
  <c r="D38" i="6"/>
  <c r="E38" i="6" s="1"/>
  <c r="Q35" i="39"/>
  <c r="AK35" i="39" s="1"/>
  <c r="X195" i="54"/>
  <c r="X197" i="54" s="1"/>
  <c r="BE30" i="39"/>
  <c r="M8" i="7"/>
  <c r="D43" i="6"/>
  <c r="E43" i="6" s="1"/>
  <c r="E47" i="6"/>
  <c r="D41" i="7"/>
  <c r="D41" i="6" s="1"/>
  <c r="E41" i="6" s="1"/>
  <c r="AY30" i="39"/>
  <c r="AS30" i="39"/>
  <c r="M48" i="11"/>
  <c r="J48" i="11"/>
  <c r="K57" i="11"/>
  <c r="M45" i="11"/>
  <c r="J45" i="11"/>
  <c r="J41" i="11"/>
  <c r="J40" i="10"/>
  <c r="S31" i="39"/>
  <c r="BO30" i="39"/>
  <c r="AM30" i="39"/>
  <c r="U3" i="53"/>
  <c r="O13" i="52" s="1"/>
  <c r="P13" i="52" s="1"/>
  <c r="M44" i="6"/>
  <c r="M47" i="6"/>
  <c r="J47" i="6"/>
  <c r="J39" i="8"/>
  <c r="J37" i="6"/>
  <c r="J37" i="37" s="1"/>
  <c r="J39" i="7"/>
  <c r="F30" i="2"/>
  <c r="F31" i="2" s="1"/>
  <c r="P12" i="52"/>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BK31" i="39" l="1"/>
  <c r="D38" i="37"/>
  <c r="D38" i="4" s="1"/>
  <c r="Q36" i="39"/>
  <c r="AK36" i="39" s="1"/>
  <c r="AQ35" i="39"/>
  <c r="BE31" i="39"/>
  <c r="U31" i="39"/>
  <c r="S32" i="39"/>
  <c r="BK32" i="39" s="1"/>
  <c r="E41" i="7"/>
  <c r="M8" i="6"/>
  <c r="M34" i="7"/>
  <c r="D43" i="37"/>
  <c r="D43" i="4" s="1"/>
  <c r="D43" i="43" s="1"/>
  <c r="E43" i="43" s="1"/>
  <c r="D41" i="37"/>
  <c r="D41" i="4" s="1"/>
  <c r="D39" i="37"/>
  <c r="D39" i="4" s="1"/>
  <c r="D39" i="43" s="1"/>
  <c r="E39" i="43" s="1"/>
  <c r="O40" i="52"/>
  <c r="O42" i="52" s="1"/>
  <c r="J39" i="6"/>
  <c r="J48" i="10"/>
  <c r="J41" i="10"/>
  <c r="K57" i="10"/>
  <c r="K56" i="10"/>
  <c r="J45" i="10"/>
  <c r="M48" i="10"/>
  <c r="M45" i="10"/>
  <c r="J40" i="9"/>
  <c r="AS31" i="39"/>
  <c r="BO31" i="39"/>
  <c r="AM31" i="39"/>
  <c r="AY31" i="39"/>
  <c r="Q12" i="52"/>
  <c r="Q40" i="52" s="1"/>
  <c r="Q42" i="52" s="1"/>
  <c r="R14" i="53" s="1"/>
  <c r="P40" i="52"/>
  <c r="P42" i="52" s="1"/>
  <c r="E38" i="37"/>
  <c r="A39" i="1"/>
  <c r="A40" i="2" s="1"/>
  <c r="J44" i="37"/>
  <c r="J47" i="37"/>
  <c r="M47" i="37"/>
  <c r="M44" i="37"/>
  <c r="J38" i="4"/>
  <c r="E45" i="37"/>
  <c r="D50" i="37"/>
  <c r="E50" i="37" s="1"/>
  <c r="E51" i="7"/>
  <c r="D51" i="6"/>
  <c r="E52" i="8"/>
  <c r="E53" i="8" s="1"/>
  <c r="D48" i="4"/>
  <c r="E48" i="4" s="1"/>
  <c r="E49" i="7"/>
  <c r="D49" i="6"/>
  <c r="D52" i="7"/>
  <c r="D53" i="7" s="1"/>
  <c r="F32" i="2"/>
  <c r="D38" i="43"/>
  <c r="E38" i="43" s="1"/>
  <c r="E38" i="4"/>
  <c r="E44" i="4"/>
  <c r="D44" i="43"/>
  <c r="E44" i="43" s="1"/>
  <c r="J39" i="37"/>
  <c r="J37" i="4"/>
  <c r="E45" i="4"/>
  <c r="D45" i="43"/>
  <c r="E45" i="43" s="1"/>
  <c r="Q37" i="39" l="1"/>
  <c r="Q38" i="39" s="1"/>
  <c r="AQ36" i="39"/>
  <c r="S33" i="39"/>
  <c r="BK33" i="39" s="1"/>
  <c r="AM32" i="39"/>
  <c r="BO32" i="39"/>
  <c r="U32" i="39"/>
  <c r="BE32" i="39"/>
  <c r="AS32" i="39"/>
  <c r="AY32"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F33" i="2"/>
  <c r="Q39" i="39"/>
  <c r="AK38" i="39"/>
  <c r="AQ38" i="39"/>
  <c r="J37" i="43"/>
  <c r="J39" i="43" s="1"/>
  <c r="J39" i="4"/>
  <c r="D41" i="43"/>
  <c r="E41" i="4"/>
  <c r="AK37" i="39" l="1"/>
  <c r="AQ37" i="39"/>
  <c r="BE33" i="39"/>
  <c r="AY33" i="39"/>
  <c r="AM33" i="39"/>
  <c r="BO33" i="39"/>
  <c r="U33" i="39"/>
  <c r="S34" i="39"/>
  <c r="BK34" i="39" s="1"/>
  <c r="AS33" i="39"/>
  <c r="E50" i="4"/>
  <c r="M8" i="4"/>
  <c r="M34" i="37"/>
  <c r="J41" i="8"/>
  <c r="K56" i="8"/>
  <c r="M45" i="8"/>
  <c r="M48" i="8"/>
  <c r="J40" i="7"/>
  <c r="J48" i="8"/>
  <c r="J45" i="8"/>
  <c r="K57" i="8"/>
  <c r="E52" i="6"/>
  <c r="E53" i="6" s="1"/>
  <c r="M47" i="43"/>
  <c r="M44" i="43"/>
  <c r="J47" i="43"/>
  <c r="J44" i="43"/>
  <c r="E51" i="37"/>
  <c r="D51" i="4"/>
  <c r="E49" i="37"/>
  <c r="D52" i="37"/>
  <c r="D53" i="37" s="1"/>
  <c r="D49" i="4"/>
  <c r="F34" i="2"/>
  <c r="AK39" i="39"/>
  <c r="AQ39" i="39"/>
  <c r="E41" i="43"/>
  <c r="BO34" i="39" l="1"/>
  <c r="AM34" i="39"/>
  <c r="AY34" i="39"/>
  <c r="AS34" i="39"/>
  <c r="S35" i="39"/>
  <c r="BK35" i="39" s="1"/>
  <c r="BE34" i="39"/>
  <c r="U34" i="39"/>
  <c r="S36" i="39"/>
  <c r="U36" i="39" s="1"/>
  <c r="M34" i="4"/>
  <c r="M8" i="43"/>
  <c r="M34" i="43" s="1"/>
  <c r="J41" i="7"/>
  <c r="K56" i="7"/>
  <c r="J45" i="7"/>
  <c r="K57" i="7"/>
  <c r="J40" i="6"/>
  <c r="J48" i="7"/>
  <c r="M45" i="7"/>
  <c r="M48" i="7"/>
  <c r="E52" i="37"/>
  <c r="E53" i="37" s="1"/>
  <c r="E51" i="4"/>
  <c r="D51" i="43"/>
  <c r="E51" i="43" s="1"/>
  <c r="D52" i="4"/>
  <c r="D53" i="4" s="1"/>
  <c r="D49" i="43"/>
  <c r="E49" i="4"/>
  <c r="F35" i="2"/>
  <c r="BK36" i="39" l="1"/>
  <c r="AS35" i="39"/>
  <c r="BE35" i="39"/>
  <c r="BO36" i="39"/>
  <c r="AY35" i="39"/>
  <c r="AS36" i="39"/>
  <c r="AM35" i="39"/>
  <c r="AM36" i="39"/>
  <c r="BO35" i="39"/>
  <c r="S37" i="39"/>
  <c r="AY37" i="39" s="1"/>
  <c r="BE36" i="39"/>
  <c r="AY36" i="39"/>
  <c r="U35" i="39"/>
  <c r="W166" i="46"/>
  <c r="E52" i="4"/>
  <c r="E53" i="4" s="1"/>
  <c r="J41" i="6"/>
  <c r="J48" i="6"/>
  <c r="J40" i="37"/>
  <c r="M48" i="6"/>
  <c r="M45" i="6"/>
  <c r="K57" i="6"/>
  <c r="J45" i="6"/>
  <c r="K56" i="6"/>
  <c r="E49" i="43"/>
  <c r="E52" i="43" s="1"/>
  <c r="E53" i="43" s="1"/>
  <c r="D52" i="43"/>
  <c r="F36" i="2"/>
  <c r="S38" i="39"/>
  <c r="BO37" i="39" l="1"/>
  <c r="U37" i="39"/>
  <c r="BE37" i="39"/>
  <c r="AS37" i="39"/>
  <c r="AM37" i="39"/>
  <c r="BK37" i="39"/>
  <c r="BK38" i="39"/>
  <c r="K56" i="37"/>
  <c r="K57" i="37"/>
  <c r="J48" i="37"/>
  <c r="M45" i="37"/>
  <c r="J41" i="37"/>
  <c r="J45" i="37"/>
  <c r="M48" i="37"/>
  <c r="J40" i="4"/>
  <c r="D53" i="43"/>
  <c r="BO38" i="39"/>
  <c r="F37" i="2"/>
  <c r="AS38" i="39"/>
  <c r="U38" i="39"/>
  <c r="S39" i="39"/>
  <c r="AM38" i="39"/>
  <c r="BE38" i="39"/>
  <c r="AY38" i="39"/>
  <c r="BK39" i="39" l="1"/>
  <c r="K56" i="4"/>
  <c r="M48" i="4"/>
  <c r="K57" i="4"/>
  <c r="J48" i="4"/>
  <c r="J40" i="43"/>
  <c r="J41" i="4"/>
  <c r="M45" i="4"/>
  <c r="J45" i="4"/>
  <c r="BO39" i="39"/>
  <c r="F38" i="2"/>
  <c r="AS39" i="39"/>
  <c r="BE39" i="39"/>
  <c r="U39" i="39"/>
  <c r="AM39" i="39"/>
  <c r="AY39" i="39"/>
  <c r="K56" i="43" l="1"/>
  <c r="M48" i="43"/>
  <c r="M45" i="43"/>
  <c r="K57" i="43"/>
  <c r="J41" i="43"/>
  <c r="J45" i="43"/>
  <c r="J48" i="43"/>
  <c r="F39" i="2"/>
  <c r="F40" i="2" s="1"/>
  <c r="BB10" i="39" l="1"/>
  <c r="H10" i="39"/>
  <c r="J10" i="39"/>
  <c r="AV10" i="39"/>
  <c r="V10" i="39"/>
  <c r="L41" i="39"/>
  <c r="M10" i="39"/>
  <c r="T164" i="46"/>
  <c r="P164" i="46"/>
  <c r="K164" i="46"/>
  <c r="C164" i="46"/>
  <c r="Q164" i="46"/>
  <c r="Q165" i="46" s="1"/>
  <c r="U164" i="46"/>
  <c r="X167" i="46" s="1"/>
  <c r="BI10" i="39" l="1"/>
  <c r="BD166" i="46"/>
  <c r="BE166" i="46"/>
  <c r="BF166" i="46"/>
  <c r="BB166" i="46"/>
  <c r="BC166" i="46"/>
  <c r="AH4" i="50"/>
  <c r="AH3" i="50"/>
  <c r="AH38" i="50"/>
  <c r="O164" i="46"/>
  <c r="H41" i="39"/>
  <c r="J41" i="39"/>
  <c r="V41" i="39"/>
  <c r="BB41" i="39" s="1"/>
  <c r="BC10" i="39"/>
  <c r="M11" i="39"/>
  <c r="AW10" i="39"/>
  <c r="K10" i="39"/>
  <c r="W10" i="39"/>
  <c r="AC164" i="46"/>
  <c r="AA164" i="46"/>
  <c r="Z165" i="46"/>
  <c r="X173" i="46" s="1"/>
  <c r="X164" i="46"/>
  <c r="F41" i="52" s="1"/>
  <c r="G41" i="52" s="1"/>
  <c r="H41" i="52" s="1"/>
  <c r="Y165" i="46"/>
  <c r="X172" i="46" s="1"/>
  <c r="V165" i="46"/>
  <c r="I8" i="53"/>
  <c r="F12" i="52" s="1"/>
  <c r="G12" i="52" s="1"/>
  <c r="S165" i="46"/>
  <c r="R165" i="46"/>
  <c r="BI11" i="39" l="1"/>
  <c r="AI3" i="50"/>
  <c r="AK165" i="46"/>
  <c r="X182" i="46" s="1"/>
  <c r="AS165" i="46"/>
  <c r="X188" i="46" s="1"/>
  <c r="AW165" i="46"/>
  <c r="X191" i="46" s="1"/>
  <c r="AM165" i="46"/>
  <c r="AU165" i="46"/>
  <c r="X190" i="46" s="1"/>
  <c r="AJ165" i="46"/>
  <c r="X181" i="46" s="1"/>
  <c r="AO165" i="46"/>
  <c r="X185" i="46" s="1"/>
  <c r="AR165" i="46"/>
  <c r="AI165" i="46"/>
  <c r="X180" i="46" s="1"/>
  <c r="AT165" i="46"/>
  <c r="X189" i="46" s="1"/>
  <c r="AY165" i="46"/>
  <c r="AF165" i="46"/>
  <c r="X177" i="46" s="1"/>
  <c r="AG165" i="46"/>
  <c r="X178" i="46" s="1"/>
  <c r="AV165" i="46"/>
  <c r="X192" i="46" s="1"/>
  <c r="AQ165" i="46"/>
  <c r="X187" i="46" s="1"/>
  <c r="AH165" i="46"/>
  <c r="X179" i="46" s="1"/>
  <c r="AP165" i="46"/>
  <c r="X186" i="46" s="1"/>
  <c r="AX165" i="46"/>
  <c r="AN165" i="46"/>
  <c r="X184" i="46" s="1"/>
  <c r="BA165" i="46"/>
  <c r="AL165" i="46"/>
  <c r="X183" i="46" s="1"/>
  <c r="AZ165" i="46"/>
  <c r="AC165" i="46"/>
  <c r="X174"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AB164" i="46"/>
  <c r="AB165" i="46" s="1"/>
  <c r="X176" i="46" s="1"/>
  <c r="BC11" i="39"/>
  <c r="AW11" i="39"/>
  <c r="M12" i="39"/>
  <c r="W11" i="39"/>
  <c r="K11" i="39"/>
  <c r="J2" i="53"/>
  <c r="I11" i="53"/>
  <c r="AA165" i="46"/>
  <c r="X175" i="46" s="1"/>
  <c r="I3" i="53"/>
  <c r="E13" i="52" s="1"/>
  <c r="BI12" i="39" l="1"/>
  <c r="F13" i="52"/>
  <c r="G13" i="52" s="1"/>
  <c r="H12" i="52" s="1"/>
  <c r="F35" i="52"/>
  <c r="F31" i="52"/>
  <c r="F29" i="52"/>
  <c r="F33" i="52"/>
  <c r="F6" i="52"/>
  <c r="G6" i="52" s="1"/>
  <c r="F17" i="52"/>
  <c r="F25" i="52"/>
  <c r="F21" i="52"/>
  <c r="F27" i="52"/>
  <c r="F39" i="52"/>
  <c r="F26" i="52"/>
  <c r="F18" i="52"/>
  <c r="G18" i="52" s="1"/>
  <c r="F5" i="52"/>
  <c r="G5" i="52" s="1"/>
  <c r="F24" i="52"/>
  <c r="F28" i="52"/>
  <c r="F11" i="52"/>
  <c r="G11" i="52" s="1"/>
  <c r="F22" i="52"/>
  <c r="F16" i="52"/>
  <c r="F37" i="52"/>
  <c r="F9" i="52"/>
  <c r="G9" i="52" s="1"/>
  <c r="F10" i="52"/>
  <c r="G10" i="52" s="1"/>
  <c r="F20" i="52"/>
  <c r="F8" i="52"/>
  <c r="G8" i="52" s="1"/>
  <c r="F30" i="52"/>
  <c r="F36" i="52"/>
  <c r="F19" i="52"/>
  <c r="F23" i="52"/>
  <c r="F4" i="52"/>
  <c r="F38" i="52"/>
  <c r="F32" i="52"/>
  <c r="F34" i="52"/>
  <c r="F7" i="52"/>
  <c r="G7" i="52" s="1"/>
  <c r="X193" i="46"/>
  <c r="X195" i="46" s="1"/>
  <c r="X197" i="46" s="1"/>
  <c r="J5" i="53"/>
  <c r="I4" i="53"/>
  <c r="E14" i="52" s="1"/>
  <c r="F14" i="52" s="1"/>
  <c r="G14" i="52" s="1"/>
  <c r="BC12" i="39"/>
  <c r="M13" i="39"/>
  <c r="BI13" i="39" s="1"/>
  <c r="AW12" i="39"/>
  <c r="W12" i="39"/>
  <c r="K12" i="39"/>
  <c r="J3" i="53"/>
  <c r="G38" i="52" l="1"/>
  <c r="H38" i="52" s="1"/>
  <c r="G31" i="52"/>
  <c r="AW13" i="39"/>
  <c r="M14" i="39"/>
  <c r="BI14" i="39" s="1"/>
  <c r="K13" i="39"/>
  <c r="BC13" i="39"/>
  <c r="W13" i="39"/>
  <c r="G24" i="52"/>
  <c r="J4" i="53"/>
  <c r="G4" i="52"/>
  <c r="F40" i="52"/>
  <c r="F42" i="52" s="1"/>
  <c r="G19" i="52"/>
  <c r="G16" i="52"/>
  <c r="G36" i="52"/>
  <c r="E40" i="52"/>
  <c r="G33" i="52"/>
  <c r="K14" i="39" l="1"/>
  <c r="W14" i="39"/>
  <c r="G68" i="53" s="1"/>
  <c r="H24" i="52"/>
  <c r="BC14" i="39"/>
  <c r="AW14" i="39"/>
  <c r="M15" i="39"/>
  <c r="H14" i="52"/>
  <c r="H4" i="52"/>
  <c r="G40" i="52"/>
  <c r="G42" i="52" s="1"/>
  <c r="BI15" i="39" l="1"/>
  <c r="H40" i="52"/>
  <c r="H42" i="52" s="1"/>
  <c r="G15" i="53" s="1"/>
  <c r="K15" i="39"/>
  <c r="W15" i="39"/>
  <c r="AW15" i="39"/>
  <c r="BC15" i="39"/>
  <c r="M16" i="39"/>
  <c r="BI16" i="39" l="1"/>
  <c r="BC16" i="39"/>
  <c r="M17" i="39"/>
  <c r="K16" i="39"/>
  <c r="AW16" i="39"/>
  <c r="W16" i="39"/>
  <c r="BI17" i="39" l="1"/>
  <c r="AW17" i="39"/>
  <c r="W17" i="39"/>
  <c r="M18" i="39"/>
  <c r="BC17" i="39"/>
  <c r="K17" i="39"/>
  <c r="BI18" i="39" l="1"/>
  <c r="K18" i="39"/>
  <c r="W18" i="39"/>
  <c r="BC18" i="39"/>
  <c r="AW18" i="39"/>
  <c r="M19" i="39"/>
  <c r="BI19" i="39" l="1"/>
  <c r="K19" i="39"/>
  <c r="W19" i="39"/>
  <c r="M20" i="39"/>
  <c r="AW19" i="39"/>
  <c r="BC19" i="39"/>
  <c r="BI20" i="39" l="1"/>
  <c r="W20" i="39"/>
  <c r="K20" i="39"/>
  <c r="M21" i="39"/>
  <c r="AW20" i="39"/>
  <c r="BC20" i="39"/>
  <c r="BI21" i="39" l="1"/>
  <c r="K21" i="39"/>
  <c r="W21" i="39"/>
  <c r="M22" i="39"/>
  <c r="BC21" i="39"/>
  <c r="AW21" i="39"/>
  <c r="BI22" i="39" l="1"/>
  <c r="K22" i="39"/>
  <c r="W22" i="39"/>
  <c r="BC22" i="39"/>
  <c r="AW22" i="39"/>
  <c r="M23" i="39"/>
  <c r="BI23" i="39" l="1"/>
  <c r="W23" i="39"/>
  <c r="AW23" i="39"/>
  <c r="K23" i="39"/>
  <c r="M24" i="39"/>
  <c r="BC23" i="39"/>
  <c r="BI24" i="39" l="1"/>
  <c r="K24" i="39"/>
  <c r="W24" i="39"/>
  <c r="M25" i="39"/>
  <c r="W25" i="39" s="1"/>
  <c r="AW24" i="39"/>
  <c r="BC24" i="39"/>
  <c r="BI25" i="39" l="1"/>
  <c r="K25" i="39"/>
  <c r="M26" i="39"/>
  <c r="W26" i="39" s="1"/>
  <c r="BC25" i="39"/>
  <c r="AW25" i="39"/>
  <c r="BI26" i="39" l="1"/>
  <c r="K26" i="39"/>
  <c r="AW26" i="39"/>
  <c r="M27" i="39"/>
  <c r="BC26" i="39"/>
  <c r="W27" i="39" l="1"/>
  <c r="M28" i="39"/>
  <c r="BI27" i="39"/>
  <c r="K27" i="39"/>
  <c r="AW27" i="39"/>
  <c r="BC27" i="39"/>
  <c r="BI28" i="39" l="1"/>
  <c r="W28" i="39"/>
  <c r="K28" i="39"/>
  <c r="BC28" i="39"/>
  <c r="AW28" i="39"/>
  <c r="M29" i="39"/>
  <c r="BI29" i="39" l="1"/>
  <c r="K29" i="39"/>
  <c r="W29" i="39"/>
  <c r="BC29" i="39"/>
  <c r="AW29" i="39"/>
  <c r="M30" i="39"/>
  <c r="BI30" i="39" l="1"/>
  <c r="W30" i="39"/>
  <c r="K30" i="39"/>
  <c r="BC30" i="39"/>
  <c r="M31" i="39"/>
  <c r="AW30" i="39"/>
  <c r="BI31" i="39" l="1"/>
  <c r="W31" i="39"/>
  <c r="BC31" i="39"/>
  <c r="K31" i="39"/>
  <c r="M32" i="39"/>
  <c r="AW31" i="39"/>
  <c r="BI32" i="39" l="1"/>
  <c r="K32" i="39"/>
  <c r="W32" i="39"/>
  <c r="BC32" i="39"/>
  <c r="M33" i="39"/>
  <c r="AW32" i="39"/>
  <c r="BI33" i="39" l="1"/>
  <c r="W33" i="39"/>
  <c r="K33" i="39"/>
  <c r="BC33" i="39"/>
  <c r="M34" i="39"/>
  <c r="AW33" i="39"/>
  <c r="BI34" i="39" l="1"/>
  <c r="W34" i="39"/>
  <c r="BC34" i="39"/>
  <c r="M35" i="39"/>
  <c r="AW34" i="39"/>
  <c r="K34" i="39"/>
  <c r="BI35" i="39" l="1"/>
  <c r="K35" i="39"/>
  <c r="W35" i="39"/>
  <c r="AW35" i="39"/>
  <c r="M36" i="39"/>
  <c r="BC35" i="39"/>
  <c r="BI36" i="39" l="1"/>
  <c r="K36" i="39"/>
  <c r="W36" i="39"/>
  <c r="BC36" i="39"/>
  <c r="AW36" i="39"/>
  <c r="M37" i="39"/>
  <c r="BI37" i="39" l="1"/>
  <c r="K37" i="39"/>
  <c r="BC37" i="39"/>
  <c r="W37" i="39"/>
  <c r="M38" i="39"/>
  <c r="AW37" i="39"/>
  <c r="IK9" i="1"/>
  <c r="KU9" i="1" s="1"/>
  <c r="IJ9" i="1"/>
  <c r="BI38" i="39" l="1"/>
  <c r="K38" i="39"/>
  <c r="BC38" i="39"/>
  <c r="W38" i="39"/>
  <c r="M39" i="39"/>
  <c r="AW38" i="39"/>
  <c r="AV41" i="1"/>
  <c r="AW10" i="1"/>
  <c r="AX10" i="1"/>
  <c r="KT10" i="1" s="1"/>
  <c r="BI39" i="39" l="1"/>
  <c r="W39" i="39"/>
  <c r="K39" i="39"/>
  <c r="AW39" i="39"/>
  <c r="BC39" i="39"/>
  <c r="AW41" i="1"/>
  <c r="AX41" i="1"/>
  <c r="II41" i="1" l="1"/>
  <c r="IK27" i="1"/>
  <c r="KU27" i="1" s="1"/>
  <c r="IJ27" i="1"/>
  <c r="IJ41" i="1" l="1"/>
  <c r="IK41" i="1"/>
  <c r="KU41" i="1" s="1"/>
  <c r="CH33" i="1" l="1"/>
  <c r="KT33" i="1" s="1"/>
  <c r="CF41" i="1"/>
  <c r="CG33" i="1"/>
  <c r="CG41" i="1" l="1"/>
  <c r="CH41" i="1"/>
  <c r="J9" i="32" l="1"/>
  <c r="J9" i="31" s="1"/>
  <c r="J9" i="29" s="1"/>
  <c r="J9" i="27" s="1"/>
  <c r="J9" i="28" s="1"/>
  <c r="J9" i="26" s="1"/>
  <c r="J10" i="32"/>
  <c r="J10" i="31" s="1"/>
  <c r="J11" i="32"/>
  <c r="J11" i="31" s="1"/>
  <c r="J9" i="25" l="1"/>
  <c r="J9" i="24" s="1"/>
  <c r="J9" i="23" s="1"/>
  <c r="J9" i="21" s="1"/>
  <c r="J9" i="22" s="1"/>
  <c r="J9" i="20" s="1"/>
  <c r="J9" i="19" s="1"/>
  <c r="J9" i="18" s="1"/>
  <c r="J11" i="30"/>
  <c r="J11" i="29" s="1"/>
  <c r="J11" i="28" s="1"/>
  <c r="J11" i="26" s="1"/>
  <c r="J10" i="30"/>
  <c r="J10" i="28" s="1"/>
  <c r="J10" i="26" s="1"/>
  <c r="P9" i="1"/>
  <c r="Q9" i="1"/>
  <c r="KT9" i="1" s="1"/>
  <c r="J9" i="17" l="1"/>
  <c r="J9" i="16" s="1"/>
  <c r="J9" i="15" s="1"/>
  <c r="J9" i="14" s="1"/>
  <c r="J9" i="13" s="1"/>
  <c r="J9" i="12" s="1"/>
  <c r="J9" i="11" s="1"/>
  <c r="J9" i="10" s="1"/>
  <c r="J9" i="9" s="1"/>
  <c r="J9" i="8" s="1"/>
  <c r="J9" i="7" s="1"/>
  <c r="J9" i="6" s="1"/>
  <c r="J9" i="37" s="1"/>
  <c r="J9" i="4" s="1"/>
  <c r="J9" i="43" s="1"/>
  <c r="J10" i="25"/>
  <c r="J10" i="24" s="1"/>
  <c r="J10" i="23" s="1"/>
  <c r="J10" i="21" s="1"/>
  <c r="J10" i="22" s="1"/>
  <c r="J10" i="20" s="1"/>
  <c r="J10" i="19" s="1"/>
  <c r="J10" i="18" s="1"/>
  <c r="J11" i="25"/>
  <c r="J11" i="24" s="1"/>
  <c r="J11" i="23" s="1"/>
  <c r="J11" i="21" s="1"/>
  <c r="J11" i="22" s="1"/>
  <c r="J11" i="20" s="1"/>
  <c r="J11" i="19" s="1"/>
  <c r="J11" i="18" s="1"/>
  <c r="P13" i="1"/>
  <c r="Q13" i="1"/>
  <c r="KT13" i="1" s="1"/>
  <c r="J10" i="17" l="1"/>
  <c r="J10" i="16" s="1"/>
  <c r="J10" i="15" s="1"/>
  <c r="J10" i="14" s="1"/>
  <c r="J10" i="13" s="1"/>
  <c r="J10" i="12" s="1"/>
  <c r="J10" i="11" s="1"/>
  <c r="J10" i="10" s="1"/>
  <c r="J10" i="9" s="1"/>
  <c r="J10" i="8" s="1"/>
  <c r="J10" i="7" s="1"/>
  <c r="J10" i="6" s="1"/>
  <c r="J10" i="37" s="1"/>
  <c r="J10" i="4" s="1"/>
  <c r="J10" i="43" s="1"/>
  <c r="J11" i="17"/>
  <c r="J11" i="16" s="1"/>
  <c r="J11" i="15" s="1"/>
  <c r="J11" i="14" s="1"/>
  <c r="J11" i="13" s="1"/>
  <c r="J11" i="12" s="1"/>
  <c r="J11" i="11" s="1"/>
  <c r="J11" i="10" s="1"/>
  <c r="J11" i="9" s="1"/>
  <c r="J11" i="8" s="1"/>
  <c r="J11" i="7" s="1"/>
  <c r="J11" i="6" s="1"/>
  <c r="J11" i="37" s="1"/>
  <c r="J11" i="4" s="1"/>
  <c r="J11" i="43" s="1"/>
  <c r="CM42" i="2" l="1"/>
  <c r="CN42" i="2" s="1"/>
  <c r="CO19" i="2"/>
  <c r="DW19" i="2"/>
  <c r="EU19" i="2" s="1"/>
  <c r="DW42" i="2" l="1"/>
  <c r="EU42" i="2" s="1"/>
  <c r="EN19" i="2"/>
  <c r="AB19" i="2"/>
  <c r="ER19" i="2"/>
  <c r="AF19" i="2"/>
  <c r="AN19" i="2"/>
  <c r="AV19" i="2"/>
  <c r="EJ19" i="2"/>
  <c r="BD19" i="2"/>
  <c r="CN19" i="2"/>
  <c r="CJ19" i="2"/>
  <c r="EW19" i="2"/>
  <c r="BH19" i="2"/>
  <c r="EF19" i="2"/>
  <c r="EB19" i="2"/>
  <c r="DT19" i="2"/>
  <c r="AZ19" i="2"/>
  <c r="DH19" i="2"/>
  <c r="BX19" i="2"/>
  <c r="AJ19" i="2"/>
  <c r="CF19" i="2"/>
  <c r="CV19" i="2"/>
  <c r="P19" i="2"/>
  <c r="CB19" i="2"/>
  <c r="DP19" i="2"/>
  <c r="DD19" i="2"/>
  <c r="X19" i="2"/>
  <c r="T19" i="2"/>
  <c r="DL19" i="2"/>
  <c r="L19" i="2"/>
  <c r="EV19" i="2"/>
  <c r="H19" i="2"/>
  <c r="CR19" i="2"/>
  <c r="CZ19" i="2"/>
  <c r="AR19" i="2"/>
  <c r="DY19" i="2"/>
  <c r="DX19" i="2"/>
  <c r="EY19" i="2"/>
  <c r="EJ42" i="2" l="1"/>
  <c r="CF42" i="2"/>
  <c r="AV42" i="2"/>
  <c r="AR42" i="2"/>
  <c r="DH42" i="2"/>
  <c r="BD42" i="2"/>
  <c r="BL42" i="2"/>
  <c r="ER42" i="2"/>
  <c r="EW42" i="2"/>
  <c r="AZ42" i="2"/>
  <c r="BT42" i="2"/>
  <c r="CZ42" i="2"/>
  <c r="DD42" i="2"/>
  <c r="EB42" i="2"/>
  <c r="H42" i="2"/>
  <c r="CB42" i="2"/>
  <c r="CR42" i="2"/>
  <c r="EV42" i="2"/>
  <c r="CV42" i="2"/>
  <c r="AN42" i="2"/>
  <c r="CJ42" i="2"/>
  <c r="BH42" i="2"/>
  <c r="BX42" i="2"/>
  <c r="DP42" i="2"/>
  <c r="EN42" i="2"/>
  <c r="EF42" i="2"/>
  <c r="G45" i="2"/>
  <c r="G46" i="2" s="1"/>
  <c r="DL42" i="2"/>
  <c r="AB42" i="2"/>
  <c r="CT19" i="2"/>
  <c r="DV19" i="2"/>
  <c r="DJ19" i="2"/>
  <c r="EL19" i="2"/>
  <c r="AH19" i="2"/>
  <c r="EH19" i="2"/>
  <c r="BZ19" i="2"/>
  <c r="BJ19" i="2"/>
  <c r="AX19" i="2"/>
  <c r="Z19" i="2"/>
  <c r="AD19" i="2"/>
  <c r="BF19" i="2"/>
  <c r="N19" i="2"/>
  <c r="EX19" i="2"/>
  <c r="DB19" i="2"/>
  <c r="CD19" i="2"/>
  <c r="ET19" i="2"/>
  <c r="DN19" i="2"/>
  <c r="AL19" i="2"/>
  <c r="CL19" i="2"/>
  <c r="AT19" i="2"/>
  <c r="DF19" i="2"/>
  <c r="EP19" i="2"/>
  <c r="AP19" i="2"/>
  <c r="R19" i="2"/>
  <c r="DR19" i="2"/>
  <c r="CX19" i="2"/>
  <c r="ED19" i="2"/>
  <c r="J19" i="2"/>
  <c r="BB19" i="2"/>
  <c r="EV20" i="2"/>
  <c r="V19" i="2"/>
  <c r="CP19" i="2"/>
  <c r="CH19" i="2"/>
  <c r="DX42" i="2"/>
  <c r="DZ19" i="2"/>
  <c r="DY20" i="2"/>
  <c r="EZ19" i="2"/>
  <c r="EZ20" i="2" l="1"/>
  <c r="DY21" i="2"/>
  <c r="DZ20" i="2"/>
  <c r="DV20" i="2"/>
  <c r="DF20" i="2"/>
  <c r="AX20" i="2"/>
  <c r="DN20" i="2"/>
  <c r="CD20" i="2"/>
  <c r="AT20" i="2"/>
  <c r="CT20" i="2"/>
  <c r="AD20" i="2"/>
  <c r="BJ20" i="2"/>
  <c r="Z20" i="2"/>
  <c r="CH20" i="2"/>
  <c r="ED20" i="2"/>
  <c r="ET20" i="2"/>
  <c r="AH20" i="2"/>
  <c r="EH20" i="2"/>
  <c r="V20" i="2"/>
  <c r="AP20" i="2"/>
  <c r="J20" i="2"/>
  <c r="BZ20" i="2"/>
  <c r="BB20" i="2"/>
  <c r="EX20" i="2"/>
  <c r="AL20" i="2"/>
  <c r="DB20" i="2"/>
  <c r="EL20" i="2"/>
  <c r="CX20" i="2"/>
  <c r="EP20" i="2"/>
  <c r="N20" i="2"/>
  <c r="BF20" i="2"/>
  <c r="CP20" i="2"/>
  <c r="DJ20" i="2"/>
  <c r="CL20" i="2"/>
  <c r="EV21" i="2"/>
  <c r="DR20" i="2"/>
  <c r="R20" i="2"/>
  <c r="CT21" i="2" l="1"/>
  <c r="EP21" i="2"/>
  <c r="CP21" i="2"/>
  <c r="BB21" i="2"/>
  <c r="CH21" i="2"/>
  <c r="DF21" i="2"/>
  <c r="ED21" i="2"/>
  <c r="AP21" i="2"/>
  <c r="AD21" i="2"/>
  <c r="BF21" i="2"/>
  <c r="BJ21" i="2"/>
  <c r="N21" i="2"/>
  <c r="AX21" i="2"/>
  <c r="CX21" i="2"/>
  <c r="ET21" i="2"/>
  <c r="DJ21" i="2"/>
  <c r="DV21" i="2"/>
  <c r="R21" i="2"/>
  <c r="DB21" i="2"/>
  <c r="AL21" i="2"/>
  <c r="EH21" i="2"/>
  <c r="CL21" i="2"/>
  <c r="DN21" i="2"/>
  <c r="AH21" i="2"/>
  <c r="EL21" i="2"/>
  <c r="AT21" i="2"/>
  <c r="DR21" i="2"/>
  <c r="V21" i="2"/>
  <c r="J21" i="2"/>
  <c r="EV22" i="2"/>
  <c r="BZ21" i="2"/>
  <c r="EX21" i="2"/>
  <c r="CD21" i="2"/>
  <c r="Z21" i="2"/>
  <c r="DZ21" i="2"/>
  <c r="EZ21" i="2"/>
  <c r="DY22" i="2"/>
  <c r="ED22" i="2" l="1"/>
  <c r="CT22" i="2"/>
  <c r="R22" i="2"/>
  <c r="AP22" i="2"/>
  <c r="Z22" i="2"/>
  <c r="CD22" i="2"/>
  <c r="DF22" i="2"/>
  <c r="BF22" i="2"/>
  <c r="DV22" i="2"/>
  <c r="DB22" i="2"/>
  <c r="CP22" i="2"/>
  <c r="EX22" i="2"/>
  <c r="AD22" i="2"/>
  <c r="DR22" i="2"/>
  <c r="BB22" i="2"/>
  <c r="DN22" i="2"/>
  <c r="EP22" i="2"/>
  <c r="ET22" i="2"/>
  <c r="CL22" i="2"/>
  <c r="BJ22" i="2"/>
  <c r="AL22" i="2"/>
  <c r="AX22" i="2"/>
  <c r="DJ22" i="2"/>
  <c r="BZ22" i="2"/>
  <c r="EL22" i="2"/>
  <c r="EH22" i="2"/>
  <c r="CX22" i="2"/>
  <c r="J22" i="2"/>
  <c r="CH22" i="2"/>
  <c r="AH22" i="2"/>
  <c r="N22" i="2"/>
  <c r="AT22" i="2"/>
  <c r="EV23" i="2"/>
  <c r="V22" i="2"/>
  <c r="EZ22" i="2"/>
  <c r="DZ22" i="2"/>
  <c r="DY23" i="2"/>
  <c r="DZ23" i="2" l="1"/>
  <c r="EZ23" i="2"/>
  <c r="DY24" i="2"/>
  <c r="BJ23" i="2"/>
  <c r="CH23" i="2"/>
  <c r="CP23" i="2"/>
  <c r="BB23" i="2"/>
  <c r="EX23" i="2"/>
  <c r="DF23" i="2"/>
  <c r="EP23" i="2"/>
  <c r="BF23" i="2"/>
  <c r="DJ23" i="2"/>
  <c r="EH23" i="2"/>
  <c r="CL23" i="2"/>
  <c r="DB23" i="2"/>
  <c r="R23" i="2"/>
  <c r="DV23" i="2"/>
  <c r="CD23" i="2"/>
  <c r="ET23" i="2"/>
  <c r="V23" i="2"/>
  <c r="AD23" i="2"/>
  <c r="AH23" i="2"/>
  <c r="DR23" i="2"/>
  <c r="DN23" i="2"/>
  <c r="AX23" i="2"/>
  <c r="AP23" i="2"/>
  <c r="Z23" i="2"/>
  <c r="ED23" i="2"/>
  <c r="N23" i="2"/>
  <c r="CT23" i="2"/>
  <c r="BZ23" i="2"/>
  <c r="CX23" i="2"/>
  <c r="EL23" i="2"/>
  <c r="AL23" i="2"/>
  <c r="EV24" i="2"/>
  <c r="AT23" i="2"/>
  <c r="J23" i="2"/>
  <c r="BJ24" i="2" l="1"/>
  <c r="DF24" i="2"/>
  <c r="N24" i="2"/>
  <c r="AP24" i="2"/>
  <c r="AL24" i="2"/>
  <c r="EP24" i="2"/>
  <c r="CL24" i="2"/>
  <c r="DV24" i="2"/>
  <c r="DJ24" i="2"/>
  <c r="ET24" i="2"/>
  <c r="CP24" i="2"/>
  <c r="CH24" i="2"/>
  <c r="DN24" i="2"/>
  <c r="CX24" i="2"/>
  <c r="AH24" i="2"/>
  <c r="BZ24" i="2"/>
  <c r="R24" i="2"/>
  <c r="Z24" i="2"/>
  <c r="BB24" i="2"/>
  <c r="EL24" i="2"/>
  <c r="DR24" i="2"/>
  <c r="EH24" i="2"/>
  <c r="V24" i="2"/>
  <c r="AD24" i="2"/>
  <c r="CT24" i="2"/>
  <c r="CD24" i="2"/>
  <c r="EX24" i="2"/>
  <c r="AT24" i="2"/>
  <c r="J24" i="2"/>
  <c r="AX24" i="2"/>
  <c r="EV25" i="2"/>
  <c r="DB24" i="2"/>
  <c r="BF24" i="2"/>
  <c r="ED24" i="2"/>
  <c r="DZ24" i="2"/>
  <c r="DY25" i="2"/>
  <c r="EZ24" i="2"/>
  <c r="DJ25" i="2" l="1"/>
  <c r="BJ25" i="2"/>
  <c r="CD25" i="2"/>
  <c r="N25" i="2"/>
  <c r="AP25" i="2"/>
  <c r="BF25" i="2"/>
  <c r="ET25" i="2"/>
  <c r="CH25" i="2"/>
  <c r="AX25" i="2"/>
  <c r="CP25" i="2"/>
  <c r="DF25" i="2"/>
  <c r="CT25" i="2"/>
  <c r="R25" i="2"/>
  <c r="DV25" i="2"/>
  <c r="EX25" i="2"/>
  <c r="V25" i="2"/>
  <c r="AL25" i="2"/>
  <c r="EP25" i="2"/>
  <c r="CL25" i="2"/>
  <c r="BZ25" i="2"/>
  <c r="AT25" i="2"/>
  <c r="BB25" i="2"/>
  <c r="DR25" i="2"/>
  <c r="EH25" i="2"/>
  <c r="CX25" i="2"/>
  <c r="EL25" i="2"/>
  <c r="AD25" i="2"/>
  <c r="J25" i="2"/>
  <c r="EV26" i="2"/>
  <c r="Z25" i="2"/>
  <c r="DB25" i="2"/>
  <c r="DN25" i="2"/>
  <c r="AH25" i="2"/>
  <c r="ED25" i="2"/>
  <c r="DY26" i="2"/>
  <c r="DZ25" i="2"/>
  <c r="EZ25" i="2"/>
  <c r="R26" i="2" l="1"/>
  <c r="EP26" i="2"/>
  <c r="DJ26" i="2"/>
  <c r="AL26" i="2"/>
  <c r="V26" i="2"/>
  <c r="AH26" i="2"/>
  <c r="CP26" i="2"/>
  <c r="AT26" i="2"/>
  <c r="BF26" i="2"/>
  <c r="EX26" i="2"/>
  <c r="DF26" i="2"/>
  <c r="CH26" i="2"/>
  <c r="ED26" i="2"/>
  <c r="CT26" i="2"/>
  <c r="BZ26" i="2"/>
  <c r="DR26" i="2"/>
  <c r="AD26" i="2"/>
  <c r="BB26" i="2"/>
  <c r="DV26" i="2"/>
  <c r="Z26" i="2"/>
  <c r="DB26" i="2"/>
  <c r="ET26" i="2"/>
  <c r="AP26" i="2"/>
  <c r="J26" i="2"/>
  <c r="EH26" i="2"/>
  <c r="DN26" i="2"/>
  <c r="AX26" i="2"/>
  <c r="CX26" i="2"/>
  <c r="CL26" i="2"/>
  <c r="EL26" i="2"/>
  <c r="CD26" i="2"/>
  <c r="N26" i="2"/>
  <c r="EV27" i="2"/>
  <c r="BJ26" i="2"/>
  <c r="DZ26" i="2"/>
  <c r="EZ26" i="2"/>
  <c r="DY27" i="2"/>
  <c r="EZ27" i="2" l="1"/>
  <c r="DZ27" i="2"/>
  <c r="DY28" i="2"/>
  <c r="DF27" i="2"/>
  <c r="CT27" i="2"/>
  <c r="CH27" i="2"/>
  <c r="AH27" i="2"/>
  <c r="BZ27" i="2"/>
  <c r="BJ27" i="2"/>
  <c r="AP27" i="2"/>
  <c r="AL27" i="2"/>
  <c r="BF27" i="2"/>
  <c r="N27" i="2"/>
  <c r="DJ27" i="2"/>
  <c r="CX27" i="2"/>
  <c r="BB27" i="2"/>
  <c r="CD27" i="2"/>
  <c r="DN27" i="2"/>
  <c r="J27" i="2"/>
  <c r="AT27" i="2"/>
  <c r="ED27" i="2"/>
  <c r="AD27" i="2"/>
  <c r="EP27" i="2"/>
  <c r="EL27" i="2"/>
  <c r="AX27" i="2"/>
  <c r="ET27" i="2"/>
  <c r="CL27" i="2"/>
  <c r="Z27" i="2"/>
  <c r="DV27" i="2"/>
  <c r="CP27" i="2"/>
  <c r="DB27" i="2"/>
  <c r="DR27" i="2"/>
  <c r="R27" i="2"/>
  <c r="EV28" i="2"/>
  <c r="V27" i="2"/>
  <c r="EX27" i="2"/>
  <c r="EH27" i="2"/>
  <c r="EZ28" i="2" l="1"/>
  <c r="DZ28" i="2"/>
  <c r="DY29" i="2"/>
  <c r="R28" i="2"/>
  <c r="BF28" i="2"/>
  <c r="AL28" i="2"/>
  <c r="EX28" i="2"/>
  <c r="V28" i="2"/>
  <c r="Z28" i="2"/>
  <c r="AD28" i="2"/>
  <c r="ED28" i="2"/>
  <c r="CL28" i="2"/>
  <c r="CH28" i="2"/>
  <c r="DB28" i="2"/>
  <c r="EL28" i="2"/>
  <c r="CX28" i="2"/>
  <c r="DJ28" i="2"/>
  <c r="BB28" i="2"/>
  <c r="EH28" i="2"/>
  <c r="N28" i="2"/>
  <c r="AH28" i="2"/>
  <c r="AX28" i="2"/>
  <c r="DN28" i="2"/>
  <c r="ET28" i="2"/>
  <c r="AT28" i="2"/>
  <c r="CP28" i="2"/>
  <c r="BJ28" i="2"/>
  <c r="BZ28" i="2"/>
  <c r="CT28" i="2"/>
  <c r="EP28" i="2"/>
  <c r="DF28" i="2"/>
  <c r="J28" i="2"/>
  <c r="CD28" i="2"/>
  <c r="DR28" i="2"/>
  <c r="AP28" i="2"/>
  <c r="DV28" i="2"/>
  <c r="EV29" i="2"/>
  <c r="DF29" i="2" l="1"/>
  <c r="AL29" i="2"/>
  <c r="BJ29" i="2"/>
  <c r="CD29" i="2"/>
  <c r="CP29" i="2"/>
  <c r="AH29" i="2"/>
  <c r="BB29" i="2"/>
  <c r="EH29" i="2"/>
  <c r="R29" i="2"/>
  <c r="Z29" i="2"/>
  <c r="CH29" i="2"/>
  <c r="J29" i="2"/>
  <c r="ET29" i="2"/>
  <c r="EX29" i="2"/>
  <c r="CX29" i="2"/>
  <c r="AX29" i="2"/>
  <c r="AD29" i="2"/>
  <c r="AT29" i="2"/>
  <c r="DV29" i="2"/>
  <c r="DB29" i="2"/>
  <c r="CT29" i="2"/>
  <c r="BZ29" i="2"/>
  <c r="EP29" i="2"/>
  <c r="N29" i="2"/>
  <c r="EL29" i="2"/>
  <c r="CL29" i="2"/>
  <c r="BF29" i="2"/>
  <c r="DR29" i="2"/>
  <c r="EV30" i="2"/>
  <c r="AP29" i="2"/>
  <c r="ED29" i="2"/>
  <c r="DN29" i="2"/>
  <c r="V29" i="2"/>
  <c r="DJ29" i="2"/>
  <c r="DZ29" i="2"/>
  <c r="EZ29" i="2"/>
  <c r="DY30" i="2"/>
  <c r="AL30" i="2" l="1"/>
  <c r="DJ30" i="2"/>
  <c r="EX30" i="2"/>
  <c r="ET30" i="2"/>
  <c r="BF30" i="2"/>
  <c r="DV30" i="2"/>
  <c r="CP30" i="2"/>
  <c r="EL30" i="2"/>
  <c r="CH30" i="2"/>
  <c r="AP30" i="2"/>
  <c r="N30" i="2"/>
  <c r="CL30" i="2"/>
  <c r="CD30" i="2"/>
  <c r="AT30" i="2"/>
  <c r="Z30" i="2"/>
  <c r="DF30" i="2"/>
  <c r="AX30" i="2"/>
  <c r="DR30" i="2"/>
  <c r="DN30" i="2"/>
  <c r="AD30" i="2"/>
  <c r="BJ30" i="2"/>
  <c r="DB30" i="2"/>
  <c r="R30" i="2"/>
  <c r="ED30" i="2"/>
  <c r="AH30" i="2"/>
  <c r="CT30" i="2"/>
  <c r="CX30" i="2"/>
  <c r="EP30" i="2"/>
  <c r="BB30" i="2"/>
  <c r="BZ30" i="2"/>
  <c r="EH30" i="2"/>
  <c r="J30" i="2"/>
  <c r="V30" i="2"/>
  <c r="EV31" i="2"/>
  <c r="DZ30" i="2"/>
  <c r="DY31" i="2"/>
  <c r="EZ30" i="2"/>
  <c r="DZ31" i="2" l="1"/>
  <c r="EZ31" i="2"/>
  <c r="DY32" i="2"/>
  <c r="BF31" i="2"/>
  <c r="Z31" i="2"/>
  <c r="DJ31" i="2"/>
  <c r="V31" i="2"/>
  <c r="DN31" i="2"/>
  <c r="DB31" i="2"/>
  <c r="CT31" i="2"/>
  <c r="AL31" i="2"/>
  <c r="BZ31" i="2"/>
  <c r="AD31" i="2"/>
  <c r="N31" i="2"/>
  <c r="CD31" i="2"/>
  <c r="AX31" i="2"/>
  <c r="DR31" i="2"/>
  <c r="AH31" i="2"/>
  <c r="BJ31" i="2"/>
  <c r="ET31" i="2"/>
  <c r="CL31" i="2"/>
  <c r="BB31" i="2"/>
  <c r="CX31" i="2"/>
  <c r="DV31" i="2"/>
  <c r="EX31" i="2"/>
  <c r="R31" i="2"/>
  <c r="J31" i="2"/>
  <c r="CP31" i="2"/>
  <c r="CH31" i="2"/>
  <c r="EL31" i="2"/>
  <c r="EH31" i="2"/>
  <c r="DF31" i="2"/>
  <c r="ED31" i="2"/>
  <c r="EV32" i="2"/>
  <c r="EP31" i="2"/>
  <c r="AP31" i="2"/>
  <c r="AT31" i="2"/>
  <c r="EH32" i="2" l="1"/>
  <c r="CX32" i="2"/>
  <c r="AP32" i="2"/>
  <c r="DB32" i="2"/>
  <c r="BZ32" i="2"/>
  <c r="EL32" i="2"/>
  <c r="ED32" i="2"/>
  <c r="V32" i="2"/>
  <c r="CP32" i="2"/>
  <c r="AD32" i="2"/>
  <c r="EX32" i="2"/>
  <c r="AT32" i="2"/>
  <c r="DR32" i="2"/>
  <c r="BB32" i="2"/>
  <c r="DV32" i="2"/>
  <c r="EP32" i="2"/>
  <c r="BJ32" i="2"/>
  <c r="N32" i="2"/>
  <c r="CH32" i="2"/>
  <c r="BF32" i="2"/>
  <c r="DF32" i="2"/>
  <c r="CD32" i="2"/>
  <c r="CL32" i="2"/>
  <c r="R32" i="2"/>
  <c r="AX32" i="2"/>
  <c r="ET32" i="2"/>
  <c r="DN32" i="2"/>
  <c r="J32" i="2"/>
  <c r="AH32" i="2"/>
  <c r="AL32" i="2"/>
  <c r="EV33" i="2"/>
  <c r="DJ32" i="2"/>
  <c r="CT32" i="2"/>
  <c r="Z32" i="2"/>
  <c r="DY33" i="2"/>
  <c r="DZ32" i="2"/>
  <c r="EZ32" i="2"/>
  <c r="EL33" i="2" l="1"/>
  <c r="CH33" i="2"/>
  <c r="V33" i="2"/>
  <c r="ED33" i="2"/>
  <c r="DJ33" i="2"/>
  <c r="CD33" i="2"/>
  <c r="BZ33" i="2"/>
  <c r="N33" i="2"/>
  <c r="AD33" i="2"/>
  <c r="CX33" i="2"/>
  <c r="ET33" i="2"/>
  <c r="BB33" i="2"/>
  <c r="J33" i="2"/>
  <c r="DF33" i="2"/>
  <c r="DN33" i="2"/>
  <c r="BJ33" i="2"/>
  <c r="EH33" i="2"/>
  <c r="DV33" i="2"/>
  <c r="R33" i="2"/>
  <c r="EP33" i="2"/>
  <c r="AL33" i="2"/>
  <c r="CL33" i="2"/>
  <c r="AH33" i="2"/>
  <c r="BF33" i="2"/>
  <c r="AT33" i="2"/>
  <c r="DB33" i="2"/>
  <c r="Z33" i="2"/>
  <c r="DR33" i="2"/>
  <c r="CP33" i="2"/>
  <c r="EV34" i="2"/>
  <c r="AP33" i="2"/>
  <c r="CT33" i="2"/>
  <c r="EX33" i="2"/>
  <c r="AX33" i="2"/>
  <c r="DZ33" i="2"/>
  <c r="EZ33" i="2"/>
  <c r="DY34" i="2"/>
  <c r="BZ34" i="2" l="1"/>
  <c r="CP34" i="2"/>
  <c r="CT34" i="2"/>
  <c r="DR34" i="2"/>
  <c r="DV34" i="2"/>
  <c r="R34" i="2"/>
  <c r="DJ34" i="2"/>
  <c r="AT34" i="2"/>
  <c r="DN34" i="2"/>
  <c r="V34" i="2"/>
  <c r="BF34" i="2"/>
  <c r="CL34" i="2"/>
  <c r="ED34" i="2"/>
  <c r="J34" i="2"/>
  <c r="DB34" i="2"/>
  <c r="AH34" i="2"/>
  <c r="BJ34" i="2"/>
  <c r="Z34" i="2"/>
  <c r="ET34" i="2"/>
  <c r="EL34" i="2"/>
  <c r="AD34" i="2"/>
  <c r="CD34" i="2"/>
  <c r="DF34" i="2"/>
  <c r="EH34" i="2"/>
  <c r="EP34" i="2"/>
  <c r="EX34" i="2"/>
  <c r="CH34" i="2"/>
  <c r="N34" i="2"/>
  <c r="AL34" i="2"/>
  <c r="AP34" i="2"/>
  <c r="AX34" i="2"/>
  <c r="BB34" i="2"/>
  <c r="EV35" i="2"/>
  <c r="CX34" i="2"/>
  <c r="DZ34" i="2"/>
  <c r="EZ34" i="2"/>
  <c r="DY35" i="2"/>
  <c r="EZ35" i="2" l="1"/>
  <c r="DZ35" i="2"/>
  <c r="DY36" i="2"/>
  <c r="BZ35" i="2"/>
  <c r="CD35" i="2"/>
  <c r="J35" i="2"/>
  <c r="BF35" i="2"/>
  <c r="EP35" i="2"/>
  <c r="R35" i="2"/>
  <c r="AL35" i="2"/>
  <c r="CT35" i="2"/>
  <c r="V35" i="2"/>
  <c r="AT35" i="2"/>
  <c r="AD35" i="2"/>
  <c r="CH35" i="2"/>
  <c r="DV35" i="2"/>
  <c r="EX35" i="2"/>
  <c r="DJ35" i="2"/>
  <c r="DR35" i="2"/>
  <c r="BB35" i="2"/>
  <c r="AH35" i="2"/>
  <c r="ED35" i="2"/>
  <c r="EH35" i="2"/>
  <c r="DF35" i="2"/>
  <c r="Z35" i="2"/>
  <c r="CX35" i="2"/>
  <c r="DB35" i="2"/>
  <c r="AP35" i="2"/>
  <c r="CL35" i="2"/>
  <c r="CP35" i="2"/>
  <c r="ET35" i="2"/>
  <c r="N35" i="2"/>
  <c r="EV36" i="2"/>
  <c r="AX35" i="2"/>
  <c r="EL35" i="2"/>
  <c r="DN35" i="2"/>
  <c r="BJ35" i="2"/>
  <c r="EZ36" i="2" l="1"/>
  <c r="DZ36" i="2"/>
  <c r="DY37" i="2"/>
  <c r="CT36" i="2"/>
  <c r="AD36" i="2"/>
  <c r="EH36" i="2"/>
  <c r="BJ36" i="2"/>
  <c r="V36" i="2"/>
  <c r="N36" i="2"/>
  <c r="BB36" i="2"/>
  <c r="EX36" i="2"/>
  <c r="AP36" i="2"/>
  <c r="AX36" i="2"/>
  <c r="DV36" i="2"/>
  <c r="BZ36" i="2"/>
  <c r="EL36" i="2"/>
  <c r="J36" i="2"/>
  <c r="DJ36" i="2"/>
  <c r="DN36" i="2"/>
  <c r="ED36" i="2"/>
  <c r="CL36" i="2"/>
  <c r="ET36" i="2"/>
  <c r="EP36" i="2"/>
  <c r="AT36" i="2"/>
  <c r="DB36" i="2"/>
  <c r="Z36" i="2"/>
  <c r="CX36" i="2"/>
  <c r="AL36" i="2"/>
  <c r="CH36" i="2"/>
  <c r="R36" i="2"/>
  <c r="CP36" i="2"/>
  <c r="BF36" i="2"/>
  <c r="DF36" i="2"/>
  <c r="CD36" i="2"/>
  <c r="DR36" i="2"/>
  <c r="AH36" i="2"/>
  <c r="EV37" i="2"/>
  <c r="DZ37" i="2" l="1"/>
  <c r="EZ37" i="2"/>
  <c r="DY38" i="2"/>
  <c r="BJ37" i="2"/>
  <c r="DJ37" i="2"/>
  <c r="R37" i="2"/>
  <c r="EL37" i="2"/>
  <c r="CD37" i="2"/>
  <c r="DB37" i="2"/>
  <c r="EH37" i="2"/>
  <c r="DF37" i="2"/>
  <c r="CP37" i="2"/>
  <c r="CT37" i="2"/>
  <c r="AD37" i="2"/>
  <c r="CX37" i="2"/>
  <c r="AP37" i="2"/>
  <c r="DV37" i="2"/>
  <c r="AX37" i="2"/>
  <c r="AT37" i="2"/>
  <c r="CL37" i="2"/>
  <c r="EP37" i="2"/>
  <c r="CH37" i="2"/>
  <c r="BF37" i="2"/>
  <c r="Z37" i="2"/>
  <c r="ED37" i="2"/>
  <c r="V37" i="2"/>
  <c r="AH37" i="2"/>
  <c r="N37" i="2"/>
  <c r="DR37" i="2"/>
  <c r="DN37" i="2"/>
  <c r="BZ37" i="2"/>
  <c r="EV38" i="2"/>
  <c r="AL37" i="2"/>
  <c r="EX37" i="2"/>
  <c r="BB37" i="2"/>
  <c r="ET37" i="2"/>
  <c r="J37" i="2"/>
  <c r="AH38" i="2" l="1"/>
  <c r="CD38" i="2"/>
  <c r="J38" i="2"/>
  <c r="V38" i="2"/>
  <c r="R38" i="2"/>
  <c r="EP38" i="2"/>
  <c r="AL38" i="2"/>
  <c r="DN38" i="2"/>
  <c r="N38" i="2"/>
  <c r="CL38" i="2"/>
  <c r="ET38" i="2"/>
  <c r="Z38" i="2"/>
  <c r="DR38" i="2"/>
  <c r="CP38" i="2"/>
  <c r="EX38" i="2"/>
  <c r="AX38" i="2"/>
  <c r="CH38" i="2"/>
  <c r="EH38" i="2"/>
  <c r="AT38" i="2"/>
  <c r="BJ38" i="2"/>
  <c r="EL38" i="2"/>
  <c r="AP38" i="2"/>
  <c r="ED38" i="2"/>
  <c r="BF38" i="2"/>
  <c r="CX38" i="2"/>
  <c r="DF38" i="2"/>
  <c r="BB38" i="2"/>
  <c r="AD38" i="2"/>
  <c r="DB38" i="2"/>
  <c r="DV38" i="2"/>
  <c r="CT38" i="2"/>
  <c r="EV39" i="2"/>
  <c r="BZ38" i="2"/>
  <c r="DJ38" i="2"/>
  <c r="DZ38" i="2"/>
  <c r="EZ38" i="2"/>
  <c r="DY39" i="2"/>
  <c r="ET39" i="2" l="1"/>
  <c r="AD39" i="2"/>
  <c r="J39" i="2"/>
  <c r="CL39" i="2"/>
  <c r="AP39" i="2"/>
  <c r="EL39" i="2"/>
  <c r="CP39" i="2"/>
  <c r="DV39" i="2"/>
  <c r="EH39" i="2"/>
  <c r="DB39" i="2"/>
  <c r="EX39" i="2"/>
  <c r="DJ39" i="2"/>
  <c r="BF39" i="2"/>
  <c r="CD39" i="2"/>
  <c r="N39" i="2"/>
  <c r="AX39" i="2"/>
  <c r="AL39" i="2"/>
  <c r="ED39" i="2"/>
  <c r="BB39" i="2"/>
  <c r="BZ39" i="2"/>
  <c r="CT39" i="2"/>
  <c r="EP39" i="2"/>
  <c r="DF39" i="2"/>
  <c r="CX39" i="2"/>
  <c r="BJ39" i="2"/>
  <c r="V39" i="2"/>
  <c r="R39" i="2"/>
  <c r="DR39" i="2"/>
  <c r="EV40" i="2"/>
  <c r="AH39" i="2"/>
  <c r="DN39" i="2"/>
  <c r="AT39" i="2"/>
  <c r="Z39" i="2"/>
  <c r="CH39" i="2"/>
  <c r="DZ39" i="2"/>
  <c r="EZ39" i="2"/>
  <c r="DY40" i="2"/>
  <c r="DZ40" i="2" l="1"/>
  <c r="EZ40" i="2"/>
  <c r="ET40" i="2"/>
  <c r="AT40" i="2"/>
  <c r="V40" i="2"/>
  <c r="AX40" i="2"/>
  <c r="DB40" i="2"/>
  <c r="EL40" i="2"/>
  <c r="AD40" i="2"/>
  <c r="BJ40" i="2"/>
  <c r="BB40" i="2"/>
  <c r="BZ40" i="2"/>
  <c r="AH40" i="2"/>
  <c r="CL40" i="2"/>
  <c r="CH40" i="2"/>
  <c r="DV40" i="2"/>
  <c r="BF40" i="2"/>
  <c r="DN40" i="2"/>
  <c r="CX40" i="2"/>
  <c r="R40" i="2"/>
  <c r="CP40" i="2"/>
  <c r="Z40" i="2"/>
  <c r="CT40" i="2"/>
  <c r="AL40" i="2"/>
  <c r="J40" i="2"/>
  <c r="EH40" i="2"/>
  <c r="DR40" i="2"/>
  <c r="EP40" i="2"/>
  <c r="CD40" i="2"/>
  <c r="DJ40" i="2"/>
  <c r="EX40" i="2"/>
  <c r="N40" i="2"/>
  <c r="AP40" i="2"/>
  <c r="ED40" i="2"/>
  <c r="DF40" i="2"/>
  <c r="EE41" i="1" l="1"/>
  <c r="EF41" i="1" s="1"/>
  <c r="EF26" i="1"/>
  <c r="EG26" i="1"/>
  <c r="KT26" i="1"/>
  <c r="EG41" i="1" l="1"/>
  <c r="AJ41" i="1" l="1"/>
  <c r="AK32" i="1"/>
  <c r="AL32" i="1"/>
  <c r="KT32" i="1" s="1"/>
  <c r="AK41" i="1" l="1"/>
  <c r="AL41" i="1"/>
  <c r="KV35" i="1" l="1"/>
  <c r="U41" i="1"/>
  <c r="V41" i="1" s="1"/>
  <c r="V35" i="1"/>
  <c r="W35" i="1"/>
  <c r="KT35" i="1" s="1"/>
  <c r="W41" i="1" l="1"/>
  <c r="AB23" i="39" l="1"/>
  <c r="AB15" i="39"/>
  <c r="AB34" i="39"/>
  <c r="AB22" i="39"/>
  <c r="AB11" i="39"/>
  <c r="AB9" i="39"/>
  <c r="AB25" i="39"/>
  <c r="AB37" i="39"/>
  <c r="AB16" i="39"/>
  <c r="AB12" i="39"/>
  <c r="AB38" i="39"/>
  <c r="AB31" i="39"/>
  <c r="AB19" i="39"/>
  <c r="AB36" i="39"/>
  <c r="AB21" i="39"/>
  <c r="AB18" i="39"/>
  <c r="AB10" i="39"/>
  <c r="AB13" i="39"/>
  <c r="AB20" i="39"/>
  <c r="AB33" i="39"/>
  <c r="AB17" i="39"/>
  <c r="AB35" i="39"/>
  <c r="AB32" i="39"/>
  <c r="I49" i="17" l="1"/>
  <c r="AD25" i="39"/>
  <c r="AF25" i="39"/>
  <c r="AF17" i="39"/>
  <c r="AD17" i="39"/>
  <c r="I49" i="25"/>
  <c r="AD13" i="39"/>
  <c r="AF13" i="39"/>
  <c r="I49" i="29"/>
  <c r="AF36" i="39"/>
  <c r="I49" i="6"/>
  <c r="AD36" i="39"/>
  <c r="I49" i="4"/>
  <c r="AD38" i="39"/>
  <c r="AF38" i="39"/>
  <c r="AB24" i="39"/>
  <c r="AD33" i="39"/>
  <c r="I49" i="9"/>
  <c r="AF33" i="39"/>
  <c r="I49" i="32"/>
  <c r="AD10" i="39"/>
  <c r="AF10" i="39"/>
  <c r="AD19" i="39"/>
  <c r="I49" i="23"/>
  <c r="AF19" i="39"/>
  <c r="AB29" i="39"/>
  <c r="AB14" i="39"/>
  <c r="I49" i="26"/>
  <c r="AD16" i="39"/>
  <c r="AF16" i="39"/>
  <c r="AF9" i="39"/>
  <c r="AC9" i="39"/>
  <c r="AD9" i="39"/>
  <c r="AF15" i="39"/>
  <c r="I49" i="28"/>
  <c r="AD15" i="39"/>
  <c r="AB27" i="39"/>
  <c r="I49" i="8"/>
  <c r="AD34" i="39"/>
  <c r="AF34" i="39"/>
  <c r="AB30" i="39"/>
  <c r="AF32" i="39"/>
  <c r="AD32" i="39"/>
  <c r="I49" i="10"/>
  <c r="AD20" i="39"/>
  <c r="I49" i="21"/>
  <c r="AF20" i="39"/>
  <c r="I49" i="24"/>
  <c r="AF18" i="39"/>
  <c r="AD18" i="39"/>
  <c r="AD31" i="39"/>
  <c r="AF31" i="39"/>
  <c r="I49" i="11"/>
  <c r="AB26" i="39"/>
  <c r="I49" i="37"/>
  <c r="AF37" i="39"/>
  <c r="AD37" i="39"/>
  <c r="AF11" i="39"/>
  <c r="I49" i="31"/>
  <c r="AD11" i="39"/>
  <c r="AD23" i="39"/>
  <c r="I49" i="19"/>
  <c r="AF23" i="39"/>
  <c r="AF22" i="39"/>
  <c r="AD22" i="39"/>
  <c r="I49" i="20"/>
  <c r="I49" i="30"/>
  <c r="AD12" i="39"/>
  <c r="AF12" i="39"/>
  <c r="AB28" i="39"/>
  <c r="AF35" i="39"/>
  <c r="AD35" i="39"/>
  <c r="I49" i="7"/>
  <c r="AD21" i="39"/>
  <c r="I49" i="22"/>
  <c r="AF21" i="39"/>
  <c r="AB41" i="39" l="1"/>
  <c r="AD41" i="39" s="1"/>
  <c r="I50" i="28"/>
  <c r="I51" i="28"/>
  <c r="I50" i="23"/>
  <c r="I51" i="23"/>
  <c r="I50" i="25"/>
  <c r="I51" i="25"/>
  <c r="I50" i="19"/>
  <c r="I51" i="19"/>
  <c r="I51" i="26"/>
  <c r="I50" i="26"/>
  <c r="AD24" i="39"/>
  <c r="AF24" i="39"/>
  <c r="I49" i="18"/>
  <c r="I51" i="6"/>
  <c r="I50" i="6"/>
  <c r="I51" i="7"/>
  <c r="I50" i="7"/>
  <c r="AD26" i="39"/>
  <c r="AF26" i="39"/>
  <c r="I49" i="16"/>
  <c r="I51" i="10"/>
  <c r="I50" i="10"/>
  <c r="I50" i="8"/>
  <c r="I51" i="8"/>
  <c r="I51" i="20"/>
  <c r="I50" i="20"/>
  <c r="I49" i="15"/>
  <c r="AF27" i="39"/>
  <c r="AD27" i="39"/>
  <c r="AC10" i="39"/>
  <c r="AG9" i="39"/>
  <c r="AE9" i="39"/>
  <c r="I49" i="13"/>
  <c r="AF29" i="39"/>
  <c r="AD29" i="39"/>
  <c r="I51" i="32"/>
  <c r="I50" i="32"/>
  <c r="J49" i="32"/>
  <c r="J49" i="31" s="1"/>
  <c r="J49" i="30" s="1"/>
  <c r="I51" i="29"/>
  <c r="I50" i="29"/>
  <c r="I51" i="21"/>
  <c r="I50" i="21"/>
  <c r="I51" i="30"/>
  <c r="I50" i="30"/>
  <c r="AF14" i="39"/>
  <c r="I49" i="27"/>
  <c r="AD14" i="39"/>
  <c r="I51" i="31"/>
  <c r="I50" i="31"/>
  <c r="I50" i="24"/>
  <c r="I51" i="24"/>
  <c r="AF28" i="39"/>
  <c r="AD28" i="39"/>
  <c r="I49" i="14"/>
  <c r="AD30" i="39"/>
  <c r="I49" i="12"/>
  <c r="AF30" i="39"/>
  <c r="I50" i="4"/>
  <c r="I51" i="4"/>
  <c r="I50" i="17"/>
  <c r="I51" i="17"/>
  <c r="I51" i="37"/>
  <c r="I50" i="37"/>
  <c r="I50" i="22"/>
  <c r="I51" i="22"/>
  <c r="I51" i="11"/>
  <c r="I50" i="11"/>
  <c r="I50" i="9"/>
  <c r="I51" i="9"/>
  <c r="AF41" i="39" l="1"/>
  <c r="I51" i="12"/>
  <c r="I50" i="12"/>
  <c r="J50" i="31"/>
  <c r="J51" i="31"/>
  <c r="J50" i="32"/>
  <c r="J51" i="32"/>
  <c r="I51" i="16"/>
  <c r="I50" i="16"/>
  <c r="J50" i="30"/>
  <c r="J51" i="30"/>
  <c r="I50" i="14"/>
  <c r="I51" i="14"/>
  <c r="I51" i="18"/>
  <c r="I50" i="18"/>
  <c r="I51" i="27"/>
  <c r="I50" i="27"/>
  <c r="J49" i="29"/>
  <c r="I51" i="15"/>
  <c r="I50" i="15"/>
  <c r="AG10" i="39"/>
  <c r="AE10" i="39"/>
  <c r="AC11" i="39"/>
  <c r="I50" i="13"/>
  <c r="I51" i="13"/>
  <c r="J51" i="29" l="1"/>
  <c r="J50" i="29"/>
  <c r="J49" i="27"/>
  <c r="AG11" i="39"/>
  <c r="AE11" i="39"/>
  <c r="AC12" i="39"/>
  <c r="AG12" i="39" l="1"/>
  <c r="AE12" i="39"/>
  <c r="AC13" i="39"/>
  <c r="J51" i="27"/>
  <c r="J50" i="27"/>
  <c r="J49" i="28"/>
  <c r="AG13" i="39" l="1"/>
  <c r="AE13" i="39"/>
  <c r="AC14" i="39"/>
  <c r="J50" i="28"/>
  <c r="J51" i="28"/>
  <c r="J49" i="26"/>
  <c r="AE14" i="39" l="1"/>
  <c r="AG14" i="39"/>
  <c r="AC15" i="39"/>
  <c r="J51" i="26"/>
  <c r="J50" i="26"/>
  <c r="J49" i="25"/>
  <c r="AE15" i="39" l="1"/>
  <c r="AG15" i="39"/>
  <c r="AC16" i="39"/>
  <c r="J50" i="25"/>
  <c r="J51" i="25"/>
  <c r="J49" i="24"/>
  <c r="AG16" i="39" l="1"/>
  <c r="AE16" i="39"/>
  <c r="AC17" i="39"/>
  <c r="J50" i="24"/>
  <c r="J51" i="24"/>
  <c r="J49" i="23"/>
  <c r="J51" i="23" l="1"/>
  <c r="J50" i="23"/>
  <c r="J49" i="21"/>
  <c r="AE17" i="39"/>
  <c r="AG17" i="39"/>
  <c r="AC18" i="39"/>
  <c r="J51" i="21" l="1"/>
  <c r="J50" i="21"/>
  <c r="J49" i="22"/>
  <c r="AE18" i="39"/>
  <c r="AG18" i="39"/>
  <c r="AC19" i="39"/>
  <c r="AE19" i="39" l="1"/>
  <c r="AG19" i="39"/>
  <c r="AC20" i="39"/>
  <c r="J50" i="22"/>
  <c r="J51" i="22"/>
  <c r="J49" i="20"/>
  <c r="J51" i="20" l="1"/>
  <c r="J50" i="20"/>
  <c r="J49" i="19"/>
  <c r="AE20" i="39"/>
  <c r="AG20" i="39"/>
  <c r="AC21" i="39"/>
  <c r="AG21" i="39" l="1"/>
  <c r="AE21" i="39"/>
  <c r="AC22" i="39"/>
  <c r="J51" i="19"/>
  <c r="J50" i="19"/>
  <c r="J49" i="18"/>
  <c r="J51" i="18" l="1"/>
  <c r="J50" i="18"/>
  <c r="J49" i="17"/>
  <c r="AG22" i="39"/>
  <c r="AE22" i="39"/>
  <c r="AC23" i="39"/>
  <c r="AG23" i="39" l="1"/>
  <c r="AE23" i="39"/>
  <c r="AC24" i="39"/>
  <c r="J50" i="17"/>
  <c r="J51" i="17"/>
  <c r="J49" i="16"/>
  <c r="J50" i="16" l="1"/>
  <c r="J51" i="16"/>
  <c r="J49" i="15"/>
  <c r="AE24" i="39"/>
  <c r="AG24" i="39"/>
  <c r="AC25" i="39"/>
  <c r="AE25" i="39" l="1"/>
  <c r="AG25" i="39"/>
  <c r="AC26" i="39"/>
  <c r="J50" i="15"/>
  <c r="J51" i="15"/>
  <c r="J49" i="14"/>
  <c r="J51" i="14" l="1"/>
  <c r="J50" i="14"/>
  <c r="J49" i="13"/>
  <c r="AE26" i="39"/>
  <c r="AG26" i="39"/>
  <c r="AC27" i="39"/>
  <c r="AG27" i="39" l="1"/>
  <c r="AE27" i="39"/>
  <c r="AC28" i="39"/>
  <c r="J51" i="13"/>
  <c r="J50" i="13"/>
  <c r="J49" i="12"/>
  <c r="J50" i="12" l="1"/>
  <c r="J51" i="12"/>
  <c r="J49" i="11"/>
  <c r="AG28" i="39"/>
  <c r="AE28" i="39"/>
  <c r="AC29" i="39"/>
  <c r="AE29" i="39" l="1"/>
  <c r="AG29" i="39"/>
  <c r="AC30" i="39"/>
  <c r="J50" i="11"/>
  <c r="J51" i="11"/>
  <c r="J49" i="10"/>
  <c r="J51" i="10" l="1"/>
  <c r="J50" i="10"/>
  <c r="J49" i="9"/>
  <c r="AE30" i="39"/>
  <c r="AG30" i="39"/>
  <c r="AC31" i="39"/>
  <c r="AG31" i="39" l="1"/>
  <c r="AE31" i="39"/>
  <c r="AC32" i="39"/>
  <c r="J51" i="9"/>
  <c r="J50" i="9"/>
  <c r="J49" i="8"/>
  <c r="J51" i="8" l="1"/>
  <c r="J50" i="8"/>
  <c r="J49" i="7"/>
  <c r="AE32" i="39"/>
  <c r="AG32" i="39"/>
  <c r="AC33" i="39"/>
  <c r="AG33" i="39" l="1"/>
  <c r="AE33" i="39"/>
  <c r="AC34" i="39"/>
  <c r="J51" i="7"/>
  <c r="J50" i="7"/>
  <c r="J49" i="6"/>
  <c r="J51" i="6" l="1"/>
  <c r="J50" i="6"/>
  <c r="J49" i="37"/>
  <c r="AG34" i="39"/>
  <c r="AE34" i="39"/>
  <c r="AC35" i="39"/>
  <c r="AE35" i="39" l="1"/>
  <c r="AG35" i="39"/>
  <c r="AC36" i="39"/>
  <c r="J51" i="37"/>
  <c r="J50" i="37"/>
  <c r="J49" i="4"/>
  <c r="J49" i="43" l="1"/>
  <c r="J51" i="4"/>
  <c r="J50" i="4"/>
  <c r="AG36" i="39"/>
  <c r="AE36" i="39"/>
  <c r="AC37" i="39"/>
  <c r="AE37" i="39" l="1"/>
  <c r="AG37" i="39"/>
  <c r="AC38" i="39"/>
  <c r="J51" i="43"/>
  <c r="J50" i="43"/>
  <c r="AC39" i="39" l="1"/>
  <c r="AE38" i="39"/>
  <c r="AG38" i="39"/>
  <c r="AG39" i="39" l="1"/>
  <c r="AE39" i="39"/>
  <c r="KV37" i="1" l="1"/>
  <c r="O41" i="1"/>
  <c r="KV41" i="1" s="1"/>
  <c r="Q37" i="1"/>
  <c r="KT37" i="1" s="1"/>
  <c r="P37" i="1"/>
  <c r="Q41" i="1" l="1"/>
  <c r="KT41" i="1" s="1"/>
  <c r="P41" i="1"/>
</calcChain>
</file>

<file path=xl/comments1.xml><?xml version="1.0" encoding="utf-8"?>
<comments xmlns="http://schemas.openxmlformats.org/spreadsheetml/2006/main">
  <authors>
    <author>win10</author>
  </authors>
  <commentList>
    <comment ref="H37" authorId="0" shapeId="0">
      <text>
        <r>
          <rPr>
            <b/>
            <sz val="9"/>
            <color indexed="81"/>
            <rFont val="Tahoma"/>
            <family val="2"/>
          </rPr>
          <t>win10:</t>
        </r>
        <r>
          <rPr>
            <sz val="9"/>
            <color indexed="81"/>
            <rFont val="Tahoma"/>
            <family val="2"/>
          </rPr>
          <t xml:space="preserve">
minta thickness tinggi &gt;0,85</t>
        </r>
      </text>
    </comment>
  </commentList>
</comments>
</file>

<file path=xl/comments2.xml><?xml version="1.0" encoding="utf-8"?>
<comments xmlns="http://schemas.openxmlformats.org/spreadsheetml/2006/main">
  <authors>
    <author>win10</author>
  </authors>
  <commentList>
    <comment ref="H37" authorId="0" shapeId="0">
      <text>
        <r>
          <rPr>
            <b/>
            <sz val="9"/>
            <color indexed="81"/>
            <rFont val="Tahoma"/>
            <family val="2"/>
          </rPr>
          <t>win10:</t>
        </r>
        <r>
          <rPr>
            <sz val="9"/>
            <color indexed="81"/>
            <rFont val="Tahoma"/>
            <family val="2"/>
          </rPr>
          <t xml:space="preserve">
minta thickness tinggi &gt;0,85</t>
        </r>
      </text>
    </comment>
  </commentList>
</comments>
</file>

<file path=xl/sharedStrings.xml><?xml version="1.0" encoding="utf-8"?>
<sst xmlns="http://schemas.openxmlformats.org/spreadsheetml/2006/main" count="6401" uniqueCount="731">
  <si>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</si>
  <si>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</si>
  <si>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</si>
  <si>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</si>
  <si>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</si>
  <si>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</si>
  <si>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</si>
  <si>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</si>
  <si>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</si>
  <si>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</si>
  <si>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</si>
  <si>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</si>
  <si>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</si>
  <si>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</si>
  <si>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</si>
  <si>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</si>
  <si>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</si>
  <si>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</si>
  <si>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</si>
  <si>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</si>
  <si>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</si>
  <si>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</si>
  <si>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</si>
  <si>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</si>
  <si>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</si>
  <si>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</si>
  <si>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</si>
  <si>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</si>
  <si>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</si>
  <si>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</si>
  <si>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</si>
  <si>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</si>
  <si>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</si>
  <si>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</si>
  <si>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</si>
  <si>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</si>
  <si>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</si>
  <si>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</si>
  <si>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</si>
  <si>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</si>
  <si>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</si>
  <si>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</si>
  <si>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</si>
  <si>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</si>
  <si>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</si>
  <si>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</si>
  <si>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</si>
  <si>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</si>
  <si>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</si>
  <si>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</si>
  <si>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</si>
  <si>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</si>
  <si>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</si>
  <si>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</si>
  <si>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</si>
  <si>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</si>
  <si>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</si>
  <si>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</si>
  <si>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</si>
  <si>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</si>
  <si>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</si>
  <si>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</si>
  <si>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</si>
  <si>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</si>
  <si>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</si>
  <si>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</si>
  <si>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</si>
  <si>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</si>
  <si>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</si>
  <si>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</si>
  <si>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</si>
  <si>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</si>
  <si>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</si>
  <si>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</si>
  <si>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</si>
  <si>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</si>
  <si>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</si>
  <si>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</si>
  <si>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</si>
  <si>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</si>
  <si>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</si>
  <si>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</si>
  <si>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</si>
  <si>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</si>
  <si>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</si>
  <si>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</si>
  <si>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</si>
  <si>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</si>
  <si>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</si>
  <si>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</si>
  <si>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</si>
  <si>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</si>
  <si>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</si>
  <si>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</si>
  <si>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</si>
  <si>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</si>
  <si>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</si>
  <si>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</si>
  <si>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</si>
  <si>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</si>
  <si>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</si>
  <si>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</si>
  <si>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</si>
  <si>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</si>
  <si>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</si>
  <si>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</si>
  <si>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</si>
  <si>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</si>
  <si>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</si>
  <si>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</si>
  <si>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</si>
  <si>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</si>
  <si>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</si>
  <si>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</si>
  <si>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</si>
  <si>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</si>
  <si>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</si>
  <si>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</si>
  <si>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</si>
  <si>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</si>
  <si>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</si>
  <si>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</si>
  <si>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</si>
  <si>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</si>
  <si>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</si>
  <si>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</si>
  <si>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</si>
  <si>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</si>
  <si>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</si>
  <si>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</si>
  <si>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</si>
  <si>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</si>
  <si>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</si>
  <si>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</si>
  <si>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</si>
  <si>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</si>
  <si>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</si>
  <si>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</si>
  <si>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</si>
  <si>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</si>
  <si>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</si>
  <si>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</si>
  <si>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</si>
  <si>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</si>
  <si>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</si>
  <si>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</si>
  <si>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</si>
  <si>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</si>
  <si>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</si>
  <si>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</si>
  <si>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</si>
  <si>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</si>
  <si>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</si>
  <si>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</si>
  <si>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</si>
  <si>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</si>
  <si>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</si>
  <si>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</si>
  <si>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</si>
  <si>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</si>
  <si>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</si>
  <si>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</si>
  <si>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</si>
  <si>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</si>
  <si>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</si>
  <si>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</si>
  <si>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</si>
  <si>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</si>
  <si>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</si>
  <si>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</si>
  <si>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</si>
  <si>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</si>
  <si>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</si>
  <si>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</si>
  <si>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</si>
  <si>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</si>
  <si>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</si>
  <si>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</si>
  <si>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</si>
  <si>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</si>
  <si>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</si>
  <si>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</si>
  <si>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</si>
  <si>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</si>
  <si>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</si>
  <si>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</si>
  <si>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</si>
  <si>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</si>
  <si>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</si>
  <si>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</si>
  <si>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</si>
  <si>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</si>
  <si>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</si>
  <si>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</si>
  <si>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</si>
  <si>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</si>
  <si>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</si>
  <si>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</si>
  <si>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</si>
  <si>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</si>
  <si>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</si>
  <si>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</si>
  <si>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</si>
  <si>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</si>
  <si>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</si>
  <si>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</si>
  <si>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</si>
  <si>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</si>
  <si>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</si>
  <si>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</si>
  <si>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</si>
  <si>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</si>
  <si>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</si>
  <si>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</si>
  <si>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</si>
  <si>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</si>
  <si>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</si>
  <si>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</si>
  <si>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</si>
  <si>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</si>
  <si>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</si>
  <si>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</si>
  <si>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</si>
  <si>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</si>
  <si>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</si>
  <si>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</si>
  <si>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</si>
  <si>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</si>
  <si>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</si>
  <si>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</si>
  <si>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</si>
  <si>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</si>
  <si>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CONVERTING</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</si>
  <si>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</si>
  <si>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</si>
  <si>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</si>
  <si>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</si>
  <si>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</si>
  <si>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</si>
  <si>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</si>
  <si>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</si>
  <si>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</si>
  <si>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</si>
  <si>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</si>
  <si>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</si>
  <si>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</si>
  <si>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</si>
  <si>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</si>
  <si>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</si>
  <si>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</si>
  <si>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</si>
  <si>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</si>
  <si>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</si>
  <si>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</si>
  <si>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</si>
  <si>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</si>
  <si>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</si>
  <si>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</si>
  <si>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</si>
  <si>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</si>
  <si>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</si>
  <si>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</si>
  <si>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</si>
  <si>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</si>
  <si>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</si>
  <si>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</si>
  <si>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</si>
  <si>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</si>
  <si>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</si>
  <si>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</si>
  <si>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</si>
  <si>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</si>
  <si>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</si>
  <si>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</si>
  <si>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</si>
  <si>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</si>
  <si>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</si>
  <si>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</si>
  <si>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</si>
  <si>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</si>
  <si>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</si>
  <si>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</si>
  <si>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</si>
  <si>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MERCER</t>
  </si>
  <si>
    <t>TOTAL BB Recycle</t>
  </si>
  <si>
    <t>Reject Roll</t>
  </si>
  <si>
    <t>Encore T</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</si>
  <si>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</si>
  <si>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</si>
  <si>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</si>
  <si>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</si>
  <si>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</si>
  <si>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</si>
  <si>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</si>
  <si>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</si>
  <si>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</si>
  <si>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</si>
  <si>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</si>
  <si>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</si>
  <si>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</si>
  <si>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</si>
  <si>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</si>
  <si>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</si>
  <si>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</si>
  <si>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</si>
  <si>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</si>
  <si>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</si>
  <si>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</si>
  <si>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</si>
  <si>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</si>
  <si>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</si>
  <si>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</si>
  <si>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</si>
  <si>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</si>
  <si>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</si>
  <si>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</si>
  <si>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</si>
  <si>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</si>
  <si>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</si>
  <si>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</si>
  <si>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</si>
  <si>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</si>
  <si>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</si>
  <si>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</si>
  <si>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</si>
  <si>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</si>
  <si>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</si>
  <si>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</si>
  <si>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</si>
  <si>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</si>
  <si>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</si>
  <si>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</si>
  <si>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</si>
  <si>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</si>
  <si>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</si>
  <si>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</si>
  <si>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</si>
  <si>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</si>
  <si>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</si>
  <si>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</si>
  <si>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</si>
  <si>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</si>
  <si>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</si>
  <si>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</si>
  <si>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</si>
  <si>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</si>
  <si>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</si>
  <si>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</si>
  <si>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</si>
  <si>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</si>
  <si>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</si>
  <si>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</si>
  <si>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</si>
  <si>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</si>
  <si>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</si>
  <si>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</si>
  <si>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</si>
  <si>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</si>
  <si>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</si>
  <si>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</si>
  <si>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</si>
  <si>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</si>
  <si>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</si>
  <si>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</si>
  <si>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</si>
  <si>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</si>
  <si>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</si>
  <si>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</si>
  <si>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</si>
  <si>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</si>
  <si>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</si>
  <si>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TOTAL LBKP</t>
  </si>
  <si>
    <t>Steam, &amp; gangguan sinergy (X)</t>
  </si>
  <si>
    <t>Freq, Trip PLN (X)</t>
  </si>
  <si>
    <t>Cleaning Holes (X)</t>
  </si>
  <si>
    <t>Per hari</t>
  </si>
  <si>
    <t>LBKP HOWE/HSPP</t>
  </si>
  <si>
    <t>Seset Warna blm ACC</t>
  </si>
  <si>
    <t>LBKP CAKRAWALA</t>
  </si>
  <si>
    <t>DFR 810S</t>
  </si>
  <si>
    <t>Pot Serabut</t>
  </si>
  <si>
    <t>NBKP Crofton/Catalyst</t>
  </si>
  <si>
    <t>Total PM15</t>
  </si>
  <si>
    <t xml:space="preserve">PM15 Efficiency Report </t>
  </si>
  <si>
    <t>PM 15</t>
  </si>
  <si>
    <t>Kehilangan Effisiensi PM 15 terdiri dari:</t>
  </si>
  <si>
    <t>CHEMICAL DAILY REPORT PM 15</t>
  </si>
  <si>
    <t>PULP AND BROKE DAILY REPORT PM 15</t>
  </si>
  <si>
    <t>PM 15 Summary</t>
  </si>
  <si>
    <t>PM 15 Running Time</t>
  </si>
  <si>
    <t>- Sheet Breaks (0x)</t>
  </si>
  <si>
    <t>PAPER MACHINE 15 DAILY REPORT 1</t>
  </si>
  <si>
    <t>Deinking</t>
  </si>
  <si>
    <t>Trafo 3000 (barat)</t>
  </si>
  <si>
    <t>Trafo 3000 (Timur)</t>
  </si>
  <si>
    <t>Rewinder tengah</t>
  </si>
  <si>
    <t>0</t>
  </si>
  <si>
    <t>- Change Spool (10x)</t>
  </si>
  <si>
    <t>- Change Blade (6x)</t>
  </si>
  <si>
    <t>SUZANO</t>
  </si>
  <si>
    <t>Change Grade/Cleaning</t>
  </si>
  <si>
    <t>SS</t>
  </si>
  <si>
    <t>PHP PM</t>
  </si>
  <si>
    <t xml:space="preserve">PM15 Efficiency Running Report </t>
  </si>
  <si>
    <t>.11.25</t>
  </si>
  <si>
    <t>NOVEMBER</t>
  </si>
  <si>
    <t>- Awal Shift PM Produksi  T14
Speed actual/ crepe : 1200 mpm/23%</t>
  </si>
  <si>
    <t>- Awal Shift PM Produksi T13.5/T14
Speed : 1220 mpm/23%</t>
  </si>
  <si>
    <t>20.20 change grade T14 speed 1220/23%</t>
  </si>
  <si>
    <t>- Awal Shift PM Produksi  T 13,5
Speed: 1220 mpm / 23%</t>
  </si>
  <si>
    <t>Pm 
11.57 Change grade T14 speed 1200/-23
13.11 Change grade T13,5 speed 1220/-23%</t>
  </si>
  <si>
    <t>- Awal Shift PM Produksi T13.5
Speed actual/ crepe : 1220 mpm/23%</t>
  </si>
  <si>
    <t>- awal shift pm stop JR hole cleaning felt &amp; wire
- 16.35 pm persiapan jalan
- 16.45 pm stock on
- 16.55 pm on reel, su turun JR acc</t>
  </si>
  <si>
    <t>- Awal Shift PM Produksi  T14
Speed: 1170 mpm / 23%</t>
  </si>
  <si>
    <t>08.55 Change grade T13,5 speed 1200/-23%
12.30 jr turun terdapat hole di sisi ds, pin hole acak , speed turun 1050mpm
14.35 Pm stop, cleaning sambil jalan TDK ada perubahan. 
Felt siram solar dan sikat felt
Drain couch pit</t>
  </si>
  <si>
    <t>T 13,5</t>
  </si>
  <si>
    <t>T 14</t>
  </si>
  <si>
    <t>- Awal Shift PM Produksi T13.5
Speed : 1150 mpm/23%</t>
  </si>
  <si>
    <t>1220/939,4</t>
  </si>
  <si>
    <t>1150/885,5</t>
  </si>
  <si>
    <t>1192/918,16</t>
  </si>
  <si>
    <t>1190,69/916,83</t>
  </si>
  <si>
    <t>- Change Blade (5x)</t>
  </si>
  <si>
    <t>- Change Spool (11x)</t>
  </si>
  <si>
    <t>- Change Blade (2x)</t>
  </si>
  <si>
    <t>- Change Spool (8x)</t>
  </si>
  <si>
    <t>- Change Blade (4x)</t>
  </si>
  <si>
    <t>- Change Spool (9x)</t>
  </si>
  <si>
    <t>1216,92/937,03</t>
  </si>
  <si>
    <t>- Change Blade (3x)</t>
  </si>
  <si>
    <t>1218,97/938,61</t>
  </si>
  <si>
    <t>Toilet</t>
  </si>
  <si>
    <t>14/13,5</t>
  </si>
  <si>
    <t>13,5/14</t>
  </si>
  <si>
    <t>RC HW</t>
  </si>
  <si>
    <t>- Change Blade (11x)</t>
  </si>
  <si>
    <t>- Change Spool (28x)</t>
  </si>
  <si>
    <t xml:space="preserve">- 14.35 Pm stop, cleaning sambil jalan TDK ada perubahan. </t>
  </si>
  <si>
    <t>- Change Blade (10x)</t>
  </si>
  <si>
    <t>WPL</t>
  </si>
  <si>
    <t>POWER WPL (kWh)</t>
  </si>
  <si>
    <t xml:space="preserve">T 13,5 </t>
  </si>
  <si>
    <t>274*1</t>
  </si>
  <si>
    <t>137*2</t>
  </si>
  <si>
    <t>Agus K</t>
  </si>
  <si>
    <t>Hadi F</t>
  </si>
  <si>
    <t>Erwin R</t>
  </si>
  <si>
    <t>T 14 RC HW</t>
  </si>
  <si>
    <t>T 13,5 RC HW</t>
  </si>
  <si>
    <t>TWS + Core</t>
  </si>
  <si>
    <t>CVT Broke</t>
  </si>
  <si>
    <t>RR PPIC</t>
  </si>
  <si>
    <t>Detac DC779F</t>
  </si>
  <si>
    <t>CHEMZYME CL</t>
  </si>
  <si>
    <t>Cytreat 427</t>
  </si>
  <si>
    <t>Cylube 901</t>
  </si>
  <si>
    <t>INDOFLOC C360</t>
  </si>
  <si>
    <t>- Awal Shift PM Produksi T14
Speed : 1220 mpm/23%</t>
  </si>
  <si>
    <t>21.20 steam drop 12 bar</t>
  </si>
  <si>
    <t>- Awal Shift PM Produksi : T14
Speed: 1220 mpm / 23%</t>
  </si>
  <si>
    <t>Ariko P</t>
  </si>
  <si>
    <t>1230/947,1</t>
  </si>
  <si>
    <t xml:space="preserve">- Awal Shift PM Produksi T14
Speed: 1230 mpm / -23% </t>
  </si>
  <si>
    <t>1223,33/941,97</t>
  </si>
  <si>
    <t>14</t>
  </si>
  <si>
    <t>- Change Blade (14x)</t>
  </si>
  <si>
    <t>271*1</t>
  </si>
  <si>
    <t xml:space="preserve">- Awal Shift PM Produksi  T15
Speed: 1175 mpm / -22% </t>
  </si>
  <si>
    <t>- 15.20 change grade T15 speed 1180/23%</t>
  </si>
  <si>
    <t>T 15</t>
  </si>
  <si>
    <t>- 23.45 muncul marking bag ds
- 23.49 speed turun 1170, marking hilang</t>
  </si>
  <si>
    <t>- Awal Shift PM Produksi T14
Speed: 1230 mpm / 23%</t>
  </si>
  <si>
    <t>- Awal Shift PM Produksi  T14/T15
Speed : 1230 mpm/23%</t>
  </si>
  <si>
    <t>1182,08/910,204</t>
  </si>
  <si>
    <t>1170,51/912,998</t>
  </si>
  <si>
    <t>1194,2/923,43</t>
  </si>
  <si>
    <t>14/15</t>
  </si>
  <si>
    <t>- Change Blade (15x)</t>
  </si>
  <si>
    <t>- Change Spool (29x)</t>
  </si>
  <si>
    <t>T 15 RC HW</t>
  </si>
  <si>
    <t>SWL B + B Mix</t>
  </si>
  <si>
    <t xml:space="preserve">- Awal Shift PM Produksi Tw29
Speed: 550 mpm / -14% </t>
  </si>
  <si>
    <t>- Awal Shift PM Produksi   TW 29
Speed actual/ crepe : 550 mpm/15%</t>
  </si>
  <si>
    <t xml:space="preserve">15:00 awal shift pm 15 stop ganti felt 
Ganti felt selesai 
Kacer wire
Cleaning felt
15:57 blank run
16:30 pm start up
17:06 stock on
17:16 on reel Tw 29 speed 550
17:31 jumbo su turun hole acak 
17:46 pm stop. Cleaning wire
Kacer wire 
18:15 start up
18:29 on reel tw 29 speed 550 
18:39 jumbo su turun acc 1 ply </t>
  </si>
  <si>
    <t>Planned Shut</t>
  </si>
  <si>
    <t>- Awal Shift PM Produksi T15
Speed: 1180 mpm / 23%</t>
  </si>
  <si>
    <t>07.18 Change grade T13,5 speed 1195/-23%
08.05 pm 15 stop
08.15 med lepas uhle box bagian bawah
08.20 cleaning area pm, karcher rolt felt dan spr, cleaning water try dan silo
09.30 mulai pasang felt
14.00 pasang felt selesai
14.15 isi silo tank, cleaning couch pit
14.30 med repair lubrikasi pump</t>
  </si>
  <si>
    <t>TW 29</t>
  </si>
  <si>
    <t>TW 20</t>
  </si>
  <si>
    <t>648,07/510,89</t>
  </si>
  <si>
    <t>- Change Blade (1x)</t>
  </si>
  <si>
    <t>- Change Spool (4x)</t>
  </si>
  <si>
    <t>- Change Spool (6x)</t>
  </si>
  <si>
    <t>- Change Spool (7x)</t>
  </si>
  <si>
    <t>1190,85/916,95</t>
  </si>
  <si>
    <t>Toilet/Towel</t>
  </si>
  <si>
    <t>15/13,5/29/20</t>
  </si>
  <si>
    <t>Towel</t>
  </si>
  <si>
    <t xml:space="preserve">- 08.05 pm 15 stop ganti felt </t>
  </si>
  <si>
    <t>- Change Spool (17x)</t>
  </si>
  <si>
    <t>1336+864</t>
  </si>
  <si>
    <t>256,5*1</t>
  </si>
  <si>
    <t>TW 29 RC HW</t>
  </si>
  <si>
    <t>- Felt baru speed up bertahap 920 mpm</t>
  </si>
  <si>
    <t>- Awal Shift PM Produksi  TW 20
Speed actual/ crepe : 850 mpm/15%</t>
  </si>
  <si>
    <t>- Awal Shift PM Produksi  Tw 20
Speed: 850 mpm / -15%</t>
  </si>
  <si>
    <t>- speed up bertahap sampe 890 /-15%</t>
  </si>
  <si>
    <t xml:space="preserve">- Awal Shift PM Produksi Tw20
Speed: 890 mpm / -15% </t>
  </si>
  <si>
    <t>905/769,25</t>
  </si>
  <si>
    <t>850/722,5</t>
  </si>
  <si>
    <t>870/739,5</t>
  </si>
  <si>
    <t>875/743,75</t>
  </si>
  <si>
    <t>20</t>
  </si>
  <si>
    <t>- Change Spool (25x)</t>
  </si>
  <si>
    <t>270*1</t>
  </si>
  <si>
    <t>TW 20 RC HW</t>
  </si>
  <si>
    <t xml:space="preserve">- Awal Shift PM Produksi Tw20
Speed: 910 mpm / -15% </t>
  </si>
  <si>
    <t>01:07 change grade tw 19gsm</t>
  </si>
  <si>
    <t>- Awal Shift PM Produksi TW 20
Speed actual/ crepe : 910 mpm/15%</t>
  </si>
  <si>
    <t>- Awal Shift PM Produksi Tw20
Speed : 910 mpm/15%</t>
  </si>
  <si>
    <t>910/773,5</t>
  </si>
  <si>
    <t>917,354/779,751</t>
  </si>
  <si>
    <t>TW 19</t>
  </si>
  <si>
    <t>912,45/775,58</t>
  </si>
  <si>
    <t>20/19</t>
  </si>
  <si>
    <t>- Change Blade (7x)</t>
  </si>
  <si>
    <t>- Change Spool (22x)</t>
  </si>
  <si>
    <t>126*2+16</t>
  </si>
  <si>
    <t>TW 19 RC HW</t>
  </si>
  <si>
    <t>- Awal Shift PM Produksi T 16,5
Speed: 1070 mpm / 22%</t>
  </si>
  <si>
    <t>- 03.32 Change grade T13,5 speed 1200/-23%</t>
  </si>
  <si>
    <t>- Awal Shift PM Produksi TW 17 &amp; F14
Speed actual/ crepe : 950 &amp; 1200 mpm/15% &amp; 22%</t>
  </si>
  <si>
    <t xml:space="preserve">16:59 change grade F14 speed 1180
18:42 speed naik 1190
19:20 speed naik 1200
22:29 change grade T16.5 speed 1050 </t>
  </si>
  <si>
    <t>- Awal Shift PM Produksi Tw17
Speed : 950 mpm/15%</t>
  </si>
  <si>
    <t xml:space="preserve">- Awal Shift PM Produksi Tw17
Speed: 950 mpm / -15% </t>
  </si>
  <si>
    <t>- tissue sering putus bag DS nylilit</t>
  </si>
  <si>
    <t>- Awal Shift PM Produksi  : TW 17
Speed actual/ crepe : 950 mpm/15%</t>
  </si>
  <si>
    <t>- Awal Shift PM Produksi Tw19/Tw17
Speed : 920 mpm/14%</t>
  </si>
  <si>
    <t>- 09.40 change grade Tw 17gsm (spec kusus) speed 950 mpm/15%
- 14.00 pulping pulp nbkp --&gt; mdt ngepres di range minimal dibawah target</t>
  </si>
  <si>
    <t>TW 17</t>
  </si>
  <si>
    <t>950/807,5</t>
  </si>
  <si>
    <t>940/799</t>
  </si>
  <si>
    <t>946,67/804,67</t>
  </si>
  <si>
    <t>F 14</t>
  </si>
  <si>
    <t>T 16,5</t>
  </si>
  <si>
    <t>1123,25/892,621</t>
  </si>
  <si>
    <t>1126,33/873,34</t>
  </si>
  <si>
    <t>1066,53/857,82</t>
  </si>
  <si>
    <t>Towel/Facial/Toilet</t>
  </si>
  <si>
    <t>17/14/16,5/13,5</t>
  </si>
  <si>
    <t>19/17</t>
  </si>
  <si>
    <t>Facial</t>
  </si>
  <si>
    <t>- Change Spool (30x)</t>
  </si>
  <si>
    <t>127*2</t>
  </si>
  <si>
    <t>133*2</t>
  </si>
  <si>
    <t>267*1</t>
  </si>
  <si>
    <t>TW 17 RC HW</t>
  </si>
  <si>
    <t>F 14 RC HW</t>
  </si>
  <si>
    <t>T 16,5 RC HW</t>
  </si>
  <si>
    <t>- Awal Shift PM Produksi  T 13,5
Speed: 1300 mpm / 23%</t>
  </si>
  <si>
    <t>- Awal Shift PM Produksi T13.5
Speed actual/ crepe : 1300 mpm/ 23%</t>
  </si>
  <si>
    <t>- Awal Shift PM Produksi T13.5
Speed : 1310 mpm/23%</t>
  </si>
  <si>
    <t>1310/1008,7</t>
  </si>
  <si>
    <t>1300/1001</t>
  </si>
  <si>
    <t>1303,33/1003,57</t>
  </si>
  <si>
    <t>13,5</t>
  </si>
  <si>
    <t>- Change Spool (31x)</t>
  </si>
  <si>
    <t>- Awal Shift PM Produksi   T 13,5
Speed: 1300 mpm / -23%</t>
  </si>
  <si>
    <t>- Awal Shift PM Produksi   T13.5
Speed : 1310 mpm/23%</t>
  </si>
  <si>
    <t xml:space="preserve">- Awal Shift PM Produksi  T13.5
Speed: 1300 mpm / -23% </t>
  </si>
  <si>
    <t>- Change Blade (9x)</t>
  </si>
  <si>
    <t>- Change Spool (32x)</t>
  </si>
  <si>
    <t>- 09.00 rew c stop perbaikan hidrolic team MED &amp; EID
- 10.00 rew A mulai jalan
- 14.10 rew c selesai perbaikan</t>
  </si>
  <si>
    <t>- Awal Shift PM Produksi  : T13.5
Speed : 1300 mpm/23%</t>
  </si>
  <si>
    <t>Protolan pulp</t>
  </si>
  <si>
    <t>- Awal Shift PM Produksi   T13,5
Speed 1200mpm/-23%</t>
  </si>
  <si>
    <t>Pm
23:00 awal shift jumbo roll turun ada hole crushing bagian center dan Ts ( 2 hole dia 1.5 cm)
- Speed down 1200mpm
- Sikat felt dan siram solar.
23:54 pm stop , kertas masih ada hole.
- drain dan cleaning couchpit tank
- kacer wire
- cleaning uhle box
- siram solar dan sikat felt
01:23 bilas felt
01:41 pm start up
02:06 onreel , speed 1150mpm
02:07 jumbo roll turun hole  hilang
03:19 jumbo roll turun , muncul hole 135 cm dr Fs / center
- siram solar dan sikat felt
- kacer wire
- speed down sampai 910 mpm
04:24 jumbo roll turun hole crushing mulai mengecil
05:45 akhir shift speed up 960 mpm</t>
  </si>
  <si>
    <t>- 17.15 pm trip, compressor Flicker
- coba langsung jalan lagi, trip fliker lagi
- cleaning felt wire
- cleaning couch pit
- cleaning reject tank 
- 19.00 bilas felt 
- 19.38 persiapan jalan 
- 20.05 onreel 1250 mpm (prod T13.5)
- speed up bertahap 1310 mpm
22.56 jr turun muncul hole crushing bag center &amp; ts
- speed turun 1260 mpm, hpp up 18bar</t>
  </si>
  <si>
    <t>- Awal Shift PM Produksi  T13.5
Speed actual/ crepe : 1310 mpm/ 23%</t>
  </si>
  <si>
    <t>1214,24/934,96</t>
  </si>
  <si>
    <t>1016,12/782,41</t>
  </si>
  <si>
    <t>1288,35/992,03</t>
  </si>
  <si>
    <t>- Change Blade (0x)</t>
  </si>
  <si>
    <t>- Sheet Breaks (3x)</t>
  </si>
  <si>
    <t>- 17.15 pm trip, compressor Flicker</t>
  </si>
  <si>
    <t>- 23:54 pm stop , kertas masih ada hole.</t>
  </si>
  <si>
    <t>- Awal Shift PM Produksi T15,5
Speed: 1150 mpm / -23%</t>
  </si>
  <si>
    <t>- Awal Shift PM Produksi T13.5 &amp; T15.5
Speed actual/ crepe : 1100 &amp; 1150 mpm/ 23%</t>
  </si>
  <si>
    <t xml:space="preserve">- Awal Shift PM Produksi  : T15,5
Speed: 1150 mpm / -23% </t>
  </si>
  <si>
    <t xml:space="preserve">08:24 spees naik 970
09:04 speed naik 1020
09:51 speed naik 1050
10:28 speed naik 1100
11:07 speed naik 1120
12:05 speed naik 1130
12:06 change grade T15.5
12:41 speed naik 1150
12:50 cleaning area ds yankee. Ada bara api </t>
  </si>
  <si>
    <t>T 15,5</t>
  </si>
  <si>
    <t>1072,13/825,54</t>
  </si>
  <si>
    <t>1124,04/865,51</t>
  </si>
  <si>
    <t>13,5/15,5</t>
  </si>
  <si>
    <t>- Change Spool (27x)</t>
  </si>
  <si>
    <t>T 15,5 RC HW</t>
  </si>
  <si>
    <t>269,5*1</t>
  </si>
  <si>
    <t>- Awal Shift PM Produksi T15.5
Speed : 1170 mpm/23%</t>
  </si>
  <si>
    <t>- 06.00 change grade T16 LB speed 1140mpm/17%</t>
  </si>
  <si>
    <t>- Awal Shift PM Produksi T15.5
Speed actual/ crepe : 1170 mpm/ 23%</t>
  </si>
  <si>
    <t xml:space="preserve">- Awal Shift PM Produksi  T13.5
Speed: 1170 mpm / -23% </t>
  </si>
  <si>
    <t>- Awal Shift PM Produksi  T15.5
Speed actual/ crepe : 1170 mpm/ 23%</t>
  </si>
  <si>
    <t>1170/900,9</t>
  </si>
  <si>
    <t>1140/946,2</t>
  </si>
  <si>
    <t>T 16</t>
  </si>
  <si>
    <t>1160/916</t>
  </si>
  <si>
    <t>15,5</t>
  </si>
  <si>
    <t>- Change Spool (26x)</t>
  </si>
  <si>
    <t>- Awal Shift PM Produksi T15.5
Speed : 1160 mpm/22%</t>
  </si>
  <si>
    <t>- Awal Shift PM Produksi T 15.5
Speed: 1160 mpm / 22%</t>
  </si>
  <si>
    <t xml:space="preserve">- Awal Shift PM Produksi T16 LB &amp; T15.5 HB
Speed actual/ crepe : 1140 &amp; 1150 mpm/ 17 &amp; 22% </t>
  </si>
  <si>
    <t>12:15 change grade T15.5 speed 1150
13:38 speed naik 1160</t>
  </si>
  <si>
    <t>1145,15/930,62</t>
  </si>
  <si>
    <t>1160/904,8</t>
  </si>
  <si>
    <t>1155,05/913,41</t>
  </si>
  <si>
    <t>16/15,5</t>
  </si>
  <si>
    <t>15,5/16</t>
  </si>
  <si>
    <t>- Change Blade (8x)</t>
  </si>
  <si>
    <t>261*1</t>
  </si>
  <si>
    <t>T 16 RC HW</t>
  </si>
  <si>
    <t xml:space="preserve">- felt baru, speed up bertahap 590 mpm
- 05.12 change grade Tw20 speed 850mpm/15% </t>
  </si>
  <si>
    <t>TWS Putih</t>
  </si>
  <si>
    <t>- Awal Shift PM Produksi T16/15.5
Speed : 1130 mpm/19%</t>
  </si>
  <si>
    <t>- 23.55 pm stop JR pin hole, drain couch pit, sikat felt dan katcer wire
- 02.30 pm persiapan jalan
- 02.40 pm stock on
- 02.50 pm onreel prod T16 lb speed 1130mpm/19%
- 03.05 JR acc 1 ply change grade T15.5 speed 1160/23%</t>
  </si>
  <si>
    <t>- Awal Shift PM Produksi T 15,5
Speed: 1160 mpm / 22%</t>
  </si>
  <si>
    <t>Pm .
18.40 jumbo turun pinhole jarum tambah banyak area C.
19.00 Change grade T16 Lb speed 1130/-17.%</t>
  </si>
  <si>
    <t xml:space="preserve">- Awal Shift PM Produksi  T15.5
Speed actual/ crepe : 1160 mpm/ 22% </t>
  </si>
  <si>
    <t>11:22 speed naik 1170</t>
  </si>
  <si>
    <t>1136,89/886,05</t>
  </si>
  <si>
    <t>1145/921,35</t>
  </si>
  <si>
    <t>1164,54/908,34</t>
  </si>
  <si>
    <t>1150,46/907,9</t>
  </si>
  <si>
    <t>- 23.55 pm stop JR pin hole, drain couch pit, sikat felt dan katcer wire</t>
  </si>
  <si>
    <t>- Awal Shift PM Produksi  T 15,5
Speed: 1160 mpm / 22%</t>
  </si>
  <si>
    <t>- awal shift jr turun hole crussing ± 30 cm dari DS, coba cleaning sambil jalan
- speed down 1080
- hpp up 24bar
- 12.07 hole crussing bag DS hilang 
- speed up bertahap, speed akhir 1160</t>
  </si>
  <si>
    <t xml:space="preserve">- Awal Shift PM Produksi T15,5
Speed: 1100 mpm / -18% </t>
  </si>
  <si>
    <t>1125/922,5</t>
  </si>
  <si>
    <t>1148,33/910,7</t>
  </si>
  <si>
    <t>- Awal Shift PM Produksi  T19
Speed : 910 mpm/20%</t>
  </si>
  <si>
    <t>- awal shift JR ada hole bagian center dan fs, sikat felt
- 23.35 JR kertas acc
- 06.30 primary arm trip , pasang spoll manual</t>
  </si>
  <si>
    <t>- Awal Shift PM Produksi  T 19
Speed: 980 mpm / 20%</t>
  </si>
  <si>
    <t>- 22.35 Jr turun ada hole 2 titik 
- speed turun 900 mpm
- HPP felt up 25 bar
- sikat felt dg dikucuri solar</t>
  </si>
  <si>
    <t>- Awal Shift PM Produksi T15. 5
Speed: 1160 mpm</t>
  </si>
  <si>
    <t>- 07.30 change grade T16
- 14.27 change grade T19</t>
  </si>
  <si>
    <t>T 19</t>
  </si>
  <si>
    <t>910/728</t>
  </si>
  <si>
    <t>975,83/780,67</t>
  </si>
  <si>
    <t>1147,63/926,73</t>
  </si>
  <si>
    <t>1011,15/811,8</t>
  </si>
  <si>
    <t>15,5/16/19</t>
  </si>
  <si>
    <t>T 19 RC HW</t>
  </si>
  <si>
    <t>- Awal Shift PM Produksi   T19
Speed: 910 mpm</t>
  </si>
  <si>
    <t>- 13.35 jr turun muncul hole bag ts, speed turun 880 mpm
- 14.37 hole hilang, speed akhir 930 mpm</t>
  </si>
  <si>
    <t>- Awal Shift PM Produksi  T19
Speed: 930 mpm / 20%</t>
  </si>
  <si>
    <t>20.10 Change grade T20 speed 920/-20%</t>
  </si>
  <si>
    <t>- Awal Shift PM Produksi  T20
Speed actual/ crepe : 920 mpm/ 20%</t>
  </si>
  <si>
    <t>T 20</t>
  </si>
  <si>
    <t>19/20</t>
  </si>
  <si>
    <t>907,083/725,667</t>
  </si>
  <si>
    <t>926,458/741,167</t>
  </si>
  <si>
    <t>930/744</t>
  </si>
  <si>
    <t>- Change Spool (24x)</t>
  </si>
  <si>
    <t>120+140</t>
  </si>
  <si>
    <t>T 20 RC HW</t>
  </si>
  <si>
    <t xml:space="preserve">- Awal Shift PM Produksi   T15
Speed actual/ crepe : 1160 mpm/ 23% </t>
  </si>
  <si>
    <t>- Awal Shift PM Produksi  T15
Speed : 1160 mpm/23%</t>
  </si>
  <si>
    <t>15.00 change grade T15 HB</t>
  </si>
  <si>
    <t>- Awal Shift PM Produksi  T15
Speed: 1140 mpm</t>
  </si>
  <si>
    <t>- 10.51 blade no 2 tidak bisa load
- 11.08 blade no 2 oke
- 13.01 popereel trip
- 13.14 popereel oke</t>
  </si>
  <si>
    <t xml:space="preserve">- Awal Shift PM Produksi T15 HB &amp; LB 
Speed actual/ crepe : 1160 mpm/ 22 &amp; 19% </t>
  </si>
  <si>
    <t>- 04:29 change grade T15LB</t>
  </si>
  <si>
    <t>- Awal Shift PM Produksi T15
Speed: 1150 mpm / 22%</t>
  </si>
  <si>
    <t>- Awal Shift PM 15
Grade: T20
Speed: 920 mpm</t>
  </si>
  <si>
    <t>- 10.37 change grade T15 speed 1160 mpm</t>
  </si>
  <si>
    <t>1160/915,75</t>
  </si>
  <si>
    <t>1150/897</t>
  </si>
  <si>
    <t>1051,5/841,2</t>
  </si>
  <si>
    <t>1120,5/884,65</t>
  </si>
  <si>
    <t>1140/923,4</t>
  </si>
  <si>
    <t>1160/893,2</t>
  </si>
  <si>
    <t>1153,33/903,27</t>
  </si>
  <si>
    <t>20/15</t>
  </si>
  <si>
    <t>15</t>
  </si>
  <si>
    <t>- 13.01 popereel trip</t>
  </si>
  <si>
    <t>Pulp kotor</t>
  </si>
  <si>
    <t>- Awal Shift PM Produksi T15
Speed : 1160 mpm/23%</t>
  </si>
  <si>
    <t>- Awal Shift PM Produksi : T15
Speed : 1160 mpm/23%</t>
  </si>
  <si>
    <t>- Awal Shift PM Produksi  T15
Speed: 1160 mpm</t>
  </si>
  <si>
    <t>Hole, cleaning</t>
  </si>
  <si>
    <t>Ganti Felt</t>
  </si>
  <si>
    <t>Compressor Flicker</t>
  </si>
  <si>
    <t>Popereel trip</t>
  </si>
  <si>
    <t>- Awal Shift PM Produksi T15 HB
Speed: 1160 mpm / 22%</t>
  </si>
  <si>
    <t>09.50 Change grade T13,5 LB speed 1180/-18%</t>
  </si>
  <si>
    <t xml:space="preserve">- Awal Shift PM Produksi T13.5 LB
Speed actual/ crepe : 1190 mpm/ 17% </t>
  </si>
  <si>
    <t>- Awal Shift PM Produksi T13.5
Speed : 1180 mpm/17%</t>
  </si>
  <si>
    <t>Awal shift pinhole area c ke ds, karcher wire , membaik</t>
  </si>
  <si>
    <t>1180/979,4</t>
  </si>
  <si>
    <t>1172,92/945,36</t>
  </si>
  <si>
    <t>1177,64/968,05</t>
  </si>
  <si>
    <t>15/13,5</t>
  </si>
  <si>
    <t xml:space="preserve">- Awal Shift PM Produksi  T13.5 LB
Speed actual/ crepe : 1200 mpm/ 17% </t>
  </si>
  <si>
    <t>- Awal Shift PM Produksi T 13,5
Speed: 1160 mpm / 17%</t>
  </si>
  <si>
    <t>- Awal Shift PM Produksi T13.5
Speed : 1190 mpm/17%</t>
  </si>
  <si>
    <t>1160/962,8</t>
  </si>
  <si>
    <t>1190/987,7</t>
  </si>
  <si>
    <t>1200/996</t>
  </si>
  <si>
    <t>1183,33/982,17</t>
  </si>
  <si>
    <t>- Awal Shift PM Produksi  T13.5
Speed: 1250 mpm</t>
  </si>
  <si>
    <t>- Awal Shift PM Produksi  T13.5
Speed : 1250 mpm/22%</t>
  </si>
  <si>
    <t>- Awal Shift PM Produksi T 13,5
Speed: 1190 mpm / 17%</t>
  </si>
  <si>
    <t>09.15 Pm stop, 
- cleaning pm
- siram felt pakai solar
- sikat felt
- karcher wire
10.45 bilas felt dan wire
11.13 pm persiapan jalan
11.30 pm stock on
11.45 pm on reel speed 1020 mpm
11.55 speed naik bertahap sampai 1180 mpm.
12.00 jr su 1 turun, acc daewang off reel. 
Akhir shift speed 1180 mpm/ T.13.5 off rell daewang.</t>
  </si>
  <si>
    <t>1179,48/978,968</t>
  </si>
  <si>
    <t>1250/975</t>
  </si>
  <si>
    <t>1231,9/975,96</t>
  </si>
  <si>
    <t>- Change Spool (23x)</t>
  </si>
  <si>
    <t>- 09.15 Pm stop, cleaning</t>
  </si>
  <si>
    <t>- Awal Shift PM Produksi   T13.5
Speed: 1280 mpm</t>
  </si>
  <si>
    <t>- Awal Shift PM Produksi  T13.5
Speed : 1280 mpm/22%</t>
  </si>
  <si>
    <t>- Awal Shift PM Produksi T13,5 off rell
Speed: 1250 mpm / 22%</t>
  </si>
  <si>
    <t>1280/998,4</t>
  </si>
  <si>
    <t>1270/990,6</t>
  </si>
  <si>
    <t>1269,38/990,11</t>
  </si>
  <si>
    <t>- Change Blade (12x)</t>
  </si>
  <si>
    <t xml:space="preserve">- Awal Shift PM Produksi    T13.5
Speed: 1280 mpm / -22% </t>
  </si>
  <si>
    <t xml:space="preserve">- Awal Shift PM Produksi    T13.5
Speed actual/ crepe : 1280 mpm/ 22% </t>
  </si>
  <si>
    <t>- Awal Shift PM Produksi   T 13,5
Speed: 1280 mpm / 22%</t>
  </si>
  <si>
    <t>10.45 Change grade T14
Speed 1250/-22%
11.40 Change grade T13,5</t>
  </si>
  <si>
    <t>- Awal Shift PM Produksi T 13,5/ offreel
Speed: 1280 mpm / 22%</t>
  </si>
  <si>
    <t>550/467,5</t>
  </si>
  <si>
    <t>633/538,05</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</si>
</sst>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409]mmm\-yy;@"/>
    <numFmt numFmtId="180" formatCode="_(* #,##0.000_);_(* \(#,##0.000\);_(* &quot;-&quot;_);_(@_)"/>
    <numFmt numFmtId="181" formatCode="_(* #,##0.0_);_(* \(#,##0.0\);_(* &quot;-&quot;_);_(@_)"/>
    <numFmt numFmtId="182" formatCode="_-* #,##0.000_-;\-* #,##0.000_-;_-* &quot;-&quot;???_-;_-@_-"/>
  </numFmts>
  <fonts count="64">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7">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164" fontId="44" fillId="0" borderId="0" applyFont="0" applyFill="0" applyBorder="0" applyAlignment="0" applyProtection="0"/>
  </cellStyleXfs>
  <cellXfs count="786">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7" fontId="41" fillId="0" borderId="0" xfId="0" applyNumberFormat="1" applyFont="1" applyAlignment="1">
      <alignment horizontal="center" vertical="center" wrapText="1"/>
    </xf>
    <xf numFmtId="178"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8"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7"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7" fontId="41" fillId="0" borderId="11" xfId="0" applyNumberFormat="1" applyFont="1" applyBorder="1"/>
    <xf numFmtId="164" fontId="41" fillId="0" borderId="11" xfId="29" applyFont="1" applyFill="1" applyBorder="1" applyAlignment="1">
      <alignment horizontal="center"/>
    </xf>
    <xf numFmtId="178"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8" fontId="38" fillId="0" borderId="11" xfId="29" applyNumberFormat="1" applyFont="1" applyFill="1" applyBorder="1" applyAlignment="1">
      <alignment horizontal="center"/>
    </xf>
    <xf numFmtId="178"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8" fontId="42" fillId="0" borderId="11" xfId="29" applyNumberFormat="1" applyFont="1" applyFill="1" applyBorder="1" applyAlignment="1">
      <alignment vertical="center"/>
    </xf>
    <xf numFmtId="178" fontId="41" fillId="0" borderId="0" xfId="29" applyNumberFormat="1" applyFont="1" applyFill="1" applyBorder="1" applyAlignment="1">
      <alignment vertical="center"/>
    </xf>
    <xf numFmtId="0" fontId="41" fillId="0" borderId="0" xfId="0" applyFont="1" applyAlignment="1">
      <alignment horizontal="center"/>
    </xf>
    <xf numFmtId="177"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8" fontId="42" fillId="25" borderId="11" xfId="29" applyNumberFormat="1" applyFont="1" applyFill="1" applyBorder="1" applyAlignment="1">
      <alignment vertical="center"/>
    </xf>
    <xf numFmtId="177"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8" fontId="41" fillId="0" borderId="0" xfId="29" applyNumberFormat="1" applyFont="1" applyFill="1" applyBorder="1" applyAlignment="1">
      <alignment horizontal="center"/>
    </xf>
    <xf numFmtId="165" fontId="42" fillId="0" borderId="0" xfId="0" applyNumberFormat="1" applyFont="1" applyAlignment="1">
      <alignment horizontal="right"/>
    </xf>
    <xf numFmtId="178"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1" xfId="28" applyFont="1" applyFill="1" applyBorder="1" applyAlignment="1" applyProtection="1">
      <alignment horizontal="center" vertical="center"/>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28" xfId="50" applyNumberFormat="1"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5" fontId="26" fillId="24" borderId="37" xfId="28" applyFont="1" applyFill="1" applyBorder="1" applyAlignment="1" applyProtection="1">
      <alignment horizontal="center" vertical="center"/>
    </xf>
    <xf numFmtId="165" fontId="26" fillId="24" borderId="37" xfId="28" applyFont="1" applyFill="1" applyBorder="1" applyAlignment="1" applyProtection="1">
      <alignment horizontal="center"/>
    </xf>
    <xf numFmtId="165" fontId="26" fillId="24" borderId="38" xfId="28" applyFont="1" applyFill="1" applyBorder="1" applyAlignment="1" applyProtection="1">
      <alignment horizontal="center"/>
    </xf>
    <xf numFmtId="166" fontId="26" fillId="24" borderId="39"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0" xfId="28"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3" xfId="50" applyNumberFormat="1" applyFont="1" applyFill="1" applyBorder="1" applyAlignment="1" applyProtection="1">
      <alignment horizontal="center" vertical="center"/>
    </xf>
    <xf numFmtId="165" fontId="26" fillId="24" borderId="34" xfId="28" applyFont="1" applyFill="1" applyBorder="1" applyAlignment="1" applyProtection="1">
      <alignment horizontal="center"/>
    </xf>
    <xf numFmtId="165" fontId="26" fillId="24" borderId="41"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36" xfId="28" applyFont="1" applyFill="1" applyBorder="1" applyAlignment="1" applyProtection="1">
      <alignment horizontal="center"/>
    </xf>
    <xf numFmtId="0" fontId="26" fillId="24" borderId="43" xfId="0" applyFont="1" applyFill="1" applyBorder="1" applyAlignment="1">
      <alignment horizontal="left"/>
    </xf>
    <xf numFmtId="0" fontId="26" fillId="24" borderId="44" xfId="0" applyFont="1" applyFill="1" applyBorder="1" applyAlignment="1">
      <alignment horizontal="left"/>
    </xf>
    <xf numFmtId="0" fontId="26" fillId="24" borderId="45" xfId="0" applyFont="1" applyFill="1" applyBorder="1" applyAlignment="1">
      <alignment horizontal="left"/>
    </xf>
    <xf numFmtId="165" fontId="26" fillId="24" borderId="25"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6"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7" xfId="0" applyFont="1" applyFill="1" applyBorder="1" applyAlignment="1">
      <alignment horizontal="center"/>
    </xf>
    <xf numFmtId="165" fontId="26" fillId="0" borderId="11" xfId="28" applyFont="1" applyFill="1" applyBorder="1" applyAlignment="1" applyProtection="1">
      <alignment horizontal="right"/>
    </xf>
    <xf numFmtId="0" fontId="26" fillId="24" borderId="48"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49"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8"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6"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1"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0" xfId="0" applyFont="1" applyFill="1" applyBorder="1" applyAlignment="1">
      <alignment horizontal="center" vertical="center"/>
    </xf>
    <xf numFmtId="0" fontId="26" fillId="24" borderId="50" xfId="0" applyFont="1" applyFill="1" applyBorder="1" applyAlignment="1">
      <alignment horizontal="center"/>
    </xf>
    <xf numFmtId="0" fontId="26" fillId="24" borderId="40" xfId="0" applyFont="1" applyFill="1" applyBorder="1" applyAlignment="1">
      <alignment horizontal="center" wrapText="1"/>
    </xf>
    <xf numFmtId="0" fontId="26" fillId="24" borderId="31" xfId="0" applyFont="1" applyFill="1" applyBorder="1" applyAlignment="1">
      <alignment horizontal="center"/>
    </xf>
    <xf numFmtId="0" fontId="26" fillId="24" borderId="15" xfId="0" applyFont="1" applyFill="1" applyBorder="1" applyAlignment="1">
      <alignment horizontal="center"/>
    </xf>
    <xf numFmtId="0" fontId="26" fillId="24" borderId="33" xfId="0" applyFont="1" applyFill="1" applyBorder="1" applyAlignment="1">
      <alignment horizontal="center"/>
    </xf>
    <xf numFmtId="165" fontId="26" fillId="24" borderId="11" xfId="0" applyNumberFormat="1" applyFont="1" applyFill="1" applyBorder="1" applyAlignment="1">
      <alignment horizontal="center"/>
    </xf>
    <xf numFmtId="0" fontId="26" fillId="24" borderId="51" xfId="0" applyFont="1" applyFill="1" applyBorder="1" applyAlignment="1">
      <alignment horizontal="left" vertical="center"/>
    </xf>
    <xf numFmtId="0" fontId="26" fillId="24" borderId="52" xfId="0" quotePrefix="1" applyFont="1" applyFill="1" applyBorder="1"/>
    <xf numFmtId="0" fontId="26" fillId="24" borderId="33" xfId="0" applyFont="1" applyFill="1" applyBorder="1" applyAlignment="1">
      <alignment vertical="center" wrapText="1"/>
    </xf>
    <xf numFmtId="0" fontId="26" fillId="24" borderId="28" xfId="0" applyFont="1" applyFill="1" applyBorder="1" applyAlignment="1">
      <alignment horizontal="left" vertical="center"/>
    </xf>
    <xf numFmtId="0" fontId="26" fillId="24" borderId="39" xfId="0" applyFont="1" applyFill="1" applyBorder="1" applyAlignment="1">
      <alignment vertical="center" wrapText="1"/>
    </xf>
    <xf numFmtId="0" fontId="26" fillId="24" borderId="53" xfId="0" applyFont="1" applyFill="1" applyBorder="1" applyAlignment="1">
      <alignment horizontal="left" vertical="center"/>
    </xf>
    <xf numFmtId="0" fontId="26" fillId="24" borderId="52" xfId="0" applyFont="1" applyFill="1" applyBorder="1" applyAlignment="1">
      <alignment horizontal="center"/>
    </xf>
    <xf numFmtId="0" fontId="26" fillId="24" borderId="52" xfId="0" applyFont="1" applyFill="1" applyBorder="1"/>
    <xf numFmtId="0" fontId="26" fillId="24" borderId="54" xfId="0" applyFont="1" applyFill="1" applyBorder="1" applyAlignment="1">
      <alignment horizontal="center" vertical="center"/>
    </xf>
    <xf numFmtId="0" fontId="26" fillId="24" borderId="44" xfId="0" applyFont="1" applyFill="1" applyBorder="1" applyAlignment="1">
      <alignment horizontal="left" vertical="center"/>
    </xf>
    <xf numFmtId="0" fontId="26" fillId="24" borderId="27"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5" xfId="0" applyFont="1" applyFill="1" applyBorder="1" applyAlignment="1">
      <alignment horizontal="center"/>
    </xf>
    <xf numFmtId="0" fontId="26" fillId="24" borderId="39" xfId="0" applyFont="1" applyFill="1" applyBorder="1" applyAlignment="1">
      <alignment horizontal="center"/>
    </xf>
    <xf numFmtId="0" fontId="22" fillId="24" borderId="31" xfId="0" applyFont="1" applyFill="1" applyBorder="1"/>
    <xf numFmtId="0" fontId="22" fillId="24" borderId="40" xfId="0" applyFont="1" applyFill="1" applyBorder="1"/>
    <xf numFmtId="0" fontId="26" fillId="24" borderId="15" xfId="0" applyFont="1" applyFill="1" applyBorder="1"/>
    <xf numFmtId="0" fontId="26" fillId="24" borderId="40" xfId="0" applyFont="1" applyFill="1" applyBorder="1" applyAlignment="1">
      <alignment horizontal="center"/>
    </xf>
    <xf numFmtId="165" fontId="22" fillId="24" borderId="0" xfId="28" applyFont="1" applyFill="1" applyBorder="1" applyProtection="1"/>
    <xf numFmtId="0" fontId="22" fillId="24" borderId="55"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6"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7" xfId="0" applyFont="1" applyFill="1" applyBorder="1"/>
    <xf numFmtId="0" fontId="26" fillId="24" borderId="58" xfId="0" applyFont="1" applyFill="1" applyBorder="1" applyAlignment="1">
      <alignment horizontal="left"/>
    </xf>
    <xf numFmtId="0" fontId="22" fillId="24" borderId="58" xfId="0" applyFont="1" applyFill="1" applyBorder="1"/>
    <xf numFmtId="165" fontId="22" fillId="24" borderId="58" xfId="28" applyFont="1" applyFill="1" applyBorder="1" applyProtection="1"/>
    <xf numFmtId="0" fontId="22" fillId="24" borderId="30"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7" xfId="0" applyFont="1" applyFill="1" applyBorder="1"/>
    <xf numFmtId="0" fontId="26" fillId="24" borderId="0" xfId="0" applyFont="1" applyFill="1" applyAlignment="1">
      <alignment horizontal="left"/>
    </xf>
    <xf numFmtId="0" fontId="22" fillId="24" borderId="59" xfId="0" applyFont="1" applyFill="1" applyBorder="1"/>
    <xf numFmtId="0" fontId="22" fillId="24" borderId="27" xfId="0" applyFont="1" applyFill="1" applyBorder="1"/>
    <xf numFmtId="0" fontId="22" fillId="24" borderId="29" xfId="0" applyFont="1" applyFill="1" applyBorder="1"/>
    <xf numFmtId="0" fontId="26" fillId="24" borderId="60" xfId="0" applyFont="1" applyFill="1" applyBorder="1"/>
    <xf numFmtId="165" fontId="26" fillId="24" borderId="60"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1" xfId="0" applyFont="1" applyFill="1" applyBorder="1" applyAlignment="1" applyProtection="1">
      <alignment horizontal="left" vertical="center"/>
      <protection locked="0"/>
    </xf>
    <xf numFmtId="165" fontId="26" fillId="24" borderId="59" xfId="28" applyFont="1" applyFill="1" applyBorder="1" applyAlignment="1" applyProtection="1">
      <alignment horizontal="center" vertical="center"/>
      <protection locked="0"/>
    </xf>
    <xf numFmtId="165" fontId="26" fillId="24" borderId="61" xfId="28" applyFont="1" applyFill="1" applyBorder="1" applyAlignment="1" applyProtection="1">
      <alignment horizontal="center" vertical="center"/>
      <protection locked="0"/>
    </xf>
    <xf numFmtId="165" fontId="26" fillId="24" borderId="41" xfId="28" applyFont="1" applyFill="1" applyBorder="1" applyAlignment="1" applyProtection="1">
      <alignment horizontal="center" vertical="center"/>
      <protection locked="0"/>
    </xf>
    <xf numFmtId="165" fontId="26" fillId="24" borderId="42" xfId="28" applyFont="1" applyFill="1" applyBorder="1" applyAlignment="1" applyProtection="1">
      <protection locked="0"/>
    </xf>
    <xf numFmtId="165" fontId="26" fillId="24" borderId="42" xfId="28" applyFont="1" applyFill="1" applyBorder="1" applyAlignment="1" applyProtection="1">
      <alignment horizontal="center"/>
      <protection locked="0"/>
    </xf>
    <xf numFmtId="0" fontId="26" fillId="24" borderId="62" xfId="0" applyFont="1" applyFill="1" applyBorder="1" applyAlignment="1" applyProtection="1">
      <alignment horizontal="left" vertical="center"/>
      <protection locked="0"/>
    </xf>
    <xf numFmtId="165" fontId="26" fillId="24" borderId="54" xfId="50" applyNumberFormat="1" applyFont="1" applyFill="1" applyBorder="1" applyAlignment="1" applyProtection="1">
      <alignment horizontal="center" vertical="center"/>
      <protection locked="0"/>
    </xf>
    <xf numFmtId="165" fontId="26" fillId="24" borderId="53" xfId="50" applyNumberFormat="1" applyFont="1" applyFill="1" applyBorder="1" applyAlignment="1" applyProtection="1">
      <alignment horizontal="center" vertical="center"/>
      <protection locked="0"/>
    </xf>
    <xf numFmtId="165" fontId="26" fillId="24" borderId="63" xfId="50" applyNumberFormat="1"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2"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6"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2"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3"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8" fontId="41" fillId="0" borderId="17" xfId="29" applyNumberFormat="1" applyFont="1" applyBorder="1" applyAlignment="1">
      <alignment vertical="center"/>
    </xf>
    <xf numFmtId="178"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56"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4" xfId="0" applyBorder="1"/>
    <xf numFmtId="165" fontId="0" fillId="0" borderId="64" xfId="0" applyNumberFormat="1" applyBorder="1"/>
    <xf numFmtId="0" fontId="50" fillId="0" borderId="0" xfId="41" applyFont="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0" fontId="52" fillId="0" borderId="0" xfId="41" applyFont="1"/>
    <xf numFmtId="16" fontId="47" fillId="0" borderId="10" xfId="41" applyNumberFormat="1" applyBorder="1"/>
    <xf numFmtId="0" fontId="47" fillId="0" borderId="11" xfId="41" applyBorder="1"/>
    <xf numFmtId="2" fontId="47" fillId="0" borderId="11" xfId="41" applyNumberFormat="1" applyBorder="1" applyAlignment="1">
      <alignment horizontal="center"/>
    </xf>
    <xf numFmtId="165" fontId="47" fillId="11" borderId="11" xfId="28" applyFont="1" applyFill="1" applyBorder="1" applyAlignment="1" applyProtection="1">
      <alignment horizontal="center"/>
    </xf>
    <xf numFmtId="0" fontId="53" fillId="0" borderId="0" xfId="41" applyFont="1"/>
    <xf numFmtId="0" fontId="47" fillId="0" borderId="10" xfId="41" applyBorder="1"/>
    <xf numFmtId="0" fontId="47" fillId="0" borderId="11" xfId="41" applyBorder="1" applyAlignment="1">
      <alignment horizontal="left"/>
    </xf>
    <xf numFmtId="0" fontId="47" fillId="0" borderId="11" xfId="41" applyBorder="1" applyAlignment="1">
      <alignment horizontal="right"/>
    </xf>
    <xf numFmtId="165" fontId="53" fillId="0" borderId="23" xfId="28" applyFont="1" applyBorder="1" applyProtection="1"/>
    <xf numFmtId="0" fontId="47" fillId="0" borderId="0" xfId="42" applyAlignment="1">
      <alignment horizontal="center"/>
    </xf>
    <xf numFmtId="39" fontId="47" fillId="0" borderId="0" xfId="42" quotePrefix="1" applyNumberFormat="1" applyAlignment="1">
      <alignment horizontal="left"/>
    </xf>
    <xf numFmtId="0" fontId="47" fillId="0" borderId="0" xfId="41" quotePrefix="1"/>
    <xf numFmtId="39" fontId="47" fillId="0" borderId="0" xfId="42" applyNumberFormat="1"/>
    <xf numFmtId="39" fontId="47"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4" fontId="30" fillId="0" borderId="0" xfId="0" applyNumberFormat="1" applyFont="1" applyAlignment="1">
      <alignment horizontal="center" vertical="center" wrapText="1"/>
    </xf>
    <xf numFmtId="4" fontId="30" fillId="0" borderId="0" xfId="0" applyNumberFormat="1" applyFont="1" applyAlignment="1">
      <alignment horizontal="right"/>
    </xf>
    <xf numFmtId="2" fontId="30" fillId="0" borderId="0" xfId="0" applyNumberFormat="1" applyFont="1"/>
    <xf numFmtId="170" fontId="30" fillId="0" borderId="0" xfId="0" applyNumberFormat="1" applyFont="1" applyAlignment="1">
      <alignment horizontal="right"/>
    </xf>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4" fontId="30" fillId="0" borderId="11" xfId="0" applyNumberFormat="1" applyFont="1" applyBorder="1" applyAlignment="1">
      <alignment horizontal="center" vertical="center" wrapText="1"/>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1" xfId="0" applyBorder="1" applyAlignment="1">
      <alignment horizontal="center"/>
    </xf>
    <xf numFmtId="4" fontId="0" fillId="0" borderId="61" xfId="0" applyNumberFormat="1" applyBorder="1"/>
    <xf numFmtId="171" fontId="0" fillId="0" borderId="61" xfId="0" applyNumberFormat="1" applyBorder="1" applyAlignment="1">
      <alignment vertical="justify"/>
    </xf>
    <xf numFmtId="171" fontId="0" fillId="0" borderId="61" xfId="0" applyNumberFormat="1" applyBorder="1"/>
    <xf numFmtId="168" fontId="0" fillId="0" borderId="61" xfId="0" applyNumberFormat="1" applyBorder="1"/>
    <xf numFmtId="10" fontId="0" fillId="0" borderId="61" xfId="0" applyNumberFormat="1" applyBorder="1"/>
    <xf numFmtId="10" fontId="0" fillId="0" borderId="61" xfId="0" applyNumberFormat="1" applyBorder="1" applyAlignment="1">
      <alignment horizontal="center" vertical="center" wrapText="1"/>
    </xf>
    <xf numFmtId="10" fontId="0" fillId="0" borderId="61" xfId="0" applyNumberFormat="1" applyBorder="1" applyAlignment="1">
      <alignment vertical="justify" wrapText="1"/>
    </xf>
    <xf numFmtId="4" fontId="0" fillId="0" borderId="61" xfId="0" applyNumberFormat="1" applyBorder="1" applyAlignment="1">
      <alignment vertical="justify" wrapText="1"/>
    </xf>
    <xf numFmtId="2" fontId="0" fillId="0" borderId="61" xfId="0" applyNumberFormat="1" applyBorder="1"/>
    <xf numFmtId="4" fontId="0" fillId="0" borderId="61" xfId="0" applyNumberFormat="1" applyBorder="1" applyAlignment="1">
      <alignment vertical="justify"/>
    </xf>
    <xf numFmtId="2" fontId="0" fillId="0" borderId="61" xfId="0" applyNumberFormat="1" applyBorder="1" applyAlignment="1">
      <alignment vertical="justify"/>
    </xf>
    <xf numFmtId="2" fontId="0" fillId="0" borderId="61" xfId="0" applyNumberFormat="1" applyBorder="1" applyAlignment="1">
      <alignment vertical="justify" wrapText="1"/>
    </xf>
    <xf numFmtId="16" fontId="27" fillId="0" borderId="65" xfId="0" applyNumberFormat="1" applyFont="1" applyBorder="1"/>
    <xf numFmtId="0" fontId="27" fillId="0" borderId="65" xfId="0" applyFont="1" applyBorder="1" applyAlignment="1">
      <alignment horizontal="center"/>
    </xf>
    <xf numFmtId="171" fontId="27" fillId="0" borderId="65" xfId="0" applyNumberFormat="1" applyFont="1" applyBorder="1"/>
    <xf numFmtId="10" fontId="27" fillId="0" borderId="65" xfId="0" applyNumberFormat="1" applyFont="1" applyBorder="1"/>
    <xf numFmtId="168" fontId="27" fillId="0" borderId="65" xfId="0" applyNumberFormat="1" applyFont="1" applyBorder="1"/>
    <xf numFmtId="10" fontId="27" fillId="0" borderId="65" xfId="0" applyNumberFormat="1" applyFont="1" applyBorder="1" applyAlignment="1">
      <alignment horizontal="center" vertical="center" wrapText="1"/>
    </xf>
    <xf numFmtId="10" fontId="27" fillId="0" borderId="65" xfId="0" applyNumberFormat="1" applyFont="1" applyBorder="1" applyAlignment="1">
      <alignment vertical="justify" wrapText="1"/>
    </xf>
    <xf numFmtId="2" fontId="27" fillId="0" borderId="65" xfId="0" applyNumberFormat="1" applyFont="1" applyBorder="1"/>
    <xf numFmtId="4" fontId="27" fillId="0" borderId="65" xfId="0" applyNumberFormat="1" applyFont="1" applyBorder="1"/>
    <xf numFmtId="4" fontId="27" fillId="0" borderId="65" xfId="0" applyNumberFormat="1" applyFont="1" applyBorder="1" applyAlignment="1">
      <alignment vertical="justify"/>
    </xf>
    <xf numFmtId="2" fontId="27" fillId="0" borderId="65" xfId="0" applyNumberFormat="1" applyFont="1" applyBorder="1" applyAlignment="1">
      <alignment vertical="justify"/>
    </xf>
    <xf numFmtId="2" fontId="27" fillId="0" borderId="65" xfId="0" applyNumberFormat="1" applyFont="1" applyBorder="1" applyAlignment="1">
      <alignment vertical="justify" wrapText="1"/>
    </xf>
    <xf numFmtId="4" fontId="27" fillId="0" borderId="65" xfId="0" applyNumberFormat="1" applyFont="1" applyBorder="1" applyAlignment="1">
      <alignment vertical="justify" wrapText="1"/>
    </xf>
    <xf numFmtId="165" fontId="30" fillId="0" borderId="0" xfId="28" applyFont="1" applyBorder="1" applyProtection="1"/>
    <xf numFmtId="171" fontId="32" fillId="0" borderId="0" xfId="0" applyNumberFormat="1" applyFont="1" applyAlignment="1">
      <alignment horizontal="center"/>
    </xf>
    <xf numFmtId="168" fontId="32" fillId="0" borderId="0" xfId="0" applyNumberFormat="1" applyFont="1" applyAlignment="1">
      <alignment horizontal="center"/>
    </xf>
    <xf numFmtId="4" fontId="32" fillId="0" borderId="0" xfId="0" applyNumberFormat="1" applyFont="1" applyAlignment="1">
      <alignment horizontal="center" vertical="center" wrapText="1"/>
    </xf>
    <xf numFmtId="4"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79" fontId="0" fillId="0" borderId="0" xfId="0" applyNumberFormat="1" applyAlignment="1">
      <alignment horizontal="right" vertical="center"/>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6" xfId="0" applyNumberFormat="1" applyFont="1" applyBorder="1"/>
    <xf numFmtId="0" fontId="0" fillId="0" borderId="44" xfId="0" applyBorder="1"/>
    <xf numFmtId="0" fontId="47" fillId="0" borderId="44" xfId="0" applyFont="1" applyBorder="1"/>
    <xf numFmtId="164" fontId="41" fillId="0" borderId="0" xfId="29" applyFont="1" applyFill="1"/>
    <xf numFmtId="164" fontId="42" fillId="25" borderId="11" xfId="29" applyFont="1" applyFill="1" applyBorder="1" applyAlignment="1">
      <alignment vertical="center"/>
    </xf>
    <xf numFmtId="178" fontId="42" fillId="0" borderId="0" xfId="29" applyNumberFormat="1" applyFont="1" applyFill="1" applyBorder="1" applyAlignment="1">
      <alignment vertical="center"/>
    </xf>
    <xf numFmtId="178" fontId="26" fillId="24" borderId="21" xfId="29" applyNumberFormat="1" applyFont="1" applyFill="1" applyBorder="1" applyAlignment="1" applyProtection="1">
      <alignment horizontal="right" vertical="center"/>
    </xf>
    <xf numFmtId="178" fontId="26" fillId="24" borderId="17" xfId="29" applyNumberFormat="1" applyFont="1" applyFill="1" applyBorder="1" applyAlignment="1" applyProtection="1">
      <alignment horizontal="right" vertical="center"/>
    </xf>
    <xf numFmtId="178" fontId="26" fillId="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vertical="center"/>
    </xf>
    <xf numFmtId="178" fontId="22" fillId="2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xf>
    <xf numFmtId="178" fontId="26" fillId="24" borderId="14" xfId="29" applyNumberFormat="1" applyFont="1" applyFill="1" applyBorder="1" applyAlignment="1" applyProtection="1">
      <alignment horizontal="right"/>
    </xf>
    <xf numFmtId="178"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8"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8" fontId="42" fillId="25" borderId="13" xfId="29" applyNumberFormat="1" applyFont="1" applyFill="1" applyBorder="1" applyAlignment="1">
      <alignment vertical="center"/>
    </xf>
    <xf numFmtId="178"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8" fontId="42" fillId="4" borderId="11" xfId="29" applyNumberFormat="1" applyFont="1" applyFill="1" applyBorder="1" applyAlignment="1">
      <alignment horizontal="center"/>
    </xf>
    <xf numFmtId="0" fontId="44" fillId="0" borderId="0" xfId="0" applyFont="1"/>
    <xf numFmtId="0" fontId="44" fillId="0" borderId="44" xfId="0" applyFont="1" applyBorder="1"/>
    <xf numFmtId="0" fontId="0" fillId="0" borderId="54" xfId="0" applyBorder="1" applyAlignment="1">
      <alignment horizontal="center" vertical="center"/>
    </xf>
    <xf numFmtId="167" fontId="0" fillId="0" borderId="54" xfId="28" applyNumberFormat="1" applyFont="1" applyBorder="1" applyAlignment="1">
      <alignment horizontal="center" vertical="center" wrapText="1"/>
    </xf>
    <xf numFmtId="0" fontId="0" fillId="0" borderId="67" xfId="0" applyBorder="1"/>
    <xf numFmtId="0" fontId="47" fillId="0" borderId="35" xfId="0" applyFont="1" applyBorder="1"/>
    <xf numFmtId="0" fontId="0" fillId="0" borderId="25" xfId="0" applyBorder="1"/>
    <xf numFmtId="0" fontId="44" fillId="0" borderId="25"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4" xfId="0" applyNumberFormat="1" applyFont="1" applyBorder="1" applyAlignment="1">
      <alignment horizontal="center" vertical="center"/>
    </xf>
    <xf numFmtId="178" fontId="54" fillId="0" borderId="0" xfId="29" applyNumberFormat="1" applyFont="1" applyProtection="1"/>
    <xf numFmtId="0" fontId="26" fillId="24" borderId="55" xfId="0" applyFont="1" applyFill="1" applyBorder="1"/>
    <xf numFmtId="0" fontId="26" fillId="24" borderId="46" xfId="0" applyFont="1" applyFill="1" applyBorder="1"/>
    <xf numFmtId="0" fontId="26" fillId="24" borderId="10" xfId="0" applyFont="1" applyFill="1" applyBorder="1"/>
    <xf numFmtId="0" fontId="26" fillId="24" borderId="48" xfId="0" applyFont="1" applyFill="1" applyBorder="1"/>
    <xf numFmtId="4" fontId="26" fillId="24" borderId="10" xfId="0" applyNumberFormat="1" applyFont="1" applyFill="1" applyBorder="1"/>
    <xf numFmtId="4" fontId="26" fillId="24" borderId="48" xfId="0" applyNumberFormat="1" applyFont="1" applyFill="1" applyBorder="1"/>
    <xf numFmtId="165" fontId="26" fillId="24" borderId="10" xfId="0" applyNumberFormat="1" applyFont="1" applyFill="1" applyBorder="1"/>
    <xf numFmtId="165" fontId="26" fillId="24" borderId="48" xfId="0" applyNumberFormat="1" applyFont="1" applyFill="1" applyBorder="1"/>
    <xf numFmtId="39" fontId="26" fillId="24" borderId="48" xfId="0" applyNumberFormat="1" applyFont="1" applyFill="1" applyBorder="1"/>
    <xf numFmtId="0" fontId="22" fillId="24" borderId="56" xfId="0" applyFont="1" applyFill="1" applyBorder="1"/>
    <xf numFmtId="0" fontId="22" fillId="24" borderId="24" xfId="0" applyFont="1" applyFill="1" applyBorder="1"/>
    <xf numFmtId="0" fontId="44" fillId="0" borderId="11" xfId="0" applyFont="1" applyBorder="1" applyAlignment="1" applyProtection="1">
      <alignment horizontal="center"/>
      <protection locked="0"/>
    </xf>
    <xf numFmtId="0" fontId="44" fillId="0" borderId="11" xfId="0" quotePrefix="1" applyFont="1" applyBorder="1" applyAlignment="1" applyProtection="1">
      <alignment horizontal="center"/>
      <protection locked="0"/>
    </xf>
    <xf numFmtId="0" fontId="44" fillId="0" borderId="54" xfId="0" applyFont="1" applyBorder="1"/>
    <xf numFmtId="2" fontId="0" fillId="0" borderId="39" xfId="0" applyNumberFormat="1" applyBorder="1" applyAlignment="1">
      <alignment vertical="center"/>
    </xf>
    <xf numFmtId="165" fontId="0" fillId="0" borderId="69" xfId="0" applyNumberFormat="1" applyBorder="1" applyAlignment="1">
      <alignment vertical="center"/>
    </xf>
    <xf numFmtId="167" fontId="44" fillId="0" borderId="11" xfId="0" quotePrefix="1" applyNumberFormat="1" applyFont="1" applyBorder="1" applyAlignment="1" applyProtection="1">
      <alignment horizontal="center"/>
      <protection locked="0"/>
    </xf>
    <xf numFmtId="167" fontId="0" fillId="0" borderId="61" xfId="0" applyNumberFormat="1" applyBorder="1" applyAlignment="1">
      <alignment horizontal="center"/>
    </xf>
    <xf numFmtId="167" fontId="27" fillId="0" borderId="65" xfId="0" applyNumberFormat="1" applyFont="1" applyBorder="1" applyAlignment="1">
      <alignment horizontal="center"/>
    </xf>
    <xf numFmtId="9" fontId="0" fillId="0" borderId="11" xfId="50"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4" fillId="0"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0" fontId="55" fillId="27" borderId="11" xfId="50" applyNumberFormat="1" applyFont="1" applyFill="1" applyBorder="1" applyAlignment="1" applyProtection="1">
      <alignment horizontal="center" vertical="center"/>
      <protection locked="0"/>
    </xf>
    <xf numFmtId="165" fontId="42" fillId="32" borderId="11" xfId="29" applyNumberFormat="1" applyFont="1" applyFill="1" applyBorder="1" applyAlignment="1">
      <alignment vertical="center"/>
    </xf>
    <xf numFmtId="169" fontId="34" fillId="0" borderId="0" xfId="0" applyNumberFormat="1" applyFont="1" applyAlignment="1">
      <alignment vertical="center"/>
    </xf>
    <xf numFmtId="165" fontId="26" fillId="24" borderId="44" xfId="0" applyNumberFormat="1" applyFont="1" applyFill="1" applyBorder="1" applyAlignment="1">
      <alignment horizontal="left"/>
    </xf>
    <xf numFmtId="180" fontId="42" fillId="25" borderId="11" xfId="29" applyNumberFormat="1" applyFont="1" applyFill="1" applyBorder="1" applyAlignment="1">
      <alignment vertical="center"/>
    </xf>
    <xf numFmtId="1" fontId="47" fillId="0" borderId="38" xfId="0" applyNumberFormat="1" applyFont="1" applyBorder="1" applyAlignment="1">
      <alignment horizontal="center" vertical="center"/>
    </xf>
    <xf numFmtId="0" fontId="37" fillId="27" borderId="11" xfId="0" applyFont="1" applyFill="1" applyBorder="1" applyAlignment="1">
      <alignment horizontal="center" vertical="center" wrapText="1"/>
    </xf>
    <xf numFmtId="10" fontId="55" fillId="27" borderId="61"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178" fontId="42" fillId="0" borderId="17" xfId="29" applyNumberFormat="1"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0" fillId="0" borderId="11" xfId="55" applyFont="1" applyBorder="1" applyAlignment="1">
      <alignment horizontal="left"/>
    </xf>
    <xf numFmtId="0" fontId="56" fillId="0" borderId="0" xfId="0" applyFont="1"/>
    <xf numFmtId="3" fontId="0" fillId="34" borderId="64" xfId="0" applyNumberFormat="1" applyFill="1" applyBorder="1"/>
    <xf numFmtId="0" fontId="0" fillId="0" borderId="0" xfId="0" applyAlignment="1">
      <alignment horizontal="right"/>
    </xf>
    <xf numFmtId="2" fontId="56" fillId="27" borderId="11" xfId="0" applyNumberFormat="1" applyFont="1" applyFill="1" applyBorder="1" applyAlignment="1">
      <alignment horizontal="center" vertical="center" wrapText="1"/>
    </xf>
    <xf numFmtId="0" fontId="56" fillId="27" borderId="11" xfId="0" applyFont="1" applyFill="1" applyBorder="1" applyAlignment="1">
      <alignment horizontal="center" vertical="center" wrapText="1"/>
    </xf>
    <xf numFmtId="9" fontId="56" fillId="27" borderId="11" xfId="50" applyFont="1" applyFill="1" applyBorder="1" applyAlignment="1">
      <alignment horizontal="center" vertical="center" wrapText="1"/>
    </xf>
    <xf numFmtId="2" fontId="56" fillId="33" borderId="11" xfId="0" applyNumberFormat="1" applyFont="1" applyFill="1" applyBorder="1" applyAlignment="1">
      <alignment horizontal="center"/>
    </xf>
    <xf numFmtId="10" fontId="0" fillId="0" borderId="11" xfId="50" applyNumberFormat="1" applyFont="1" applyBorder="1"/>
    <xf numFmtId="10" fontId="56" fillId="33" borderId="11" xfId="50" applyNumberFormat="1" applyFont="1" applyFill="1" applyBorder="1" applyAlignment="1">
      <alignment horizontal="center"/>
    </xf>
    <xf numFmtId="10" fontId="27" fillId="0" borderId="11" xfId="0" applyNumberFormat="1" applyFont="1" applyBorder="1"/>
    <xf numFmtId="0" fontId="56" fillId="27" borderId="11" xfId="0" applyFont="1" applyFill="1" applyBorder="1" applyAlignment="1">
      <alignment horizontal="center" vertical="center"/>
    </xf>
    <xf numFmtId="14" fontId="56" fillId="0" borderId="0" xfId="0" applyNumberFormat="1" applyFont="1" applyAlignment="1">
      <alignment horizontal="center" vertical="center"/>
    </xf>
    <xf numFmtId="2" fontId="56" fillId="0" borderId="0" xfId="0" applyNumberFormat="1" applyFont="1" applyAlignment="1">
      <alignment horizontal="center" vertical="center" wrapText="1"/>
    </xf>
    <xf numFmtId="0" fontId="56" fillId="0" borderId="0" xfId="0" applyFont="1" applyAlignment="1">
      <alignment horizontal="center" vertical="center"/>
    </xf>
    <xf numFmtId="10" fontId="0" fillId="0" borderId="11" xfId="50"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7" fillId="33" borderId="11" xfId="0" applyFont="1" applyFill="1" applyBorder="1"/>
    <xf numFmtId="0" fontId="38" fillId="35" borderId="11" xfId="55" applyFont="1" applyFill="1" applyBorder="1" applyAlignment="1">
      <alignment horizontal="left"/>
    </xf>
    <xf numFmtId="0" fontId="0" fillId="36" borderId="11" xfId="0" applyFill="1" applyBorder="1"/>
    <xf numFmtId="0" fontId="44" fillId="36" borderId="11" xfId="0" applyFont="1" applyFill="1" applyBorder="1"/>
    <xf numFmtId="10" fontId="0" fillId="35" borderId="17" xfId="50" applyNumberFormat="1" applyFont="1" applyFill="1" applyBorder="1"/>
    <xf numFmtId="10" fontId="0" fillId="0" borderId="17" xfId="50" applyNumberFormat="1" applyFont="1" applyBorder="1"/>
    <xf numFmtId="0" fontId="38" fillId="0" borderId="19" xfId="55" applyFont="1" applyBorder="1" applyAlignment="1">
      <alignment horizontal="left"/>
    </xf>
    <xf numFmtId="0" fontId="60" fillId="0" borderId="11" xfId="55" applyFont="1" applyBorder="1" applyAlignment="1">
      <alignment horizontal="left"/>
    </xf>
    <xf numFmtId="10" fontId="59" fillId="27" borderId="11" xfId="50" applyNumberFormat="1" applyFont="1" applyFill="1" applyBorder="1"/>
    <xf numFmtId="0" fontId="0" fillId="0" borderId="0" xfId="0" quotePrefix="1"/>
    <xf numFmtId="0" fontId="27" fillId="0" borderId="17" xfId="0" applyFont="1" applyBorder="1" applyAlignment="1">
      <alignment horizontal="center" vertical="center" wrapText="1"/>
    </xf>
    <xf numFmtId="0" fontId="27" fillId="0" borderId="19" xfId="0" applyFont="1" applyBorder="1" applyAlignment="1">
      <alignment horizontal="center" vertical="center" wrapText="1"/>
    </xf>
    <xf numFmtId="0" fontId="63" fillId="34" borderId="0" xfId="0" applyFont="1" applyFill="1"/>
    <xf numFmtId="0" fontId="0" fillId="0" borderId="11" xfId="0" applyBorder="1" applyAlignment="1">
      <alignment horizontal="center" vertical="center" wrapText="1"/>
    </xf>
    <xf numFmtId="43" fontId="0" fillId="0" borderId="11" xfId="0" applyNumberFormat="1" applyBorder="1"/>
    <xf numFmtId="9" fontId="0" fillId="0" borderId="11" xfId="0" applyNumberFormat="1" applyBorder="1"/>
    <xf numFmtId="165" fontId="44" fillId="0" borderId="11" xfId="28" applyFont="1" applyBorder="1" applyProtection="1">
      <protection locked="0"/>
    </xf>
    <xf numFmtId="165" fontId="44"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1" fillId="0" borderId="0" xfId="4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7" fontId="41" fillId="0" borderId="11" xfId="0" applyNumberFormat="1" applyFont="1" applyBorder="1" applyAlignment="1">
      <alignment horizontal="center" vertical="center" wrapText="1"/>
    </xf>
    <xf numFmtId="2" fontId="38" fillId="0" borderId="11" xfId="45" applyNumberFormat="1" applyFont="1" applyBorder="1" applyAlignment="1">
      <alignment horizontal="center"/>
    </xf>
    <xf numFmtId="10" fontId="41" fillId="0" borderId="11" xfId="50" applyNumberFormat="1" applyFont="1" applyFill="1" applyBorder="1" applyAlignment="1">
      <alignment vertical="center"/>
    </xf>
    <xf numFmtId="178" fontId="41" fillId="0" borderId="19" xfId="29" applyNumberFormat="1" applyFont="1" applyFill="1" applyBorder="1" applyAlignment="1">
      <alignment vertical="center"/>
    </xf>
    <xf numFmtId="2" fontId="35" fillId="0" borderId="11" xfId="46" applyNumberFormat="1" applyFont="1" applyBorder="1"/>
    <xf numFmtId="2" fontId="41" fillId="0" borderId="0" xfId="0" applyNumberFormat="1" applyFont="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1"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0" fontId="41" fillId="28" borderId="0" xfId="0" applyNumberFormat="1" applyFont="1" applyFill="1" applyAlignment="1">
      <alignment horizontal="right"/>
    </xf>
    <xf numFmtId="10" fontId="0" fillId="0" borderId="0" xfId="0" applyNumberFormat="1"/>
    <xf numFmtId="178" fontId="42" fillId="37" borderId="11" xfId="56" applyNumberFormat="1" applyFont="1" applyFill="1" applyBorder="1" applyAlignment="1">
      <alignment horizontal="center" vertical="center" wrapText="1"/>
    </xf>
    <xf numFmtId="178" fontId="42" fillId="26" borderId="14" xfId="56" applyNumberFormat="1" applyFont="1" applyFill="1" applyBorder="1" applyAlignment="1">
      <alignment horizontal="center" vertical="center" wrapText="1"/>
    </xf>
    <xf numFmtId="178" fontId="42" fillId="26" borderId="11" xfId="56" applyNumberFormat="1" applyFont="1" applyFill="1" applyBorder="1" applyAlignment="1">
      <alignment horizontal="center" vertical="center" wrapText="1"/>
    </xf>
    <xf numFmtId="178" fontId="42" fillId="37" borderId="14" xfId="56"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4" xfId="28" applyNumberFormat="1" applyFont="1" applyBorder="1" applyAlignment="1"/>
    <xf numFmtId="2" fontId="0" fillId="0" borderId="84" xfId="28" applyNumberFormat="1" applyFont="1" applyBorder="1" applyAlignment="1" applyProtection="1">
      <alignment horizontal="center" vertical="center"/>
      <protection hidden="1"/>
    </xf>
    <xf numFmtId="0" fontId="27" fillId="0" borderId="0" xfId="41" applyFont="1"/>
    <xf numFmtId="0" fontId="42" fillId="0" borderId="14" xfId="0" applyFont="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0" fontId="56" fillId="27" borderId="11" xfId="0" applyFont="1" applyFill="1" applyBorder="1" applyAlignment="1">
      <alignment horizontal="center" vertical="center"/>
    </xf>
    <xf numFmtId="0" fontId="44"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4" fillId="27" borderId="11" xfId="50" applyNumberFormat="1" applyFont="1" applyFill="1" applyBorder="1" applyAlignment="1" applyProtection="1">
      <alignment horizontal="center" vertical="center"/>
      <protection locked="0"/>
    </xf>
    <xf numFmtId="4" fontId="0" fillId="0" borderId="61" xfId="0" applyNumberFormat="1" applyBorder="1" applyAlignment="1">
      <alignment vertical="center" wrapText="1"/>
    </xf>
    <xf numFmtId="4" fontId="0" fillId="0" borderId="61" xfId="0" applyNumberFormat="1" applyBorder="1" applyAlignment="1">
      <alignment vertical="center"/>
    </xf>
    <xf numFmtId="10" fontId="44" fillId="27" borderId="61" xfId="50" applyNumberFormat="1" applyFont="1" applyFill="1" applyBorder="1" applyAlignment="1" applyProtection="1">
      <alignment horizontal="center" vertical="center"/>
      <protection locked="0"/>
    </xf>
    <xf numFmtId="4" fontId="27" fillId="0" borderId="65" xfId="0" applyNumberFormat="1" applyFont="1" applyBorder="1" applyAlignment="1">
      <alignment vertical="center"/>
    </xf>
    <xf numFmtId="171" fontId="27" fillId="0" borderId="65" xfId="0" applyNumberFormat="1" applyFont="1" applyBorder="1" applyAlignment="1">
      <alignment vertical="center"/>
    </xf>
    <xf numFmtId="174" fontId="26" fillId="24" borderId="11" xfId="28" applyNumberFormat="1" applyFont="1" applyFill="1" applyBorder="1" applyAlignment="1" applyProtection="1">
      <alignment horizontal="center"/>
      <protection locked="0"/>
    </xf>
    <xf numFmtId="174" fontId="22" fillId="24" borderId="0" xfId="0" applyNumberFormat="1" applyFont="1" applyFill="1"/>
    <xf numFmtId="173" fontId="47" fillId="0" borderId="85" xfId="0" applyNumberFormat="1" applyFont="1" applyBorder="1"/>
    <xf numFmtId="0" fontId="44" fillId="0" borderId="68" xfId="0" applyFont="1" applyBorder="1"/>
    <xf numFmtId="0" fontId="0" fillId="0" borderId="0" xfId="0" applyBorder="1"/>
    <xf numFmtId="0" fontId="44" fillId="0" borderId="0" xfId="0" applyFont="1" applyBorder="1"/>
    <xf numFmtId="0" fontId="47" fillId="0" borderId="0" xfId="0" applyFont="1" applyBorder="1"/>
    <xf numFmtId="171" fontId="0" fillId="0" borderId="11" xfId="0" applyNumberFormat="1" applyBorder="1" applyAlignment="1" applyProtection="1">
      <alignment vertical="justify" wrapText="1"/>
      <protection locked="0"/>
    </xf>
    <xf numFmtId="0" fontId="27" fillId="0" borderId="17" xfId="0" applyFont="1" applyBorder="1" applyAlignment="1">
      <alignment horizontal="center" vertical="center" wrapText="1"/>
    </xf>
    <xf numFmtId="165" fontId="27" fillId="0" borderId="11" xfId="28" applyFont="1" applyBorder="1"/>
    <xf numFmtId="0" fontId="0" fillId="0" borderId="0" xfId="0" applyAlignment="1"/>
    <xf numFmtId="1" fontId="42" fillId="0" borderId="0" xfId="50" applyNumberFormat="1" applyFont="1" applyFill="1" applyBorder="1" applyAlignment="1">
      <alignment vertical="center"/>
    </xf>
    <xf numFmtId="174" fontId="22" fillId="24" borderId="0" xfId="28" applyNumberFormat="1" applyFont="1" applyFill="1" applyBorder="1" applyAlignment="1" applyProtection="1">
      <alignment horizontal="center"/>
      <protection locked="0"/>
    </xf>
    <xf numFmtId="0" fontId="0" fillId="0" borderId="11" xfId="0" applyBorder="1" applyAlignment="1">
      <alignment horizontal="center"/>
    </xf>
    <xf numFmtId="0" fontId="27" fillId="0" borderId="17" xfId="0" applyFont="1" applyBorder="1" applyAlignment="1">
      <alignment horizontal="center" vertical="center" wrapText="1"/>
    </xf>
    <xf numFmtId="0" fontId="0" fillId="0" borderId="11" xfId="0" applyBorder="1" applyAlignment="1">
      <alignment horizontal="center"/>
    </xf>
    <xf numFmtId="180" fontId="41" fillId="0" borderId="0" xfId="29" applyNumberFormat="1" applyFont="1" applyFill="1" applyBorder="1" applyAlignment="1">
      <alignment vertical="center"/>
    </xf>
    <xf numFmtId="167" fontId="32" fillId="32" borderId="13" xfId="28" applyNumberFormat="1" applyFont="1" applyFill="1" applyBorder="1" applyAlignment="1" applyProtection="1">
      <alignment horizontal="center"/>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9" fontId="34" fillId="0" borderId="11" xfId="0" applyNumberFormat="1" applyFont="1" applyBorder="1" applyAlignment="1">
      <alignment vertical="justify" wrapText="1"/>
    </xf>
    <xf numFmtId="0" fontId="57" fillId="0" borderId="11" xfId="0" applyFont="1" applyBorder="1" applyAlignment="1">
      <alignment horizontal="center" vertical="center" wrapText="1"/>
    </xf>
    <xf numFmtId="172" fontId="30" fillId="0" borderId="11" xfId="28" applyNumberFormat="1" applyFont="1" applyFill="1" applyBorder="1" applyProtection="1"/>
    <xf numFmtId="167" fontId="44" fillId="0" borderId="11" xfId="28" applyNumberFormat="1" applyFont="1" applyFill="1" applyBorder="1" applyProtection="1"/>
    <xf numFmtId="0" fontId="27" fillId="35" borderId="11" xfId="0" applyFont="1" applyFill="1" applyBorder="1"/>
    <xf numFmtId="0" fontId="27" fillId="0" borderId="11" xfId="28" applyNumberFormat="1" applyFont="1" applyBorder="1" applyProtection="1"/>
    <xf numFmtId="0" fontId="56"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6"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6" fillId="0" borderId="59" xfId="0" applyFont="1" applyBorder="1" applyAlignment="1">
      <alignment vertical="center"/>
    </xf>
    <xf numFmtId="10" fontId="56" fillId="0" borderId="11" xfId="50" applyNumberFormat="1" applyFont="1" applyBorder="1" applyAlignment="1">
      <alignment horizontal="center"/>
    </xf>
    <xf numFmtId="0" fontId="26" fillId="24" borderId="86" xfId="0" applyFont="1" applyFill="1" applyBorder="1" applyAlignment="1" applyProtection="1">
      <alignment horizontal="center"/>
      <protection locked="0"/>
    </xf>
    <xf numFmtId="174" fontId="0" fillId="0" borderId="64" xfId="0" applyNumberFormat="1" applyBorder="1"/>
    <xf numFmtId="1" fontId="44" fillId="27" borderId="38" xfId="0" applyNumberFormat="1" applyFont="1" applyFill="1" applyBorder="1" applyAlignment="1">
      <alignment horizontal="center" vertical="center"/>
    </xf>
    <xf numFmtId="2" fontId="0" fillId="0" borderId="69" xfId="0" applyNumberFormat="1" applyBorder="1" applyAlignment="1">
      <alignment vertical="center"/>
    </xf>
    <xf numFmtId="182" fontId="22" fillId="24" borderId="0" xfId="0" applyNumberFormat="1" applyFont="1" applyFill="1"/>
    <xf numFmtId="169" fontId="34"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1" xfId="0" applyNumberFormat="1" applyBorder="1" applyAlignment="1">
      <alignment vertical="center"/>
    </xf>
    <xf numFmtId="2" fontId="0" fillId="0" borderId="61" xfId="0" applyNumberFormat="1" applyBorder="1" applyAlignment="1">
      <alignment vertical="center" wrapText="1"/>
    </xf>
    <xf numFmtId="168" fontId="27" fillId="0" borderId="65" xfId="0" applyNumberFormat="1" applyFont="1" applyBorder="1" applyAlignment="1">
      <alignment vertical="center"/>
    </xf>
    <xf numFmtId="2" fontId="27" fillId="0" borderId="65" xfId="0" applyNumberFormat="1" applyFont="1" applyBorder="1" applyAlignment="1">
      <alignment vertical="center" wrapText="1"/>
    </xf>
    <xf numFmtId="173" fontId="44" fillId="0" borderId="85" xfId="0" applyNumberFormat="1" applyFont="1" applyBorder="1"/>
    <xf numFmtId="0" fontId="0" fillId="0" borderId="0" xfId="0" applyFill="1" applyBorder="1"/>
    <xf numFmtId="0" fontId="44" fillId="0" borderId="0" xfId="0" applyFont="1" applyFill="1" applyBorder="1"/>
    <xf numFmtId="165" fontId="26" fillId="24" borderId="0" xfId="0" applyNumberFormat="1" applyFont="1" applyFill="1"/>
    <xf numFmtId="43" fontId="0" fillId="0" borderId="11" xfId="28" applyNumberFormat="1" applyFont="1" applyBorder="1" applyAlignment="1" applyProtection="1">
      <alignment horizontal="center" vertical="center"/>
      <protection hidden="1"/>
    </xf>
    <xf numFmtId="9" fontId="41" fillId="0" borderId="11" xfId="0" applyNumberFormat="1" applyFont="1" applyFill="1" applyBorder="1" applyAlignment="1">
      <alignment horizontal="center" vertical="center" wrapText="1"/>
    </xf>
    <xf numFmtId="177" fontId="41" fillId="0" borderId="11" xfId="0" applyNumberFormat="1" applyFont="1" applyFill="1" applyBorder="1"/>
    <xf numFmtId="171"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168" fontId="37" fillId="0" borderId="11" xfId="0" applyNumberFormat="1" applyFont="1" applyBorder="1" applyAlignment="1">
      <alignment horizontal="center" vertical="center" wrapText="1"/>
    </xf>
    <xf numFmtId="0" fontId="37" fillId="27" borderId="57" xfId="0" applyFont="1" applyFill="1" applyBorder="1" applyAlignment="1">
      <alignment horizontal="center" vertical="center" wrapText="1"/>
    </xf>
    <xf numFmtId="0" fontId="37" fillId="27" borderId="30" xfId="0" applyFont="1" applyFill="1" applyBorder="1" applyAlignment="1">
      <alignment horizontal="center" vertical="center" wrapText="1"/>
    </xf>
    <xf numFmtId="0" fontId="37" fillId="27" borderId="27" xfId="0" applyFont="1" applyFill="1" applyBorder="1" applyAlignment="1">
      <alignment horizontal="center" vertical="center" wrapText="1"/>
    </xf>
    <xf numFmtId="0" fontId="37" fillId="27" borderId="59" xfId="0" applyFont="1" applyFill="1" applyBorder="1" applyAlignment="1">
      <alignment horizontal="center" vertical="center" wrapText="1"/>
    </xf>
    <xf numFmtId="2" fontId="37" fillId="0" borderId="11" xfId="0" applyNumberFormat="1" applyFont="1" applyBorder="1" applyAlignment="1">
      <alignment horizontal="center" vertical="center" wrapText="1"/>
    </xf>
    <xf numFmtId="0" fontId="37" fillId="0" borderId="70"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11" xfId="0" applyFont="1" applyBorder="1" applyAlignment="1">
      <alignment horizontal="center" vertical="center" wrapText="1"/>
    </xf>
    <xf numFmtId="167" fontId="32" fillId="35" borderId="88" xfId="28" applyNumberFormat="1" applyFont="1" applyFill="1" applyBorder="1" applyAlignment="1" applyProtection="1">
      <alignment horizontal="center"/>
    </xf>
    <xf numFmtId="167" fontId="32" fillId="35" borderId="89" xfId="28" applyNumberFormat="1" applyFont="1" applyFill="1" applyBorder="1" applyAlignment="1" applyProtection="1">
      <alignment horizontal="center"/>
    </xf>
    <xf numFmtId="167" fontId="32" fillId="35" borderId="87" xfId="28" applyNumberFormat="1" applyFont="1" applyFill="1" applyBorder="1" applyAlignment="1" applyProtection="1">
      <alignment horizontal="center"/>
    </xf>
    <xf numFmtId="167" fontId="32" fillId="35" borderId="29" xfId="28" applyNumberFormat="1" applyFont="1" applyFill="1" applyBorder="1" applyAlignment="1" applyProtection="1">
      <alignment horizontal="center"/>
    </xf>
    <xf numFmtId="167" fontId="32" fillId="35" borderId="60" xfId="28" applyNumberFormat="1" applyFont="1" applyFill="1" applyBorder="1" applyAlignment="1" applyProtection="1">
      <alignment horizontal="center"/>
    </xf>
    <xf numFmtId="167" fontId="32" fillId="35" borderId="16" xfId="28" applyNumberFormat="1" applyFont="1" applyFill="1" applyBorder="1" applyAlignment="1" applyProtection="1">
      <alignment horizontal="center"/>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88" xfId="28" applyNumberFormat="1" applyFont="1" applyFill="1" applyBorder="1" applyAlignment="1" applyProtection="1">
      <alignment horizontal="center"/>
    </xf>
    <xf numFmtId="167" fontId="32" fillId="27" borderId="89" xfId="28" applyNumberFormat="1" applyFont="1" applyFill="1" applyBorder="1" applyAlignment="1" applyProtection="1">
      <alignment horizontal="center"/>
    </xf>
    <xf numFmtId="167" fontId="32" fillId="27" borderId="87" xfId="28" applyNumberFormat="1" applyFont="1" applyFill="1" applyBorder="1" applyAlignment="1" applyProtection="1">
      <alignment horizontal="center"/>
    </xf>
    <xf numFmtId="167" fontId="32" fillId="27" borderId="29" xfId="28" applyNumberFormat="1" applyFont="1" applyFill="1" applyBorder="1" applyAlignment="1" applyProtection="1">
      <alignment horizontal="center"/>
    </xf>
    <xf numFmtId="167" fontId="32" fillId="27" borderId="60"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0" fontId="39" fillId="4" borderId="86" xfId="0" applyFont="1" applyFill="1" applyBorder="1" applyAlignment="1">
      <alignment horizontal="center" vertical="center"/>
    </xf>
    <xf numFmtId="0" fontId="39" fillId="4" borderId="61"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86" xfId="0" applyFont="1" applyFill="1" applyBorder="1" applyAlignment="1">
      <alignment horizontal="center" vertical="center" wrapText="1"/>
    </xf>
    <xf numFmtId="0" fontId="32" fillId="4" borderId="61"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78" fontId="42" fillId="37" borderId="86" xfId="56" applyNumberFormat="1" applyFont="1" applyFill="1" applyBorder="1" applyAlignment="1">
      <alignment horizontal="center" vertical="center" wrapText="1"/>
    </xf>
    <xf numFmtId="178" fontId="42" fillId="37" borderId="61" xfId="56" applyNumberFormat="1" applyFont="1" applyFill="1" applyBorder="1" applyAlignment="1">
      <alignment horizontal="center" vertical="center" wrapText="1"/>
    </xf>
    <xf numFmtId="178" fontId="42" fillId="37" borderId="17" xfId="56" applyNumberFormat="1" applyFont="1" applyFill="1" applyBorder="1" applyAlignment="1">
      <alignment horizontal="center" vertical="center" wrapText="1"/>
    </xf>
    <xf numFmtId="178" fontId="42" fillId="26" borderId="86" xfId="56" applyNumberFormat="1" applyFont="1" applyFill="1" applyBorder="1" applyAlignment="1">
      <alignment horizontal="center" vertical="center" wrapText="1"/>
    </xf>
    <xf numFmtId="178" fontId="42" fillId="26" borderId="61" xfId="56" applyNumberFormat="1" applyFont="1" applyFill="1" applyBorder="1" applyAlignment="1">
      <alignment horizontal="center" vertical="center" wrapText="1"/>
    </xf>
    <xf numFmtId="178" fontId="42" fillId="26" borderId="17" xfId="56"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6" xfId="0" applyFont="1" applyBorder="1" applyAlignment="1">
      <alignment horizontal="center" vertical="center" wrapText="1"/>
    </xf>
    <xf numFmtId="178" fontId="42" fillId="22" borderId="14" xfId="29" applyNumberFormat="1" applyFont="1" applyFill="1" applyBorder="1" applyAlignment="1">
      <alignment horizontal="center" vertical="center" wrapText="1"/>
    </xf>
    <xf numFmtId="178" fontId="42" fillId="22" borderId="61" xfId="29" applyNumberFormat="1" applyFont="1" applyFill="1" applyBorder="1" applyAlignment="1">
      <alignment horizontal="center" vertical="center" wrapText="1"/>
    </xf>
    <xf numFmtId="178" fontId="42" fillId="22" borderId="17" xfId="29" applyNumberFormat="1" applyFont="1" applyFill="1" applyBorder="1" applyAlignment="1">
      <alignment horizontal="center" vertical="center" wrapText="1"/>
    </xf>
    <xf numFmtId="178" fontId="42" fillId="25" borderId="11" xfId="29" applyNumberFormat="1" applyFont="1" applyFill="1" applyBorder="1" applyAlignment="1">
      <alignment horizontal="center" vertical="center" wrapText="1"/>
    </xf>
    <xf numFmtId="178" fontId="42" fillId="25" borderId="14" xfId="29" applyNumberFormat="1" applyFont="1" applyFill="1" applyBorder="1" applyAlignment="1">
      <alignment horizontal="center" vertical="center" wrapText="1"/>
    </xf>
    <xf numFmtId="178" fontId="42" fillId="0" borderId="11" xfId="29" applyNumberFormat="1" applyFont="1" applyFill="1" applyBorder="1" applyAlignment="1">
      <alignment horizontal="center" vertical="center" wrapText="1"/>
    </xf>
    <xf numFmtId="178" fontId="42" fillId="0" borderId="14" xfId="29" applyNumberFormat="1" applyFont="1" applyFill="1" applyBorder="1" applyAlignment="1">
      <alignment horizontal="center" vertical="center" wrapText="1"/>
    </xf>
    <xf numFmtId="178" fontId="42" fillId="4" borderId="57" xfId="29" applyNumberFormat="1" applyFont="1" applyFill="1" applyBorder="1" applyAlignment="1">
      <alignment horizontal="center" vertical="center" wrapText="1"/>
    </xf>
    <xf numFmtId="178" fontId="42" fillId="4" borderId="30" xfId="29" applyNumberFormat="1" applyFont="1" applyFill="1" applyBorder="1" applyAlignment="1">
      <alignment horizontal="center" vertical="center" wrapText="1"/>
    </xf>
    <xf numFmtId="178" fontId="42" fillId="4" borderId="29" xfId="29" applyNumberFormat="1" applyFont="1" applyFill="1" applyBorder="1" applyAlignment="1">
      <alignment horizontal="center" vertical="center" wrapText="1"/>
    </xf>
    <xf numFmtId="178" fontId="42" fillId="4" borderId="16"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8" fontId="43" fillId="25" borderId="11" xfId="29" applyNumberFormat="1" applyFont="1" applyFill="1" applyBorder="1" applyAlignment="1">
      <alignment horizontal="center"/>
    </xf>
    <xf numFmtId="178" fontId="42" fillId="4" borderId="11"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78" fontId="42" fillId="37" borderId="57" xfId="56" applyNumberFormat="1" applyFont="1" applyFill="1" applyBorder="1" applyAlignment="1">
      <alignment horizontal="center" vertical="center" wrapText="1"/>
    </xf>
    <xf numFmtId="178" fontId="42" fillId="37" borderId="30" xfId="56" applyNumberFormat="1" applyFont="1" applyFill="1" applyBorder="1" applyAlignment="1">
      <alignment horizontal="center" vertical="center" wrapText="1"/>
    </xf>
    <xf numFmtId="178" fontId="42" fillId="26" borderId="13" xfId="56" applyNumberFormat="1" applyFont="1" applyFill="1" applyBorder="1" applyAlignment="1">
      <alignment horizontal="center" vertical="center" wrapText="1"/>
    </xf>
    <xf numFmtId="178" fontId="42" fillId="26" borderId="19" xfId="56" applyNumberFormat="1" applyFont="1" applyFill="1" applyBorder="1" applyAlignment="1">
      <alignment horizontal="center" vertical="center" wrapText="1"/>
    </xf>
    <xf numFmtId="178" fontId="42" fillId="26" borderId="14" xfId="29" applyNumberFormat="1" applyFont="1" applyFill="1" applyBorder="1" applyAlignment="1">
      <alignment horizontal="center" vertical="center" wrapText="1"/>
    </xf>
    <xf numFmtId="178" fontId="42" fillId="26" borderId="61" xfId="29" applyNumberFormat="1" applyFont="1" applyFill="1" applyBorder="1" applyAlignment="1">
      <alignment horizontal="center" vertical="center" wrapText="1"/>
    </xf>
    <xf numFmtId="178" fontId="42" fillId="26" borderId="17" xfId="29" applyNumberFormat="1" applyFont="1" applyFill="1" applyBorder="1" applyAlignment="1">
      <alignment horizontal="center" vertical="center" wrapText="1"/>
    </xf>
    <xf numFmtId="178" fontId="42" fillId="0" borderId="61"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0" fontId="42" fillId="0" borderId="61" xfId="0" applyFont="1" applyBorder="1" applyAlignment="1">
      <alignment horizontal="center" vertical="center" wrapText="1"/>
    </xf>
    <xf numFmtId="178" fontId="42" fillId="25" borderId="61" xfId="29" applyNumberFormat="1" applyFont="1" applyFill="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1"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8" fontId="42" fillId="0" borderId="13" xfId="29" applyNumberFormat="1" applyFont="1" applyFill="1" applyBorder="1" applyAlignment="1">
      <alignment horizontal="center" vertical="center" wrapText="1"/>
    </xf>
    <xf numFmtId="178" fontId="42" fillId="0" borderId="20" xfId="29" applyNumberFormat="1" applyFont="1" applyFill="1" applyBorder="1" applyAlignment="1">
      <alignment horizontal="center" vertical="center" wrapText="1"/>
    </xf>
    <xf numFmtId="178" fontId="42" fillId="0" borderId="19" xfId="29" applyNumberFormat="1" applyFont="1" applyFill="1" applyBorder="1" applyAlignment="1">
      <alignment horizontal="center" vertical="center" wrapText="1"/>
    </xf>
    <xf numFmtId="0" fontId="49" fillId="22" borderId="11" xfId="0" applyFont="1" applyFill="1" applyBorder="1" applyAlignment="1">
      <alignment horizontal="center"/>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164" fontId="42" fillId="0" borderId="57" xfId="29" applyFont="1" applyFill="1" applyBorder="1" applyAlignment="1">
      <alignment horizontal="center" vertical="center"/>
    </xf>
    <xf numFmtId="164" fontId="42" fillId="0" borderId="58"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29" xfId="29" applyFont="1" applyFill="1" applyBorder="1" applyAlignment="1">
      <alignment horizontal="center" vertical="center"/>
    </xf>
    <xf numFmtId="164" fontId="42" fillId="0" borderId="60" xfId="29" applyFont="1" applyFill="1" applyBorder="1" applyAlignment="1">
      <alignment horizontal="center" vertical="center"/>
    </xf>
    <xf numFmtId="164" fontId="42" fillId="0" borderId="16" xfId="29" applyFont="1" applyFill="1" applyBorder="1" applyAlignment="1">
      <alignment horizontal="center" vertical="center"/>
    </xf>
    <xf numFmtId="177" fontId="42" fillId="0" borderId="57" xfId="0" applyNumberFormat="1" applyFont="1" applyBorder="1" applyAlignment="1">
      <alignment horizontal="center" vertical="center"/>
    </xf>
    <xf numFmtId="177" fontId="42" fillId="0" borderId="58" xfId="0" applyNumberFormat="1" applyFont="1" applyBorder="1" applyAlignment="1">
      <alignment horizontal="center" vertical="center"/>
    </xf>
    <xf numFmtId="0" fontId="42" fillId="0" borderId="30" xfId="0" applyFont="1" applyBorder="1" applyAlignment="1">
      <alignment horizontal="center" vertical="center"/>
    </xf>
    <xf numFmtId="177" fontId="42" fillId="0" borderId="29" xfId="0" applyNumberFormat="1" applyFont="1" applyBorder="1" applyAlignment="1">
      <alignment horizontal="center" vertical="center"/>
    </xf>
    <xf numFmtId="177" fontId="42" fillId="0" borderId="60"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1" xfId="29" applyFont="1" applyFill="1" applyBorder="1" applyAlignment="1">
      <alignment horizontal="center" vertical="center" wrapText="1"/>
    </xf>
    <xf numFmtId="0" fontId="53" fillId="0" borderId="76" xfId="41" applyFont="1" applyBorder="1" applyAlignment="1">
      <alignment horizontal="center"/>
    </xf>
    <xf numFmtId="0" fontId="53" fillId="0" borderId="77" xfId="41" applyFont="1" applyBorder="1" applyAlignment="1">
      <alignment horizontal="center"/>
    </xf>
    <xf numFmtId="0" fontId="53" fillId="0" borderId="22" xfId="41" applyFont="1" applyBorder="1" applyAlignment="1">
      <alignment horizontal="center"/>
    </xf>
    <xf numFmtId="0" fontId="53" fillId="0" borderId="43" xfId="41" applyFont="1" applyBorder="1" applyAlignment="1">
      <alignment horizontal="center" vertical="center"/>
    </xf>
    <xf numFmtId="0" fontId="53" fillId="0" borderId="75" xfId="41" applyFont="1" applyBorder="1" applyAlignment="1">
      <alignment horizontal="center" vertical="center"/>
    </xf>
    <xf numFmtId="0" fontId="53" fillId="0" borderId="45" xfId="41" applyFont="1" applyBorder="1" applyAlignment="1">
      <alignment horizontal="center" vertical="center"/>
    </xf>
    <xf numFmtId="0" fontId="53" fillId="0" borderId="53" xfId="41" applyFont="1" applyBorder="1" applyAlignment="1">
      <alignment horizontal="center" vertical="center"/>
    </xf>
    <xf numFmtId="0" fontId="53" fillId="0" borderId="61" xfId="41" applyFont="1" applyBorder="1" applyAlignment="1">
      <alignment horizontal="center" vertical="center"/>
    </xf>
    <xf numFmtId="0" fontId="53" fillId="0" borderId="28" xfId="41" applyFont="1" applyBorder="1" applyAlignment="1">
      <alignment horizontal="center" vertical="center"/>
    </xf>
    <xf numFmtId="0" fontId="53" fillId="11" borderId="53" xfId="41" applyFont="1" applyFill="1" applyBorder="1" applyAlignment="1">
      <alignment horizontal="center" vertical="center" wrapText="1"/>
    </xf>
    <xf numFmtId="0" fontId="53" fillId="11" borderId="61" xfId="41" applyFont="1" applyFill="1" applyBorder="1" applyAlignment="1">
      <alignment horizontal="center" vertical="center" wrapText="1"/>
    </xf>
    <xf numFmtId="0" fontId="53" fillId="11" borderId="28" xfId="41" applyFont="1" applyFill="1" applyBorder="1" applyAlignment="1">
      <alignment horizontal="center" vertical="center" wrapText="1"/>
    </xf>
    <xf numFmtId="0" fontId="27" fillId="0" borderId="53"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28" xfId="0" applyFont="1" applyBorder="1" applyAlignment="1">
      <alignment horizontal="center" vertical="center" wrapText="1"/>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27" fillId="0" borderId="29" xfId="28" applyNumberFormat="1" applyFont="1" applyBorder="1" applyAlignment="1">
      <alignment horizontal="center" vertical="center"/>
    </xf>
    <xf numFmtId="2" fontId="27" fillId="0" borderId="60"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8" xfId="0" applyFont="1" applyBorder="1" applyAlignment="1">
      <alignment horizontal="center" vertical="center" wrapText="1"/>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xf>
    <xf numFmtId="0" fontId="27" fillId="0" borderId="17" xfId="0" applyFont="1" applyBorder="1" applyAlignment="1">
      <alignment horizontal="center" vertical="center"/>
    </xf>
    <xf numFmtId="0" fontId="27" fillId="0" borderId="81"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2" xfId="0" applyFont="1" applyBorder="1" applyAlignment="1">
      <alignment horizontal="center" vertical="center" wrapText="1"/>
    </xf>
    <xf numFmtId="0" fontId="27" fillId="0" borderId="83" xfId="0" applyFont="1" applyBorder="1" applyAlignment="1">
      <alignment horizontal="center" vertical="center" wrapText="1"/>
    </xf>
    <xf numFmtId="0" fontId="0" fillId="0" borderId="11" xfId="0"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10" fontId="59" fillId="27" borderId="11" xfId="0" applyNumberFormat="1" applyFont="1" applyFill="1" applyBorder="1" applyAlignment="1">
      <alignment horizontal="center" vertical="center"/>
    </xf>
    <xf numFmtId="0" fontId="59" fillId="27" borderId="11" xfId="0" applyFont="1" applyFill="1" applyBorder="1" applyAlignment="1">
      <alignment horizontal="center" vertical="center"/>
    </xf>
    <xf numFmtId="10" fontId="56" fillId="0" borderId="86" xfId="50" applyNumberFormat="1" applyFont="1" applyFill="1" applyBorder="1" applyAlignment="1">
      <alignment horizontal="center" vertical="center"/>
    </xf>
    <xf numFmtId="10" fontId="56" fillId="0" borderId="17" xfId="50" applyNumberFormat="1" applyFont="1" applyFill="1" applyBorder="1" applyAlignment="1">
      <alignment horizontal="center" vertical="center"/>
    </xf>
    <xf numFmtId="0" fontId="56" fillId="27" borderId="11" xfId="0" applyFont="1" applyFill="1" applyBorder="1" applyAlignment="1">
      <alignment horizontal="center"/>
    </xf>
    <xf numFmtId="0" fontId="56" fillId="0" borderId="11" xfId="0" applyFont="1" applyBorder="1" applyAlignment="1">
      <alignment horizontal="center" vertical="center"/>
    </xf>
    <xf numFmtId="10" fontId="1" fillId="0" borderId="86"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6" fillId="0" borderId="86" xfId="0" applyFont="1" applyBorder="1" applyAlignment="1">
      <alignment horizontal="left" vertical="center"/>
    </xf>
    <xf numFmtId="0" fontId="56" fillId="0" borderId="17" xfId="0" applyFont="1" applyBorder="1" applyAlignment="1">
      <alignment horizontal="left"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6" fillId="0" borderId="11" xfId="0" applyFont="1" applyBorder="1" applyAlignment="1">
      <alignment horizontal="left" vertical="center"/>
    </xf>
    <xf numFmtId="10" fontId="58" fillId="0" borderId="11" xfId="0" applyNumberFormat="1" applyFont="1" applyBorder="1" applyAlignment="1">
      <alignment horizontal="center" vertical="center"/>
    </xf>
    <xf numFmtId="0" fontId="58" fillId="0" borderId="11" xfId="0" applyFont="1" applyBorder="1" applyAlignment="1">
      <alignment horizontal="center" vertical="center"/>
    </xf>
    <xf numFmtId="0" fontId="56" fillId="0" borderId="86" xfId="0" applyFont="1" applyBorder="1" applyAlignment="1">
      <alignment horizontal="center" vertical="center"/>
    </xf>
    <xf numFmtId="0" fontId="56" fillId="0" borderId="61" xfId="0" applyFont="1" applyBorder="1" applyAlignment="1">
      <alignment horizontal="center" vertical="center"/>
    </xf>
    <xf numFmtId="0" fontId="56" fillId="0" borderId="61" xfId="0" applyFont="1" applyBorder="1" applyAlignment="1">
      <alignment horizontal="left" vertical="center"/>
    </xf>
    <xf numFmtId="10" fontId="1" fillId="0" borderId="61" xfId="50" applyNumberFormat="1" applyFont="1" applyFill="1" applyBorder="1" applyAlignment="1">
      <alignment horizontal="center" vertical="center"/>
    </xf>
    <xf numFmtId="10" fontId="56" fillId="0" borderId="11" xfId="0" applyNumberFormat="1" applyFont="1" applyBorder="1" applyAlignment="1">
      <alignment horizontal="center" vertical="center"/>
    </xf>
    <xf numFmtId="0" fontId="56" fillId="27" borderId="11" xfId="0" applyFont="1" applyFill="1" applyBorder="1" applyAlignment="1">
      <alignment horizontal="center" vertical="top" wrapText="1"/>
    </xf>
    <xf numFmtId="0" fontId="56" fillId="27" borderId="11" xfId="0" applyFont="1" applyFill="1" applyBorder="1" applyAlignment="1">
      <alignment horizontal="center" vertical="center"/>
    </xf>
    <xf numFmtId="0" fontId="56" fillId="27" borderId="86"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26" fillId="24" borderId="25" xfId="0" applyFont="1" applyFill="1" applyBorder="1" applyAlignment="1">
      <alignment horizontal="center"/>
    </xf>
    <xf numFmtId="0" fontId="26" fillId="24" borderId="26" xfId="0" applyFont="1" applyFill="1" applyBorder="1" applyAlignment="1">
      <alignment horizontal="center"/>
    </xf>
    <xf numFmtId="0" fontId="26" fillId="24" borderId="19" xfId="0" applyFont="1" applyFill="1" applyBorder="1" applyAlignment="1">
      <alignment horizontal="center"/>
    </xf>
    <xf numFmtId="0" fontId="26" fillId="24" borderId="76" xfId="0" applyFont="1" applyFill="1" applyBorder="1" applyAlignment="1">
      <alignment horizontal="center"/>
    </xf>
    <xf numFmtId="0" fontId="26" fillId="24" borderId="22" xfId="0" applyFont="1" applyFill="1" applyBorder="1" applyAlignment="1">
      <alignment horizontal="center"/>
    </xf>
    <xf numFmtId="0" fontId="26" fillId="24" borderId="74" xfId="0" applyFont="1" applyFill="1" applyBorder="1" applyAlignment="1">
      <alignment horizontal="center"/>
    </xf>
    <xf numFmtId="0" fontId="26" fillId="24" borderId="73"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68" xfId="0" applyFont="1" applyFill="1" applyBorder="1" applyAlignment="1">
      <alignment horizontal="center"/>
    </xf>
    <xf numFmtId="0" fontId="26" fillId="24" borderId="69" xfId="0" applyFont="1" applyFill="1" applyBorder="1" applyAlignment="1">
      <alignment horizontal="center"/>
    </xf>
    <xf numFmtId="0" fontId="26" fillId="24" borderId="34" xfId="0" applyFont="1" applyFill="1" applyBorder="1" applyAlignment="1">
      <alignment horizontal="center"/>
    </xf>
    <xf numFmtId="0" fontId="26" fillId="24" borderId="32" xfId="0" applyFont="1" applyFill="1" applyBorder="1" applyAlignment="1">
      <alignment horizontal="center"/>
    </xf>
    <xf numFmtId="0" fontId="26" fillId="24" borderId="43" xfId="0" applyFont="1" applyFill="1" applyBorder="1" applyAlignment="1" applyProtection="1">
      <alignment horizontal="center" vertical="center" textRotation="180" wrapText="1"/>
      <protection locked="0"/>
    </xf>
    <xf numFmtId="0" fontId="44" fillId="0" borderId="75" xfId="0" applyFont="1" applyBorder="1" applyAlignment="1" applyProtection="1">
      <alignment horizontal="center" vertical="center" textRotation="180" wrapText="1"/>
      <protection locked="0"/>
    </xf>
    <xf numFmtId="0" fontId="44" fillId="0" borderId="45" xfId="0" applyFont="1" applyBorder="1" applyAlignment="1" applyProtection="1">
      <alignment horizontal="center" vertical="center" textRotation="180" wrapText="1"/>
      <protection locked="0"/>
    </xf>
    <xf numFmtId="0" fontId="26" fillId="24" borderId="41" xfId="0" applyFont="1" applyFill="1" applyBorder="1" applyAlignment="1" applyProtection="1">
      <alignment horizontal="center" vertical="center" wrapText="1"/>
      <protection locked="0"/>
    </xf>
    <xf numFmtId="0" fontId="0" fillId="0" borderId="42" xfId="0" applyBorder="1" applyAlignment="1" applyProtection="1">
      <alignment horizontal="center" vertical="center" wrapText="1"/>
      <protection locked="0"/>
    </xf>
    <xf numFmtId="0" fontId="0" fillId="0" borderId="36" xfId="0" applyBorder="1" applyAlignment="1" applyProtection="1">
      <alignment horizontal="center" vertical="center" wrapText="1"/>
      <protection locked="0"/>
    </xf>
    <xf numFmtId="0" fontId="0" fillId="0" borderId="75" xfId="0" applyBorder="1" applyAlignment="1" applyProtection="1">
      <alignment horizontal="center" vertical="center" textRotation="180" wrapText="1"/>
      <protection locked="0"/>
    </xf>
    <xf numFmtId="0" fontId="0" fillId="0" borderId="45" xfId="0" applyBorder="1" applyAlignment="1" applyProtection="1">
      <alignment horizontal="center" vertical="center" textRotation="180" wrapText="1"/>
      <protection locked="0"/>
    </xf>
    <xf numFmtId="0" fontId="45" fillId="24" borderId="26" xfId="0" applyFont="1" applyFill="1" applyBorder="1" applyAlignment="1">
      <alignment horizontal="center"/>
    </xf>
    <xf numFmtId="0" fontId="26" fillId="24" borderId="75" xfId="0" applyFont="1" applyFill="1" applyBorder="1" applyAlignment="1" applyProtection="1">
      <alignment horizontal="center" vertical="center" textRotation="180" wrapText="1"/>
      <protection locked="0"/>
    </xf>
    <xf numFmtId="0" fontId="26" fillId="24" borderId="45" xfId="0" applyFont="1" applyFill="1" applyBorder="1" applyAlignment="1" applyProtection="1">
      <alignment horizontal="center" vertical="center" textRotation="180" wrapText="1"/>
      <protection locked="0"/>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6"/>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350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[1]Report1!$A$9:$A$39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39.835000000000001</c:v>
                </c:pt>
                <c:pt idx="1">
                  <c:v>49.100999999999999</c:v>
                </c:pt>
                <c:pt idx="2">
                  <c:v>48.119</c:v>
                </c:pt>
                <c:pt idx="3">
                  <c:v>50.56</c:v>
                </c:pt>
                <c:pt idx="4">
                  <c:v>28.984999999999999</c:v>
                </c:pt>
                <c:pt idx="5">
                  <c:v>56.119</c:v>
                </c:pt>
                <c:pt idx="6">
                  <c:v>56.67</c:v>
                </c:pt>
                <c:pt idx="7">
                  <c:v>51.448</c:v>
                </c:pt>
                <c:pt idx="8">
                  <c:v>50.395000000000003</c:v>
                </c:pt>
                <c:pt idx="9">
                  <c:v>51.182000000000002</c:v>
                </c:pt>
                <c:pt idx="10">
                  <c:v>50.652999999999999</c:v>
                </c:pt>
                <c:pt idx="11">
                  <c:v>49.13</c:v>
                </c:pt>
                <c:pt idx="12">
                  <c:v>29.459</c:v>
                </c:pt>
                <c:pt idx="13">
                  <c:v>53.488999999999997</c:v>
                </c:pt>
                <c:pt idx="14">
                  <c:v>50.347999999999999</c:v>
                </c:pt>
                <c:pt idx="15">
                  <c:v>52.406999999999996</c:v>
                </c:pt>
                <c:pt idx="16">
                  <c:v>52.018000000000001</c:v>
                </c:pt>
                <c:pt idx="17">
                  <c:v>46.14</c:v>
                </c:pt>
                <c:pt idx="18">
                  <c:v>50.061</c:v>
                </c:pt>
                <c:pt idx="19">
                  <c:v>53.6</c:v>
                </c:pt>
                <c:pt idx="20">
                  <c:v>53.741</c:v>
                </c:pt>
                <c:pt idx="21">
                  <c:v>51.213999999999999</c:v>
                </c:pt>
                <c:pt idx="22">
                  <c:v>48.63</c:v>
                </c:pt>
                <c:pt idx="23">
                  <c:v>51.286999999999999</c:v>
                </c:pt>
                <c:pt idx="24">
                  <c:v>48.874000000000002</c:v>
                </c:pt>
                <c:pt idx="25">
                  <c:v>48.337000000000003</c:v>
                </c:pt>
                <c:pt idx="26">
                  <c:v>40.588000000000001</c:v>
                </c:pt>
                <c:pt idx="27">
                  <c:v>55.177</c:v>
                </c:pt>
                <c:pt idx="28">
                  <c:v>50.954999999999998</c:v>
                </c:pt>
                <c:pt idx="29">
                  <c:v>49.741</c:v>
                </c:pt>
                <c:pt idx="30">
                  <c:v>0</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326458968"/>
        <c:axId val="326876800"/>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[1]Report1!$A$9</c:f>
              <c:numCache>
                <c:formatCode>General</c:formatCode>
                <c:ptCount val="1"/>
                <c:pt idx="0">
                  <c:v>45444</c:v>
                </c:pt>
              </c:numCache>
            </c:numRef>
          </c:cat>
          <c:val>
            <c:numRef>
              <c:f>Report1!$J$9:$J$39</c:f>
              <c:numCache>
                <c:formatCode>0.00%</c:formatCode>
                <c:ptCount val="31"/>
                <c:pt idx="0">
                  <c:v>0.72220006040347318</c:v>
                </c:pt>
                <c:pt idx="1">
                  <c:v>0.89075190777271496</c:v>
                </c:pt>
                <c:pt idx="2">
                  <c:v>0.88021327852624942</c:v>
                </c:pt>
                <c:pt idx="3">
                  <c:v>0.92179422004169198</c:v>
                </c:pt>
                <c:pt idx="4">
                  <c:v>0.54867609079830204</c:v>
                </c:pt>
                <c:pt idx="5">
                  <c:v>1.005139451875384</c:v>
                </c:pt>
                <c:pt idx="6">
                  <c:v>0.95309107847395524</c:v>
                </c:pt>
                <c:pt idx="7">
                  <c:v>0.97811112813571321</c:v>
                </c:pt>
                <c:pt idx="8">
                  <c:v>0.94802685303952994</c:v>
                </c:pt>
                <c:pt idx="9">
                  <c:v>0.92780651878810616</c:v>
                </c:pt>
                <c:pt idx="10">
                  <c:v>0.91821702153440543</c:v>
                </c:pt>
                <c:pt idx="11">
                  <c:v>0.89060869579265478</c:v>
                </c:pt>
                <c:pt idx="12">
                  <c:v>0.53402079318859785</c:v>
                </c:pt>
                <c:pt idx="13">
                  <c:v>0.98328789770011327</c:v>
                </c:pt>
                <c:pt idx="14">
                  <c:v>0.92907907059960848</c:v>
                </c:pt>
                <c:pt idx="15">
                  <c:v>0.96297080014302994</c:v>
                </c:pt>
                <c:pt idx="16">
                  <c:v>0.93426728035711137</c:v>
                </c:pt>
                <c:pt idx="17">
                  <c:v>0.85466379693890182</c:v>
                </c:pt>
                <c:pt idx="18">
                  <c:v>0.94715342732880969</c:v>
                </c:pt>
                <c:pt idx="19">
                  <c:v>0.96062044160805338</c:v>
                </c:pt>
                <c:pt idx="20">
                  <c:v>0.97684577591390198</c:v>
                </c:pt>
                <c:pt idx="21">
                  <c:v>0.93131034253043377</c:v>
                </c:pt>
                <c:pt idx="22">
                  <c:v>0.90018751841225031</c:v>
                </c:pt>
                <c:pt idx="23">
                  <c:v>0.93009409381491182</c:v>
                </c:pt>
                <c:pt idx="24">
                  <c:v>0.93980399420860672</c:v>
                </c:pt>
                <c:pt idx="25">
                  <c:v>0.93809888311201073</c:v>
                </c:pt>
                <c:pt idx="26">
                  <c:v>0.75305577798209489</c:v>
                </c:pt>
                <c:pt idx="27">
                  <c:v>1.0023070373394531</c:v>
                </c:pt>
                <c:pt idx="28">
                  <c:v>0.92561311937277901</c:v>
                </c:pt>
                <c:pt idx="29">
                  <c:v>0.90387639014321897</c:v>
                </c:pt>
                <c:pt idx="30">
                  <c:v>0</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[1]Report1!$A$9</c:f>
              <c:numCache>
                <c:formatCode>General</c:formatCode>
                <c:ptCount val="1"/>
                <c:pt idx="0">
                  <c:v>45444</c:v>
                </c:pt>
              </c:numCache>
            </c:numRef>
          </c:cat>
          <c:val>
            <c:numRef>
              <c:f>Report1!$K$9:$K$39</c:f>
              <c:numCache>
                <c:formatCode>0.00%</c:formatCode>
                <c:ptCount val="31"/>
                <c:pt idx="0">
                  <c:v>0.72220006040347318</c:v>
                </c:pt>
                <c:pt idx="1">
                  <c:v>0.80644942556810795</c:v>
                </c:pt>
                <c:pt idx="2">
                  <c:v>0.8308963504674044</c:v>
                </c:pt>
                <c:pt idx="3">
                  <c:v>0.85357949206054795</c:v>
                </c:pt>
                <c:pt idx="4">
                  <c:v>0.79449769110573631</c:v>
                </c:pt>
                <c:pt idx="5">
                  <c:v>0.83030316087430944</c:v>
                </c:pt>
                <c:pt idx="6">
                  <c:v>0.8491238885079474</c:v>
                </c:pt>
                <c:pt idx="7">
                  <c:v>0.8645254838849219</c:v>
                </c:pt>
                <c:pt idx="8">
                  <c:v>0.87351674606644625</c:v>
                </c:pt>
                <c:pt idx="9">
                  <c:v>0.87897349197453722</c:v>
                </c:pt>
                <c:pt idx="10">
                  <c:v>0.882557666822814</c:v>
                </c:pt>
                <c:pt idx="11">
                  <c:v>0.88323144320040026</c:v>
                </c:pt>
                <c:pt idx="12">
                  <c:v>0.85626351928575861</c:v>
                </c:pt>
                <c:pt idx="13">
                  <c:v>0.86525222698801574</c:v>
                </c:pt>
                <c:pt idx="14">
                  <c:v>0.86945537634644154</c:v>
                </c:pt>
                <c:pt idx="15">
                  <c:v>0.8752562039367513</c:v>
                </c:pt>
                <c:pt idx="16">
                  <c:v>0.87877767921810501</c:v>
                </c:pt>
                <c:pt idx="17">
                  <c:v>0.87745872676918213</c:v>
                </c:pt>
                <c:pt idx="18">
                  <c:v>0.88100117522208743</c:v>
                </c:pt>
                <c:pt idx="19">
                  <c:v>0.88505584891061162</c:v>
                </c:pt>
                <c:pt idx="20">
                  <c:v>0.88944441561694243</c:v>
                </c:pt>
                <c:pt idx="21">
                  <c:v>0.89135395418980623</c:v>
                </c:pt>
                <c:pt idx="22">
                  <c:v>0.89173278446705495</c:v>
                </c:pt>
                <c:pt idx="23">
                  <c:v>0.89334159432257509</c:v>
                </c:pt>
                <c:pt idx="24">
                  <c:v>0.89510936851379463</c:v>
                </c:pt>
                <c:pt idx="25">
                  <c:v>0.89667110330686939</c:v>
                </c:pt>
                <c:pt idx="26">
                  <c:v>0.89141350273827458</c:v>
                </c:pt>
                <c:pt idx="27">
                  <c:v>0.89541053004765436</c:v>
                </c:pt>
                <c:pt idx="28">
                  <c:v>0.8964612740978094</c:v>
                </c:pt>
                <c:pt idx="29">
                  <c:v>0.89671048774219353</c:v>
                </c:pt>
                <c:pt idx="30">
                  <c:v>0.89671048774219353</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326877568"/>
        <c:axId val="326877184"/>
      </c:lineChart>
      <c:catAx>
        <c:axId val="326458968"/>
        <c:scaling>
          <c:orientation val="minMax"/>
        </c:scaling>
        <c:delete val="0"/>
        <c:axPos val="b"/>
        <c:numFmt formatCode="General" sourceLinked="1"/>
        <c:majorTickMark val="out"/>
        <c:minorTickMark val="none"/>
        <c:tickLblPos val="nextTo"/>
        <c:crossAx val="326876800"/>
        <c:crosses val="autoZero"/>
        <c:auto val="1"/>
        <c:lblAlgn val="ctr"/>
        <c:lblOffset val="100"/>
        <c:noMultiLvlLbl val="0"/>
      </c:catAx>
      <c:valAx>
        <c:axId val="326876800"/>
        <c:scaling>
          <c:orientation val="minMax"/>
        </c:scaling>
        <c:delete val="0"/>
        <c:axPos val="l"/>
        <c:majorGridlines/>
        <c:numFmt formatCode="#,##0.000" sourceLinked="1"/>
        <c:majorTickMark val="out"/>
        <c:minorTickMark val="none"/>
        <c:tickLblPos val="nextTo"/>
        <c:crossAx val="326458968"/>
        <c:crosses val="autoZero"/>
        <c:crossBetween val="between"/>
      </c:valAx>
      <c:valAx>
        <c:axId val="326877184"/>
        <c:scaling>
          <c:orientation val="minMax"/>
        </c:scaling>
        <c:delete val="0"/>
        <c:axPos val="r"/>
        <c:numFmt formatCode="0.00%" sourceLinked="1"/>
        <c:majorTickMark val="out"/>
        <c:minorTickMark val="none"/>
        <c:tickLblPos val="nextTo"/>
        <c:crossAx val="326877568"/>
        <c:crosses val="max"/>
        <c:crossBetween val="between"/>
      </c:valAx>
      <c:catAx>
        <c:axId val="326877568"/>
        <c:scaling>
          <c:orientation val="minMax"/>
        </c:scaling>
        <c:delete val="1"/>
        <c:axPos val="b"/>
        <c:numFmt formatCode="General" sourceLinked="1"/>
        <c:majorTickMark val="out"/>
        <c:minorTickMark val="none"/>
        <c:tickLblPos val="none"/>
        <c:crossAx val="326877184"/>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in7/Documents/PM%2012/5.%20MEI/DAILY%20REPORT%20PM%20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ILY%20REPORT%20PM%2014%20NOVEMBER%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31"/>
    </sheetNames>
    <sheetDataSet>
      <sheetData sheetId="0">
        <row r="9">
          <cell r="A9">
            <v>45962</v>
          </cell>
          <cell r="AY9">
            <v>4833.8352493035418</v>
          </cell>
        </row>
        <row r="10">
          <cell r="AY10">
            <v>5758.1214458738032</v>
          </cell>
        </row>
        <row r="11">
          <cell r="AY11">
            <v>5677.2508451656522</v>
          </cell>
        </row>
        <row r="12">
          <cell r="AY12">
            <v>5797.0014235291819</v>
          </cell>
        </row>
        <row r="13">
          <cell r="AY13">
            <v>3284.0806608769331</v>
          </cell>
        </row>
        <row r="14">
          <cell r="AY14">
            <v>5525.7640318864815</v>
          </cell>
        </row>
        <row r="15">
          <cell r="AY15">
            <v>5630.8734756244048</v>
          </cell>
        </row>
        <row r="16">
          <cell r="AY16">
            <v>5736.9246367015885</v>
          </cell>
        </row>
        <row r="17">
          <cell r="AY17">
            <v>5178.5088135416127</v>
          </cell>
        </row>
        <row r="18">
          <cell r="AY18">
            <v>6057.2294008671279</v>
          </cell>
        </row>
        <row r="19">
          <cell r="AY19">
            <v>5520.4515244876302</v>
          </cell>
        </row>
        <row r="20">
          <cell r="AY20">
            <v>5202.9032953432006</v>
          </cell>
        </row>
        <row r="21">
          <cell r="AY21">
            <v>4176.7592610150214</v>
          </cell>
        </row>
        <row r="22">
          <cell r="AY22">
            <v>4647.6580504159374</v>
          </cell>
        </row>
        <row r="23">
          <cell r="AY23">
            <v>5203.8417554071029</v>
          </cell>
        </row>
        <row r="24">
          <cell r="AY24">
            <v>4431.357533385567</v>
          </cell>
        </row>
        <row r="25">
          <cell r="AY25">
            <v>4932.4204334457299</v>
          </cell>
        </row>
        <row r="26">
          <cell r="AY26">
            <v>4592.7878337296006</v>
          </cell>
        </row>
        <row r="27">
          <cell r="AY27">
            <v>4936.0697373071034</v>
          </cell>
        </row>
        <row r="28">
          <cell r="AY28">
            <v>4963.8618597987543</v>
          </cell>
        </row>
        <row r="29">
          <cell r="AY29">
            <v>4746.5878913899542</v>
          </cell>
        </row>
        <row r="30">
          <cell r="AY30">
            <v>5286.2928978596783</v>
          </cell>
        </row>
        <row r="31">
          <cell r="AY31">
            <v>4809.6641632370647</v>
          </cell>
        </row>
        <row r="32">
          <cell r="AY32">
            <v>5136.4029435791126</v>
          </cell>
        </row>
        <row r="33">
          <cell r="AY33">
            <v>4957.5886846812409</v>
          </cell>
        </row>
        <row r="34">
          <cell r="AY34">
            <v>5103.9969869591823</v>
          </cell>
        </row>
        <row r="35">
          <cell r="AY35">
            <v>4547.0984779411765</v>
          </cell>
        </row>
        <row r="36">
          <cell r="AY36">
            <v>4920.9034320951769</v>
          </cell>
        </row>
        <row r="37">
          <cell r="AY37">
            <v>4830.1226655049813</v>
          </cell>
        </row>
        <row r="38">
          <cell r="AY38">
            <v>4985.3484513274334</v>
          </cell>
        </row>
      </sheetData>
      <sheetData sheetId="1"/>
      <sheetData sheetId="2"/>
      <sheetData sheetId="3">
        <row r="4">
          <cell r="H4">
            <v>266</v>
          </cell>
        </row>
      </sheetData>
      <sheetData sheetId="4">
        <row r="168">
          <cell r="K168">
            <v>1333.8945504418539</v>
          </cell>
        </row>
      </sheetData>
      <sheetData sheetId="5"/>
      <sheetData sheetId="6"/>
      <sheetData sheetId="7">
        <row r="3">
          <cell r="AG3">
            <v>3.4670000000000001</v>
          </cell>
        </row>
      </sheetData>
      <sheetData sheetId="8"/>
      <sheetData sheetId="9"/>
      <sheetData sheetId="10"/>
      <sheetData sheetId="11">
        <row r="9">
          <cell r="K9">
            <v>41049</v>
          </cell>
        </row>
      </sheetData>
      <sheetData sheetId="12">
        <row r="7">
          <cell r="K7">
            <v>9760</v>
          </cell>
        </row>
      </sheetData>
      <sheetData sheetId="13">
        <row r="7">
          <cell r="K7">
            <v>18028</v>
          </cell>
        </row>
      </sheetData>
      <sheetData sheetId="14">
        <row r="7">
          <cell r="K7">
            <v>28987</v>
          </cell>
        </row>
      </sheetData>
      <sheetData sheetId="15">
        <row r="12">
          <cell r="K12">
            <v>38931</v>
          </cell>
        </row>
      </sheetData>
      <sheetData sheetId="16">
        <row r="11">
          <cell r="K11">
            <v>17248</v>
          </cell>
        </row>
      </sheetData>
      <sheetData sheetId="17">
        <row r="11">
          <cell r="K11">
            <v>35371</v>
          </cell>
        </row>
      </sheetData>
      <sheetData sheetId="18">
        <row r="7">
          <cell r="D7">
            <v>900</v>
          </cell>
        </row>
      </sheetData>
      <sheetData sheetId="19">
        <row r="8">
          <cell r="K8">
            <v>9577</v>
          </cell>
        </row>
      </sheetData>
      <sheetData sheetId="20">
        <row r="7">
          <cell r="D7">
            <v>197</v>
          </cell>
        </row>
      </sheetData>
      <sheetData sheetId="21">
        <row r="8">
          <cell r="K8">
            <v>8581</v>
          </cell>
        </row>
      </sheetData>
      <sheetData sheetId="22">
        <row r="7">
          <cell r="K7">
            <v>25437</v>
          </cell>
        </row>
      </sheetData>
      <sheetData sheetId="23">
        <row r="7">
          <cell r="K7">
            <v>34367</v>
          </cell>
        </row>
      </sheetData>
      <sheetData sheetId="24">
        <row r="7">
          <cell r="K7">
            <v>25547</v>
          </cell>
        </row>
      </sheetData>
      <sheetData sheetId="25">
        <row r="7">
          <cell r="K7">
            <v>22441</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34">
          <cell r="C34">
            <v>0</v>
          </cell>
        </row>
      </sheetData>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 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7">
          <cell r="D7">
            <v>0</v>
          </cell>
          <cell r="AL7">
            <v>26590.65</v>
          </cell>
          <cell r="AM7">
            <v>9430.65</v>
          </cell>
          <cell r="AN7">
            <v>370.00000000000455</v>
          </cell>
          <cell r="BM7">
            <v>22450.48</v>
          </cell>
          <cell r="BQ7">
            <v>312</v>
          </cell>
        </row>
        <row r="8">
          <cell r="AL8">
            <v>32039.89</v>
          </cell>
          <cell r="AM8">
            <v>11879.89</v>
          </cell>
          <cell r="AN8">
            <v>519.99999999998181</v>
          </cell>
          <cell r="BM8">
            <v>24059.699999999997</v>
          </cell>
          <cell r="BQ8">
            <v>228</v>
          </cell>
        </row>
        <row r="9">
          <cell r="AL9">
            <v>32133.54</v>
          </cell>
          <cell r="AM9">
            <v>10973.54</v>
          </cell>
          <cell r="AN9">
            <v>500</v>
          </cell>
          <cell r="BM9">
            <v>20908.800000000017</v>
          </cell>
          <cell r="BQ9">
            <v>289.10000000003492</v>
          </cell>
        </row>
        <row r="10">
          <cell r="AL10">
            <v>30100.87</v>
          </cell>
          <cell r="AM10">
            <v>9940.8700000000008</v>
          </cell>
          <cell r="AN10">
            <v>470.00000000002728</v>
          </cell>
          <cell r="BM10">
            <v>25540.800000000054</v>
          </cell>
          <cell r="BQ10">
            <v>323</v>
          </cell>
        </row>
        <row r="11">
          <cell r="AL11">
            <v>14892.28</v>
          </cell>
          <cell r="AM11">
            <v>7732.28</v>
          </cell>
          <cell r="AN11">
            <v>360.00000000001364</v>
          </cell>
          <cell r="BM11">
            <v>13904.05799999997</v>
          </cell>
          <cell r="BQ11">
            <v>215.59999999997672</v>
          </cell>
        </row>
        <row r="12">
          <cell r="AL12">
            <v>26354.89</v>
          </cell>
          <cell r="AM12">
            <v>11194.89</v>
          </cell>
          <cell r="AN12">
            <v>709.99999999992269</v>
          </cell>
          <cell r="BM12">
            <v>26617.533999999574</v>
          </cell>
          <cell r="BQ12">
            <v>301.79999999995925</v>
          </cell>
        </row>
        <row r="13">
          <cell r="AL13">
            <v>26643.05</v>
          </cell>
          <cell r="AM13">
            <v>10483.049999999999</v>
          </cell>
          <cell r="AN13">
            <v>720.00000000002728</v>
          </cell>
          <cell r="BM13">
            <v>26562.96500000075</v>
          </cell>
          <cell r="BQ13">
            <v>327</v>
          </cell>
        </row>
        <row r="14">
          <cell r="AL14">
            <v>28144.25</v>
          </cell>
          <cell r="AM14">
            <v>12984.25</v>
          </cell>
          <cell r="AN14">
            <v>610.00000000001364</v>
          </cell>
          <cell r="BM14">
            <v>27933.702999999685</v>
          </cell>
          <cell r="BQ14">
            <v>297.10000000003492</v>
          </cell>
        </row>
        <row r="15">
          <cell r="AL15">
            <v>28418.97</v>
          </cell>
          <cell r="AM15">
            <v>10258.969999999999</v>
          </cell>
          <cell r="AN15">
            <v>519.99999999998181</v>
          </cell>
          <cell r="BM15">
            <v>25080.699999999928</v>
          </cell>
          <cell r="BQ15">
            <v>296.39999999999418</v>
          </cell>
        </row>
        <row r="16">
          <cell r="AL16">
            <v>32331.119999999999</v>
          </cell>
          <cell r="AM16">
            <v>10171.120000000001</v>
          </cell>
          <cell r="AN16">
            <v>409.99999999996817</v>
          </cell>
          <cell r="BM16">
            <v>24949.200000000004</v>
          </cell>
          <cell r="BQ16">
            <v>310.10000000000582</v>
          </cell>
        </row>
        <row r="17">
          <cell r="AL17">
            <v>33462.869999999995</v>
          </cell>
          <cell r="AM17">
            <v>10302.870000000001</v>
          </cell>
          <cell r="AN17">
            <v>480.00000000001819</v>
          </cell>
          <cell r="BM17">
            <v>22984.000000000004</v>
          </cell>
          <cell r="BQ17">
            <v>339.89999999999418</v>
          </cell>
        </row>
        <row r="18">
          <cell r="AL18">
            <v>33316.93</v>
          </cell>
          <cell r="AM18">
            <v>9156.93</v>
          </cell>
          <cell r="AN18">
            <v>300.00000000006821</v>
          </cell>
          <cell r="BM18">
            <v>23558.400000000001</v>
          </cell>
          <cell r="BQ18">
            <v>340.10000000000582</v>
          </cell>
        </row>
        <row r="19">
          <cell r="AL19">
            <v>26569.65</v>
          </cell>
          <cell r="AM19">
            <v>10409.65</v>
          </cell>
          <cell r="AN19">
            <v>399.99999999997726</v>
          </cell>
          <cell r="BM19">
            <v>19986.300000000007</v>
          </cell>
          <cell r="BQ19">
            <v>230.10000000000582</v>
          </cell>
        </row>
        <row r="20">
          <cell r="AL20">
            <v>27814.69</v>
          </cell>
          <cell r="AM20">
            <v>9654.69</v>
          </cell>
          <cell r="AN20">
            <v>610.00000000001364</v>
          </cell>
          <cell r="BM20">
            <v>23431.799999999959</v>
          </cell>
          <cell r="BQ20">
            <v>319.79999999998836</v>
          </cell>
        </row>
        <row r="21">
          <cell r="AL21">
            <v>29194.76</v>
          </cell>
          <cell r="AM21">
            <v>7034.76</v>
          </cell>
          <cell r="AN21">
            <v>579.99999999992724</v>
          </cell>
          <cell r="BM21">
            <v>26779.450000000088</v>
          </cell>
          <cell r="BQ21">
            <v>330.10000000000582</v>
          </cell>
        </row>
        <row r="22">
          <cell r="AL22">
            <v>29222.41</v>
          </cell>
          <cell r="AM22">
            <v>14062.41</v>
          </cell>
          <cell r="AN22">
            <v>540.00000000007731</v>
          </cell>
          <cell r="BM22">
            <v>29148.448000000011</v>
          </cell>
          <cell r="BQ22">
            <v>270.10000000000582</v>
          </cell>
        </row>
        <row r="23">
          <cell r="AL23">
            <v>29799.53</v>
          </cell>
          <cell r="AM23">
            <v>10639.53</v>
          </cell>
          <cell r="AN23">
            <v>700.99999999990814</v>
          </cell>
          <cell r="BM23">
            <v>28612.683000000296</v>
          </cell>
          <cell r="BQ23">
            <v>342.09999999997672</v>
          </cell>
        </row>
        <row r="24">
          <cell r="AL24">
            <v>27026.94</v>
          </cell>
          <cell r="AM24">
            <v>9866.94</v>
          </cell>
          <cell r="AN24">
            <v>528.99999999999636</v>
          </cell>
          <cell r="BM24">
            <v>20612.789999999659</v>
          </cell>
          <cell r="BQ24">
            <v>307.70000000001164</v>
          </cell>
        </row>
        <row r="25">
          <cell r="AL25">
            <v>29168</v>
          </cell>
          <cell r="AM25">
            <v>11008</v>
          </cell>
          <cell r="AN25">
            <v>730.00000000001819</v>
          </cell>
          <cell r="BM25">
            <v>27698.000000000051</v>
          </cell>
          <cell r="BQ25">
            <v>320.10000000000582</v>
          </cell>
        </row>
        <row r="26">
          <cell r="AL26">
            <v>27254.53</v>
          </cell>
          <cell r="AM26">
            <v>10094.530000000001</v>
          </cell>
          <cell r="AN26">
            <v>670.00000000007276</v>
          </cell>
          <cell r="BM26">
            <v>25682.800000000003</v>
          </cell>
          <cell r="BQ26">
            <v>330.10000000000582</v>
          </cell>
        </row>
        <row r="27">
          <cell r="AL27">
            <v>26243.01</v>
          </cell>
          <cell r="AM27">
            <v>11083.01</v>
          </cell>
          <cell r="AN27">
            <v>809.99999999994543</v>
          </cell>
          <cell r="BM27">
            <v>24315.000000000004</v>
          </cell>
          <cell r="BQ27">
            <v>349.79999999998836</v>
          </cell>
        </row>
        <row r="28">
          <cell r="AL28">
            <v>28405.85</v>
          </cell>
          <cell r="AM28">
            <v>10245.85</v>
          </cell>
          <cell r="AN28">
            <v>560.00000000005912</v>
          </cell>
          <cell r="BM28">
            <v>24598.000000000004</v>
          </cell>
          <cell r="BQ28">
            <v>340.10000000000582</v>
          </cell>
        </row>
        <row r="29">
          <cell r="AL29">
            <v>30760.799999999999</v>
          </cell>
          <cell r="AM29">
            <v>10600.8</v>
          </cell>
          <cell r="AN29">
            <v>490.00000000000909</v>
          </cell>
          <cell r="BM29">
            <v>22710.500000000004</v>
          </cell>
          <cell r="BQ29">
            <v>280.10000000000582</v>
          </cell>
        </row>
        <row r="30">
          <cell r="AL30">
            <v>29855.84</v>
          </cell>
          <cell r="AM30">
            <v>10695.84</v>
          </cell>
          <cell r="AN30">
            <v>389.99999999998636</v>
          </cell>
          <cell r="BM30">
            <v>25592.700000000004</v>
          </cell>
          <cell r="BQ30">
            <v>320.04999999998836</v>
          </cell>
        </row>
        <row r="31">
          <cell r="AL31">
            <v>30843.32</v>
          </cell>
          <cell r="AM31">
            <v>9683.32</v>
          </cell>
          <cell r="AN31">
            <v>459.99999999992269</v>
          </cell>
          <cell r="BM31">
            <v>26406.099999999824</v>
          </cell>
          <cell r="BQ31">
            <v>340.04999999998836</v>
          </cell>
        </row>
        <row r="32">
          <cell r="AL32">
            <v>33727.229999999996</v>
          </cell>
          <cell r="AM32">
            <v>10567.23</v>
          </cell>
          <cell r="AN32">
            <v>550.00000000006821</v>
          </cell>
          <cell r="BM32">
            <v>21645.500000000073</v>
          </cell>
          <cell r="BQ32">
            <v>289.70000000001164</v>
          </cell>
        </row>
        <row r="33">
          <cell r="AL33">
            <v>29678.89</v>
          </cell>
          <cell r="AM33">
            <v>10518.89</v>
          </cell>
          <cell r="AN33">
            <v>399.99999999997726</v>
          </cell>
          <cell r="BM33">
            <v>17920.357999999818</v>
          </cell>
          <cell r="BQ33">
            <v>282.0000000000291</v>
          </cell>
        </row>
        <row r="34">
          <cell r="AL34">
            <v>33210.400000000001</v>
          </cell>
          <cell r="AM34">
            <v>10050.4</v>
          </cell>
          <cell r="AN34">
            <v>309.99999999994543</v>
          </cell>
          <cell r="BM34">
            <v>24886.071000000244</v>
          </cell>
          <cell r="BQ34">
            <v>404.19999999998254</v>
          </cell>
        </row>
        <row r="35">
          <cell r="AL35">
            <v>34435.61</v>
          </cell>
          <cell r="AM35">
            <v>11275.61</v>
          </cell>
          <cell r="AN35">
            <v>170.00000000007276</v>
          </cell>
          <cell r="BM35">
            <v>24126.427199999751</v>
          </cell>
          <cell r="BQ35">
            <v>337.51999999996042</v>
          </cell>
        </row>
        <row r="36">
          <cell r="AL36">
            <v>33538.300000000003</v>
          </cell>
          <cell r="AM36">
            <v>10378.299999999999</v>
          </cell>
          <cell r="AN36">
            <v>110.00000000001364</v>
          </cell>
          <cell r="BM36">
            <v>23744.557200000509</v>
          </cell>
          <cell r="BQ36">
            <v>315.0800000000454</v>
          </cell>
        </row>
        <row r="37">
          <cell r="AL37">
            <v>0</v>
          </cell>
          <cell r="AM37">
            <v>0</v>
          </cell>
          <cell r="AN37">
            <v>0</v>
          </cell>
          <cell r="BM37">
            <v>0</v>
          </cell>
          <cell r="BQ37">
            <v>0</v>
          </cell>
        </row>
      </sheetData>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32" sqref="M32"/>
    </sheetView>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AD21" activePane="bottomRight" state="frozen"/>
      <selection pane="topRight" activeCell="E1" sqref="E1"/>
      <selection pane="bottomLeft" activeCell="A9" sqref="A9"/>
      <selection pane="bottomRight" activeCell="AJ42" sqref="AJ42"/>
    </sheetView>
  </sheetViews>
  <sheetFormatPr defaultColWidth="9.140625" defaultRowHeight="12.75"/>
  <cols>
    <col min="1" max="1" width="7.42578125" style="282" bestFit="1" customWidth="1"/>
    <col min="2" max="2" width="10.42578125" style="281" bestFit="1" customWidth="1"/>
    <col min="3" max="3" width="12.28515625" style="281" bestFit="1" customWidth="1"/>
    <col min="4" max="5" width="8.42578125" style="281" customWidth="1"/>
    <col min="6" max="6" width="6.28515625" style="281" customWidth="1"/>
    <col min="7" max="7" width="8.28515625" style="281" customWidth="1"/>
    <col min="8" max="8" width="10.42578125" style="281" customWidth="1"/>
    <col min="9" max="9" width="12.28515625" style="281" customWidth="1"/>
    <col min="10" max="11" width="10.5703125" style="281" customWidth="1"/>
    <col min="12" max="12" width="10" style="283" bestFit="1" customWidth="1"/>
    <col min="13" max="15" width="9.42578125" style="284" customWidth="1"/>
    <col min="16" max="16" width="10.28515625" style="283" bestFit="1" customWidth="1"/>
    <col min="17" max="17" width="8.140625" style="284" customWidth="1"/>
    <col min="18" max="18" width="10.28515625" style="283" bestFit="1" customWidth="1"/>
    <col min="19" max="19" width="8.28515625" style="285" bestFit="1" customWidth="1"/>
    <col min="20" max="20" width="9" style="285" hidden="1" customWidth="1"/>
    <col min="21" max="21" width="7.28515625" style="285" hidden="1" customWidth="1"/>
    <col min="22" max="22" width="8.28515625" style="286" hidden="1" customWidth="1"/>
    <col min="23" max="23" width="7.28515625" style="287" hidden="1" customWidth="1"/>
    <col min="24" max="24" width="6.85546875" style="285" hidden="1" customWidth="1"/>
    <col min="25" max="25" width="6.28515625" style="285" hidden="1" customWidth="1"/>
    <col min="26" max="26" width="10" style="288" hidden="1" customWidth="1"/>
    <col min="27" max="27" width="7.140625" style="285" hidden="1" customWidth="1"/>
    <col min="28" max="28" width="11.140625" style="284" customWidth="1"/>
    <col min="29" max="29" width="10.140625" style="284" customWidth="1"/>
    <col min="30" max="30" width="7.5703125" style="284" customWidth="1"/>
    <col min="31" max="31" width="7.140625" style="284" customWidth="1"/>
    <col min="32" max="32" width="6.5703125" style="289" customWidth="1"/>
    <col min="33" max="33" width="6.85546875" style="287" customWidth="1"/>
    <col min="34" max="34" width="9.28515625" style="285" bestFit="1" customWidth="1"/>
    <col min="35" max="35" width="7.85546875" style="285" customWidth="1"/>
    <col min="36" max="36" width="8.7109375" style="288" bestFit="1" customWidth="1"/>
    <col min="37" max="37" width="6.85546875" style="288" bestFit="1" customWidth="1"/>
    <col min="38" max="38" width="8.140625" style="285" bestFit="1" customWidth="1"/>
    <col min="39" max="39" width="7.5703125" style="288" bestFit="1" customWidth="1"/>
    <col min="40" max="45" width="7.5703125" style="288" customWidth="1"/>
    <col min="46" max="47" width="10.7109375" style="285" bestFit="1" customWidth="1"/>
    <col min="48" max="51" width="7.5703125" style="288" customWidth="1"/>
    <col min="58" max="58" width="8.85546875" style="285" customWidth="1"/>
    <col min="59" max="59" width="11.140625" style="285" customWidth="1"/>
    <col min="60" max="63" width="7.5703125" style="288" customWidth="1"/>
    <col min="64" max="64" width="8.7109375" style="283" customWidth="1"/>
    <col min="65" max="65" width="8.7109375" style="284" customWidth="1"/>
    <col min="66" max="67" width="8.7109375" style="281" customWidth="1"/>
  </cols>
  <sheetData>
    <row r="1" spans="1:67" ht="12.75" customHeight="1">
      <c r="A1" s="280"/>
    </row>
    <row r="2" spans="1:67">
      <c r="A2" s="280"/>
    </row>
    <row r="3" spans="1:67" ht="12.75" customHeight="1">
      <c r="A3" s="446" t="s">
        <v>391</v>
      </c>
      <c r="B3" s="446"/>
      <c r="C3" s="446"/>
      <c r="D3" s="446"/>
      <c r="E3" s="446"/>
      <c r="F3" s="446"/>
      <c r="G3" s="446"/>
      <c r="H3" s="446"/>
      <c r="I3" s="446"/>
      <c r="J3" s="446"/>
      <c r="K3" s="446"/>
      <c r="L3" s="446"/>
      <c r="M3" s="446"/>
      <c r="N3" s="446"/>
      <c r="O3" s="446"/>
      <c r="P3" s="446"/>
      <c r="Q3" s="446"/>
      <c r="R3" s="446"/>
      <c r="S3" s="446"/>
      <c r="T3" s="446"/>
      <c r="U3" s="446"/>
      <c r="V3" s="446"/>
      <c r="W3" s="446"/>
      <c r="X3" s="446"/>
      <c r="Y3" s="446"/>
      <c r="Z3" s="446"/>
      <c r="AA3" s="446"/>
      <c r="AB3" s="446"/>
      <c r="AC3" s="446"/>
      <c r="AD3" s="446"/>
      <c r="AE3" s="446"/>
      <c r="AF3" s="446"/>
      <c r="AG3" s="446"/>
      <c r="AH3" s="446"/>
      <c r="AI3" s="446"/>
      <c r="AJ3" s="446"/>
      <c r="AK3" s="446"/>
      <c r="AL3" s="446"/>
      <c r="AM3" s="446"/>
      <c r="AN3" s="446"/>
      <c r="AO3" s="446"/>
      <c r="AP3" s="446"/>
      <c r="AQ3" s="446"/>
      <c r="AR3" s="446"/>
      <c r="AS3" s="446"/>
      <c r="AT3" s="446"/>
      <c r="AU3" s="446"/>
      <c r="AV3" s="446"/>
      <c r="AW3" s="446"/>
      <c r="AX3" s="446"/>
      <c r="AY3" s="446"/>
      <c r="AZ3" s="446"/>
      <c r="BA3" s="446"/>
      <c r="BB3" s="446"/>
      <c r="BC3" s="446"/>
      <c r="BF3" s="584"/>
      <c r="BG3" s="584"/>
      <c r="BH3" s="584"/>
      <c r="BI3" s="584"/>
      <c r="BJ3" s="584"/>
      <c r="BK3" s="584"/>
      <c r="BL3"/>
      <c r="BM3"/>
      <c r="BN3"/>
      <c r="BO3"/>
    </row>
    <row r="4" spans="1:67" ht="12.75" customHeight="1">
      <c r="A4" s="446"/>
      <c r="B4" s="446"/>
      <c r="C4" s="446"/>
      <c r="D4" s="446"/>
      <c r="E4" s="446"/>
      <c r="F4" s="446"/>
      <c r="G4" s="446"/>
      <c r="H4" s="446"/>
      <c r="I4" s="446"/>
      <c r="J4" s="446"/>
      <c r="K4" s="446"/>
      <c r="L4" s="446"/>
      <c r="M4" s="446"/>
      <c r="N4" s="446"/>
      <c r="O4" s="446"/>
      <c r="P4" s="446"/>
      <c r="Q4" s="446"/>
      <c r="R4" s="446"/>
      <c r="S4" s="446"/>
      <c r="T4" s="446"/>
      <c r="U4" s="446"/>
      <c r="V4" s="446"/>
      <c r="W4" s="446"/>
      <c r="X4" s="446"/>
      <c r="Y4" s="446"/>
      <c r="Z4" s="446"/>
      <c r="AA4" s="446"/>
      <c r="AB4" s="446"/>
      <c r="AC4" s="446"/>
      <c r="AD4" s="446"/>
      <c r="AE4" s="446"/>
      <c r="AF4" s="446"/>
      <c r="AG4" s="446"/>
      <c r="AH4" s="446"/>
      <c r="AI4" s="446"/>
      <c r="AJ4" s="446"/>
      <c r="AK4" s="446"/>
      <c r="AL4" s="446"/>
      <c r="AM4" s="446"/>
      <c r="AN4" s="446"/>
      <c r="AO4" s="446"/>
      <c r="AP4" s="446"/>
      <c r="AQ4" s="446"/>
      <c r="AR4" s="446"/>
      <c r="AS4" s="446"/>
      <c r="AT4" s="446"/>
      <c r="AU4" s="446"/>
      <c r="AV4" s="446"/>
      <c r="AW4" s="446"/>
      <c r="AX4" s="446"/>
      <c r="AY4" s="446"/>
      <c r="AZ4" s="446"/>
      <c r="BA4" s="446"/>
      <c r="BB4" s="446"/>
      <c r="BC4" s="446"/>
      <c r="BF4" s="584"/>
      <c r="BG4" s="584"/>
      <c r="BH4" s="584"/>
      <c r="BI4" s="584"/>
      <c r="BJ4" s="584"/>
      <c r="BK4" s="584"/>
      <c r="BL4"/>
      <c r="BM4"/>
      <c r="BN4"/>
      <c r="BO4"/>
    </row>
    <row r="5" spans="1:67">
      <c r="BN5" s="284"/>
      <c r="BO5" s="284"/>
    </row>
    <row r="6" spans="1:67" ht="22.7" customHeight="1">
      <c r="A6" s="607" t="s">
        <v>30</v>
      </c>
      <c r="B6" s="610" t="s">
        <v>6</v>
      </c>
      <c r="C6" s="610" t="s">
        <v>7</v>
      </c>
      <c r="D6" s="610" t="s">
        <v>191</v>
      </c>
      <c r="E6" s="610" t="s">
        <v>192</v>
      </c>
      <c r="F6" s="610" t="s">
        <v>193</v>
      </c>
      <c r="G6" s="610" t="s">
        <v>198</v>
      </c>
      <c r="H6" s="610" t="s">
        <v>194</v>
      </c>
      <c r="I6" s="610" t="s">
        <v>195</v>
      </c>
      <c r="J6" s="602" t="s">
        <v>196</v>
      </c>
      <c r="K6" s="603"/>
      <c r="L6" s="599" t="s">
        <v>197</v>
      </c>
      <c r="M6" s="599"/>
      <c r="N6" s="599" t="s">
        <v>199</v>
      </c>
      <c r="O6" s="599"/>
      <c r="P6" s="600" t="s">
        <v>31</v>
      </c>
      <c r="Q6" s="600"/>
      <c r="R6" s="601" t="s">
        <v>24</v>
      </c>
      <c r="S6" s="601"/>
      <c r="T6" s="601" t="s">
        <v>32</v>
      </c>
      <c r="U6" s="601"/>
      <c r="V6" s="601" t="s">
        <v>33</v>
      </c>
      <c r="W6" s="601"/>
      <c r="X6" s="601" t="s">
        <v>34</v>
      </c>
      <c r="Y6" s="601"/>
      <c r="Z6" s="601"/>
      <c r="AA6" s="601"/>
      <c r="AB6" s="601" t="s">
        <v>35</v>
      </c>
      <c r="AC6" s="601"/>
      <c r="AD6" s="601"/>
      <c r="AE6" s="601"/>
      <c r="AF6" s="601"/>
      <c r="AG6" s="601"/>
      <c r="AH6" s="601" t="s">
        <v>36</v>
      </c>
      <c r="AI6" s="601"/>
      <c r="AJ6" s="601"/>
      <c r="AK6" s="601"/>
      <c r="AL6" s="601"/>
      <c r="AM6" s="601"/>
      <c r="AN6" s="601" t="s">
        <v>189</v>
      </c>
      <c r="AO6" s="601"/>
      <c r="AP6" s="601"/>
      <c r="AQ6" s="601"/>
      <c r="AR6" s="601"/>
      <c r="AS6" s="601"/>
      <c r="AT6" s="601" t="s">
        <v>37</v>
      </c>
      <c r="AU6" s="601"/>
      <c r="AV6" s="601"/>
      <c r="AW6" s="601"/>
      <c r="AX6" s="601"/>
      <c r="AY6" s="601"/>
      <c r="AZ6" s="601" t="s">
        <v>188</v>
      </c>
      <c r="BA6" s="601"/>
      <c r="BB6" s="601"/>
      <c r="BC6" s="601"/>
      <c r="BD6" s="601"/>
      <c r="BE6" s="601"/>
      <c r="BF6" s="601" t="s">
        <v>440</v>
      </c>
      <c r="BG6" s="601"/>
      <c r="BH6" s="601"/>
      <c r="BI6" s="601"/>
      <c r="BJ6" s="601"/>
      <c r="BK6" s="601"/>
      <c r="BL6" s="599" t="s">
        <v>367</v>
      </c>
      <c r="BM6" s="599"/>
      <c r="BN6" s="602" t="s">
        <v>368</v>
      </c>
      <c r="BO6" s="603"/>
    </row>
    <row r="7" spans="1:67" ht="22.7" customHeight="1">
      <c r="A7" s="608"/>
      <c r="B7" s="610"/>
      <c r="C7" s="610"/>
      <c r="D7" s="610"/>
      <c r="E7" s="610"/>
      <c r="F7" s="610"/>
      <c r="G7" s="610"/>
      <c r="H7" s="610"/>
      <c r="I7" s="610"/>
      <c r="J7" s="604"/>
      <c r="K7" s="605"/>
      <c r="L7" s="599"/>
      <c r="M7" s="599"/>
      <c r="N7" s="599"/>
      <c r="O7" s="599"/>
      <c r="P7" s="600"/>
      <c r="Q7" s="600"/>
      <c r="R7" s="601"/>
      <c r="S7" s="601"/>
      <c r="T7" s="601"/>
      <c r="U7" s="601"/>
      <c r="V7" s="601"/>
      <c r="W7" s="601"/>
      <c r="X7" s="601" t="s">
        <v>40</v>
      </c>
      <c r="Y7" s="601"/>
      <c r="Z7" s="601" t="s">
        <v>39</v>
      </c>
      <c r="AA7" s="601"/>
      <c r="AB7" s="601" t="s">
        <v>40</v>
      </c>
      <c r="AC7" s="601"/>
      <c r="AD7" s="601" t="s">
        <v>38</v>
      </c>
      <c r="AE7" s="601"/>
      <c r="AF7" s="601" t="s">
        <v>39</v>
      </c>
      <c r="AG7" s="601"/>
      <c r="AH7" s="601" t="s">
        <v>40</v>
      </c>
      <c r="AI7" s="601"/>
      <c r="AJ7" s="606" t="s">
        <v>38</v>
      </c>
      <c r="AK7" s="606"/>
      <c r="AL7" s="601" t="s">
        <v>39</v>
      </c>
      <c r="AM7" s="601"/>
      <c r="AN7" s="601" t="s">
        <v>40</v>
      </c>
      <c r="AO7" s="601"/>
      <c r="AP7" s="606" t="s">
        <v>38</v>
      </c>
      <c r="AQ7" s="606"/>
      <c r="AR7" s="601" t="s">
        <v>39</v>
      </c>
      <c r="AS7" s="601"/>
      <c r="AT7" s="601" t="s">
        <v>40</v>
      </c>
      <c r="AU7" s="601"/>
      <c r="AV7" s="601" t="s">
        <v>27</v>
      </c>
      <c r="AW7" s="601"/>
      <c r="AX7" s="601" t="s">
        <v>28</v>
      </c>
      <c r="AY7" s="601"/>
      <c r="AZ7" s="601" t="s">
        <v>40</v>
      </c>
      <c r="BA7" s="601"/>
      <c r="BB7" s="601" t="s">
        <v>27</v>
      </c>
      <c r="BC7" s="601"/>
      <c r="BD7" s="601" t="s">
        <v>28</v>
      </c>
      <c r="BE7" s="601"/>
      <c r="BF7" s="601" t="s">
        <v>40</v>
      </c>
      <c r="BG7" s="601"/>
      <c r="BH7" s="601" t="s">
        <v>27</v>
      </c>
      <c r="BI7" s="601"/>
      <c r="BJ7" s="601" t="s">
        <v>28</v>
      </c>
      <c r="BK7" s="601"/>
      <c r="BL7" s="599"/>
      <c r="BM7" s="599"/>
      <c r="BN7" s="604"/>
      <c r="BO7" s="605"/>
    </row>
    <row r="8" spans="1:67" s="1" customFormat="1">
      <c r="A8" s="609"/>
      <c r="B8" s="610"/>
      <c r="C8" s="610"/>
      <c r="D8" s="610"/>
      <c r="E8" s="610"/>
      <c r="F8" s="610"/>
      <c r="G8" s="610"/>
      <c r="H8" s="610"/>
      <c r="I8" s="610"/>
      <c r="J8" s="452" t="s">
        <v>41</v>
      </c>
      <c r="K8" s="450" t="s">
        <v>42</v>
      </c>
      <c r="L8" s="290" t="s">
        <v>41</v>
      </c>
      <c r="M8" s="291" t="s">
        <v>42</v>
      </c>
      <c r="N8" s="290" t="s">
        <v>41</v>
      </c>
      <c r="O8" s="291" t="s">
        <v>42</v>
      </c>
      <c r="P8" s="290" t="s">
        <v>41</v>
      </c>
      <c r="Q8" s="291" t="s">
        <v>42</v>
      </c>
      <c r="R8" s="290" t="s">
        <v>41</v>
      </c>
      <c r="S8" s="292" t="s">
        <v>42</v>
      </c>
      <c r="T8" s="293" t="s">
        <v>41</v>
      </c>
      <c r="U8" s="292" t="s">
        <v>42</v>
      </c>
      <c r="V8" s="294" t="s">
        <v>41</v>
      </c>
      <c r="W8" s="291" t="s">
        <v>42</v>
      </c>
      <c r="X8" s="293" t="s">
        <v>41</v>
      </c>
      <c r="Y8" s="292" t="s">
        <v>42</v>
      </c>
      <c r="Z8" s="295" t="s">
        <v>41</v>
      </c>
      <c r="AA8" s="292" t="s">
        <v>42</v>
      </c>
      <c r="AB8" s="296" t="s">
        <v>41</v>
      </c>
      <c r="AC8" s="291" t="s">
        <v>42</v>
      </c>
      <c r="AD8" s="297" t="s">
        <v>41</v>
      </c>
      <c r="AE8" s="291" t="s">
        <v>42</v>
      </c>
      <c r="AF8" s="297" t="s">
        <v>41</v>
      </c>
      <c r="AG8" s="291" t="s">
        <v>42</v>
      </c>
      <c r="AH8" s="293" t="s">
        <v>41</v>
      </c>
      <c r="AI8" s="292" t="s">
        <v>42</v>
      </c>
      <c r="AJ8" s="295" t="s">
        <v>41</v>
      </c>
      <c r="AK8" s="298" t="s">
        <v>42</v>
      </c>
      <c r="AL8" s="293" t="s">
        <v>41</v>
      </c>
      <c r="AM8" s="298" t="s">
        <v>42</v>
      </c>
      <c r="AN8" s="293" t="s">
        <v>41</v>
      </c>
      <c r="AO8" s="292" t="s">
        <v>42</v>
      </c>
      <c r="AP8" s="295" t="s">
        <v>41</v>
      </c>
      <c r="AQ8" s="298" t="s">
        <v>42</v>
      </c>
      <c r="AR8" s="293" t="s">
        <v>41</v>
      </c>
      <c r="AS8" s="298" t="s">
        <v>42</v>
      </c>
      <c r="AT8" s="293" t="s">
        <v>41</v>
      </c>
      <c r="AU8" s="292" t="s">
        <v>42</v>
      </c>
      <c r="AV8" s="295" t="s">
        <v>41</v>
      </c>
      <c r="AW8" s="298" t="s">
        <v>42</v>
      </c>
      <c r="AX8" s="295" t="s">
        <v>41</v>
      </c>
      <c r="AY8" s="298" t="s">
        <v>42</v>
      </c>
      <c r="AZ8" s="293" t="s">
        <v>41</v>
      </c>
      <c r="BA8" s="292" t="s">
        <v>42</v>
      </c>
      <c r="BB8" s="295" t="s">
        <v>41</v>
      </c>
      <c r="BC8" s="298" t="s">
        <v>42</v>
      </c>
      <c r="BD8" s="295" t="s">
        <v>41</v>
      </c>
      <c r="BE8" s="298" t="s">
        <v>42</v>
      </c>
      <c r="BF8" s="293" t="s">
        <v>41</v>
      </c>
      <c r="BG8" s="292" t="s">
        <v>42</v>
      </c>
      <c r="BH8" s="295" t="s">
        <v>41</v>
      </c>
      <c r="BI8" s="298" t="s">
        <v>42</v>
      </c>
      <c r="BJ8" s="295" t="s">
        <v>41</v>
      </c>
      <c r="BK8" s="298" t="s">
        <v>42</v>
      </c>
      <c r="BL8" s="290" t="s">
        <v>41</v>
      </c>
      <c r="BM8" s="291" t="s">
        <v>42</v>
      </c>
      <c r="BN8" s="452" t="s">
        <v>41</v>
      </c>
      <c r="BO8" s="450" t="s">
        <v>42</v>
      </c>
    </row>
    <row r="9" spans="1:67">
      <c r="A9" s="17">
        <v>45962</v>
      </c>
      <c r="B9" s="432" t="s">
        <v>431</v>
      </c>
      <c r="C9" s="433" t="s">
        <v>432</v>
      </c>
      <c r="D9" s="437">
        <f>+'1'!F42</f>
        <v>1190.6923076923076</v>
      </c>
      <c r="E9" s="437">
        <f>+'1'!G42</f>
        <v>916.83307692307687</v>
      </c>
      <c r="F9" s="47">
        <f t="shared" ref="F9:F39" si="0">1-(E9/D9)</f>
        <v>0.22999999999999998</v>
      </c>
      <c r="G9" s="442">
        <f>+P9/N9</f>
        <v>0.86841832974931388</v>
      </c>
      <c r="H9" s="440">
        <f>+P9/L9</f>
        <v>0.77124113391649918</v>
      </c>
      <c r="I9" s="440">
        <f>+R9/P9</f>
        <v>0.93641278796426897</v>
      </c>
      <c r="J9" s="444">
        <f>+R9/L9</f>
        <v>0.72220006040347318</v>
      </c>
      <c r="K9" s="444">
        <f>+S9/M9</f>
        <v>0.72220006040347318</v>
      </c>
      <c r="L9" s="304">
        <f>+SUM(Efficiency1!K6:K7)</f>
        <v>55.157846397500009</v>
      </c>
      <c r="M9" s="299">
        <f>L9</f>
        <v>55.157846397500009</v>
      </c>
      <c r="N9" s="304">
        <f>+SUM(Efficiency1!C6:C7)</f>
        <v>48.985608136898733</v>
      </c>
      <c r="O9" s="299">
        <f>N9</f>
        <v>48.985608136898733</v>
      </c>
      <c r="P9" s="300">
        <f>'1'!I38</f>
        <v>42.54</v>
      </c>
      <c r="Q9" s="299">
        <f>P9</f>
        <v>42.54</v>
      </c>
      <c r="R9" s="15">
        <f>'1'!I40</f>
        <v>39.835000000000001</v>
      </c>
      <c r="S9" s="301">
        <f>R9</f>
        <v>39.835000000000001</v>
      </c>
      <c r="T9" s="7">
        <f t="shared" ref="T9:T38" si="1">R9/P9</f>
        <v>0.93641278796426897</v>
      </c>
      <c r="U9" s="7">
        <f t="shared" ref="U9:U38" si="2">S9/Q9</f>
        <v>0.93641278796426897</v>
      </c>
      <c r="V9" s="302">
        <f t="shared" ref="V9:V38" si="3">R9/L9</f>
        <v>0.72220006040347318</v>
      </c>
      <c r="W9" s="303">
        <f t="shared" ref="W9:W38" si="4">S9/M9</f>
        <v>0.72220006040347318</v>
      </c>
      <c r="X9" s="301"/>
      <c r="Y9" s="301"/>
      <c r="Z9" s="6"/>
      <c r="AA9" s="301"/>
      <c r="AB9" s="96">
        <f>+[2]Report1!AY9</f>
        <v>4833.8352493035418</v>
      </c>
      <c r="AC9" s="299">
        <f>AB9</f>
        <v>4833.8352493035418</v>
      </c>
      <c r="AD9" s="299">
        <f t="shared" ref="AD9:AD39" si="5">AB9/P9</f>
        <v>113.6303537683014</v>
      </c>
      <c r="AE9" s="299">
        <f t="shared" ref="AE9:AE39" si="6">AC9/Q9</f>
        <v>113.6303537683014</v>
      </c>
      <c r="AF9" s="305">
        <f t="shared" ref="AF9:AF39" si="7">IF(AND(R9&gt;0,AB9&gt;0),(AB9/(R9*1000))*1000,0)</f>
        <v>121.34643527811075</v>
      </c>
      <c r="AG9" s="299">
        <f t="shared" ref="AG9:AG39" si="8">IF(AND(S9&gt;0,AC9&gt;0),AC9/S9,0)</f>
        <v>121.34643527811075</v>
      </c>
      <c r="AH9" s="550">
        <v>62.9</v>
      </c>
      <c r="AI9" s="306">
        <f>AH9</f>
        <v>62.9</v>
      </c>
      <c r="AJ9" s="307">
        <f t="shared" ref="AJ9:AJ39" si="9">AH9/(P9)</f>
        <v>1.4786083685942641</v>
      </c>
      <c r="AK9" s="307">
        <f t="shared" ref="AK9:AK39" si="10">AI9/(Q9)</f>
        <v>1.4786083685942641</v>
      </c>
      <c r="AL9" s="304">
        <f t="shared" ref="AL9:AL39" si="11">IF(AND(R9&gt;0,AH9&gt;0),AH9/(R9),0)</f>
        <v>1.5790134304004015</v>
      </c>
      <c r="AM9" s="307">
        <f t="shared" ref="AM9:AM39" si="12">IF(AND(S9&gt;0,AI9&gt;0),AI9/(S9),0)</f>
        <v>1.5790134304004015</v>
      </c>
      <c r="AN9" s="96">
        <v>7.9</v>
      </c>
      <c r="AO9" s="306">
        <f>AN9</f>
        <v>7.9</v>
      </c>
      <c r="AP9" s="307">
        <f>AN9/(P9)</f>
        <v>0.18570756934649743</v>
      </c>
      <c r="AQ9" s="307">
        <f>AO9/(Q9)</f>
        <v>0.18570756934649743</v>
      </c>
      <c r="AR9" s="304">
        <f>IF(AND(R9&gt;0,AN9&gt;0),AN9/(R9),0)</f>
        <v>0.19831806200577382</v>
      </c>
      <c r="AS9" s="307">
        <f>IF(AND(S9&gt;0,AO9&gt;0),AO9/(S9),0)</f>
        <v>0.19831806200577382</v>
      </c>
      <c r="AT9" s="306">
        <f>'1'!I46</f>
        <v>36391.30000000001</v>
      </c>
      <c r="AU9" s="306">
        <f>AT9</f>
        <v>36391.30000000001</v>
      </c>
      <c r="AV9" s="307">
        <f t="shared" ref="AV9:AV39" si="13">IF(AND(L9&gt;0,AT9&gt;0),(AT9/(P9*1000)*1000),0)</f>
        <v>855.46074283027758</v>
      </c>
      <c r="AW9" s="307">
        <f t="shared" ref="AW9:AW39" si="14">IF(AND(M9&gt;0,AU9&gt;0),(AU9/(Q9*1000)*1000),0)</f>
        <v>855.46074283027758</v>
      </c>
      <c r="AX9" s="307">
        <f t="shared" ref="AX9:AX39" si="15">IF(AND(R9&gt;0,AT9&gt;0),(AT9/(R9*1000)*1000),0)</f>
        <v>913.55089745198973</v>
      </c>
      <c r="AY9" s="307">
        <f t="shared" ref="AY9:AY39" si="16">IF(AND(S9&gt;0,AU9&gt;0),(AU9/(S9*1000)*1000),0)</f>
        <v>913.55089745198973</v>
      </c>
      <c r="AZ9" s="306">
        <f>+Listrik!S8</f>
        <v>22450.48</v>
      </c>
      <c r="BA9" s="306">
        <f>AZ9</f>
        <v>22450.48</v>
      </c>
      <c r="BB9" s="307">
        <f t="shared" ref="BB9:BB39" si="17">IF(AND(L9&gt;0,AZ9&gt;0),(AZ9/(P9*1000)*1000),0)</f>
        <v>527.74988246356372</v>
      </c>
      <c r="BC9" s="307">
        <f>IF(AND(M9&gt;0,BA9&gt;0),(BA9/(Q9*1000)*1000),0)</f>
        <v>527.74988246356372</v>
      </c>
      <c r="BD9" s="307">
        <f t="shared" ref="BD9:BD39" si="18">IF(AND(R9&gt;0,AZ9&gt;0),(AZ9/(R9*1000)*1000),0)</f>
        <v>563.58679553156765</v>
      </c>
      <c r="BE9" s="307">
        <f t="shared" ref="BE9:BE39" si="19">IF(AND(S9&gt;0,BA9&gt;0),(BA9/(S9*1000)*1000),0)</f>
        <v>563.58679553156765</v>
      </c>
      <c r="BF9" s="585">
        <f>+Listrik!V8</f>
        <v>312</v>
      </c>
      <c r="BG9" s="585">
        <f>BF9</f>
        <v>312</v>
      </c>
      <c r="BH9" s="586">
        <f>IF(AND(L9&gt;0,BF9&gt;0),(BF9/(P9*1000)*1000),0)</f>
        <v>7.3342736248236946</v>
      </c>
      <c r="BI9" s="586">
        <f>IF(AND(M9&gt;0,BG9&gt;0),(BG9/(Q9*1000)*1000),0)</f>
        <v>7.3342736248236946</v>
      </c>
      <c r="BJ9" s="586">
        <f>IF(AND(R9&gt;0,BF9&gt;0),(BF9/(R9*1000)*1000),0)</f>
        <v>7.832308271620434</v>
      </c>
      <c r="BK9" s="586">
        <f>IF(AND(S9&gt;0,BG9&gt;0),(BG9/(S9*1000)*1000),0)</f>
        <v>7.832308271620434</v>
      </c>
      <c r="BL9" s="535">
        <f>+SUM(Efficiency2!K6:K7)</f>
        <v>55.157846397500009</v>
      </c>
      <c r="BM9" s="536">
        <f>BL9</f>
        <v>55.157846397500009</v>
      </c>
      <c r="BN9" s="537">
        <f t="shared" ref="BN9:BN39" si="20">+R9/BL9</f>
        <v>0.72220006040347318</v>
      </c>
      <c r="BO9" s="537">
        <f t="shared" ref="BO9:BO39" si="21">+S9/BM9</f>
        <v>0.72220006040347318</v>
      </c>
    </row>
    <row r="10" spans="1:67">
      <c r="A10" s="17">
        <f t="shared" ref="A10:A38" si="22">A9+1</f>
        <v>45963</v>
      </c>
      <c r="B10" s="432" t="s">
        <v>431</v>
      </c>
      <c r="C10" s="433" t="s">
        <v>433</v>
      </c>
      <c r="D10" s="437">
        <f>+'2'!F42</f>
        <v>1218.9722222222222</v>
      </c>
      <c r="E10" s="437">
        <f>+'2'!G42</f>
        <v>938.60861111111103</v>
      </c>
      <c r="F10" s="47">
        <f t="shared" si="0"/>
        <v>0.22999999999999998</v>
      </c>
      <c r="G10" s="442">
        <f t="shared" ref="G10:G41" si="23">+P10/N10</f>
        <v>0.9475203278079849</v>
      </c>
      <c r="H10" s="440">
        <f t="shared" ref="H10:H39" si="24">+P10/L10</f>
        <v>0.8751504609450631</v>
      </c>
      <c r="I10" s="440">
        <f t="shared" ref="I10:I41" si="25">+R10/P10</f>
        <v>1.0178271594701602</v>
      </c>
      <c r="J10" s="444">
        <f t="shared" ref="J10:J41" si="26">+R10/L10</f>
        <v>0.89075190777271496</v>
      </c>
      <c r="K10" s="444">
        <f t="shared" ref="K10:K40" si="27">+S10/M10</f>
        <v>0.80644942556810795</v>
      </c>
      <c r="L10" s="304">
        <f>+SUM(Efficiency1!K12:K13)</f>
        <v>55.123092716999999</v>
      </c>
      <c r="M10" s="13">
        <f t="shared" ref="M10:O38" si="28">M9+L10</f>
        <v>110.2809391145</v>
      </c>
      <c r="N10" s="304">
        <f>+SUM(Efficiency1!C12:C13)</f>
        <v>50.912891875999989</v>
      </c>
      <c r="O10" s="13">
        <f t="shared" si="28"/>
        <v>99.898500012898722</v>
      </c>
      <c r="P10" s="300">
        <f>'2'!I38</f>
        <v>48.241</v>
      </c>
      <c r="Q10" s="13">
        <f t="shared" ref="Q10:Q38" si="29">Q9+P10</f>
        <v>90.781000000000006</v>
      </c>
      <c r="R10" s="15">
        <f>'2'!I40</f>
        <v>49.100999999999999</v>
      </c>
      <c r="S10" s="301">
        <f t="shared" ref="S10:S38" si="30">S9+R10</f>
        <v>88.936000000000007</v>
      </c>
      <c r="T10" s="7">
        <f t="shared" si="1"/>
        <v>1.0178271594701602</v>
      </c>
      <c r="U10" s="7">
        <f t="shared" si="2"/>
        <v>0.97967636399687164</v>
      </c>
      <c r="V10" s="302">
        <f t="shared" si="3"/>
        <v>0.89075190777271496</v>
      </c>
      <c r="W10" s="303">
        <f t="shared" si="4"/>
        <v>0.80644942556810795</v>
      </c>
      <c r="X10" s="301"/>
      <c r="Y10" s="301"/>
      <c r="Z10" s="6"/>
      <c r="AA10" s="301"/>
      <c r="AB10" s="96">
        <f>+[2]Report1!AY10</f>
        <v>5758.1214458738032</v>
      </c>
      <c r="AC10" s="13">
        <f t="shared" ref="AC10:AC38" si="31">AB10+AC9</f>
        <v>10591.956695177345</v>
      </c>
      <c r="AD10" s="299">
        <f t="shared" si="5"/>
        <v>119.36156891179294</v>
      </c>
      <c r="AE10" s="299">
        <f t="shared" si="6"/>
        <v>116.67592001825651</v>
      </c>
      <c r="AF10" s="305">
        <f t="shared" si="7"/>
        <v>117.27096079252567</v>
      </c>
      <c r="AG10" s="299">
        <f t="shared" si="8"/>
        <v>119.09639173312657</v>
      </c>
      <c r="AH10" s="550">
        <v>67.8</v>
      </c>
      <c r="AI10" s="301">
        <f t="shared" ref="AI10:AI38" si="32">AH10+AI9</f>
        <v>130.69999999999999</v>
      </c>
      <c r="AJ10" s="307">
        <f t="shared" si="9"/>
        <v>1.4054435024149581</v>
      </c>
      <c r="AK10" s="307">
        <f t="shared" si="10"/>
        <v>1.43972857756579</v>
      </c>
      <c r="AL10" s="304">
        <f t="shared" si="11"/>
        <v>1.3808272743935968</v>
      </c>
      <c r="AM10" s="307">
        <f t="shared" si="12"/>
        <v>1.4695961140595482</v>
      </c>
      <c r="AN10" s="96">
        <v>10.9</v>
      </c>
      <c r="AO10" s="301">
        <f t="shared" ref="AO10:AO38" si="33">AN10+AO9</f>
        <v>18.8</v>
      </c>
      <c r="AP10" s="307">
        <f t="shared" ref="AP10:AP39" si="34">AN10/(P10)</f>
        <v>0.22594888165668209</v>
      </c>
      <c r="AQ10" s="307">
        <f t="shared" ref="AQ10:AQ39" si="35">AO10/(Q10)</f>
        <v>0.20709179233540057</v>
      </c>
      <c r="AR10" s="304">
        <f t="shared" ref="AR10:AR39" si="36">IF(AND(R10&gt;0,AN10&gt;0),AN10/(R10),0)</f>
        <v>0.22199140547035703</v>
      </c>
      <c r="AS10" s="307">
        <f t="shared" ref="AS10:AS39" si="37">IF(AND(S10&gt;0,AO10&gt;0),AO10/(S10),0)</f>
        <v>0.21138796437887919</v>
      </c>
      <c r="AT10" s="306">
        <f>'2'!I46</f>
        <v>44439.779999999984</v>
      </c>
      <c r="AU10" s="301">
        <f t="shared" ref="AU10:AU38" si="38">AT10+AU9</f>
        <v>80831.079999999987</v>
      </c>
      <c r="AV10" s="307">
        <f t="shared" si="13"/>
        <v>921.2035405567874</v>
      </c>
      <c r="AW10" s="307">
        <f t="shared" si="14"/>
        <v>890.39644859607165</v>
      </c>
      <c r="AX10" s="307">
        <f t="shared" si="15"/>
        <v>905.06873587095947</v>
      </c>
      <c r="AY10" s="307">
        <f t="shared" si="16"/>
        <v>908.86794998650703</v>
      </c>
      <c r="AZ10" s="306">
        <f>+Listrik!S9</f>
        <v>24059.699999999997</v>
      </c>
      <c r="BA10" s="301">
        <f t="shared" ref="BA10:BA38" si="39">AZ10+BA9</f>
        <v>46510.179999999993</v>
      </c>
      <c r="BB10" s="307">
        <f t="shared" si="17"/>
        <v>498.73966128397001</v>
      </c>
      <c r="BC10" s="307">
        <f t="shared" ref="BC10:BC39" si="40">IF(AND(M10&gt;0,BA10&gt;0),(BA10/(Q10*1000)*1000),0)</f>
        <v>512.33385840649476</v>
      </c>
      <c r="BD10" s="307">
        <f t="shared" si="18"/>
        <v>490.00427689863744</v>
      </c>
      <c r="BE10" s="307">
        <f t="shared" si="19"/>
        <v>522.96235495187534</v>
      </c>
      <c r="BF10" s="585">
        <f>+Listrik!V9</f>
        <v>228</v>
      </c>
      <c r="BG10" s="587">
        <f t="shared" ref="BG10:BG39" si="41">BF10+BG9</f>
        <v>540</v>
      </c>
      <c r="BH10" s="586">
        <f>IF(AND(L10&gt;0,BF10&gt;0),(BF10/(P10*1000)*1000),0)</f>
        <v>4.7262701851122486</v>
      </c>
      <c r="BI10" s="586">
        <f>IF(AND(M10&gt;0,BG10&gt;0),(BG10/(Q10*1000)*1000),0)</f>
        <v>5.9483812692083147</v>
      </c>
      <c r="BJ10" s="586">
        <f t="shared" ref="BJ10:BK38" si="42">IF(AND(R10&gt;0,BF10&gt;0),(BF10/(R10*1000)*1000),0)</f>
        <v>4.6434899492882016</v>
      </c>
      <c r="BK10" s="586">
        <f t="shared" si="42"/>
        <v>6.0717819555635515</v>
      </c>
      <c r="BL10" s="535">
        <f>+SUM(Efficiency2!K12:K13)</f>
        <v>55.123092716999999</v>
      </c>
      <c r="BM10" s="536">
        <f t="shared" ref="BM10:BM38" si="43">BM9+BL10</f>
        <v>110.2809391145</v>
      </c>
      <c r="BN10" s="537">
        <f t="shared" si="20"/>
        <v>0.89075190777271496</v>
      </c>
      <c r="BO10" s="537">
        <f t="shared" si="21"/>
        <v>0.80644942556810795</v>
      </c>
    </row>
    <row r="11" spans="1:67">
      <c r="A11" s="17">
        <f t="shared" si="22"/>
        <v>45964</v>
      </c>
      <c r="B11" s="432" t="s">
        <v>431</v>
      </c>
      <c r="C11" s="433" t="s">
        <v>464</v>
      </c>
      <c r="D11" s="437">
        <f>+'3'!F42</f>
        <v>1223.3333333333333</v>
      </c>
      <c r="E11" s="437">
        <f>+'3'!G42</f>
        <v>941.9666666666667</v>
      </c>
      <c r="F11" s="47">
        <f t="shared" si="0"/>
        <v>0.22999999999999998</v>
      </c>
      <c r="G11" s="442">
        <f t="shared" si="23"/>
        <v>0.96198683054478462</v>
      </c>
      <c r="H11" s="440">
        <f t="shared" si="24"/>
        <v>0.90874946411823909</v>
      </c>
      <c r="I11" s="440">
        <f t="shared" si="25"/>
        <v>0.96859840173916545</v>
      </c>
      <c r="J11" s="444">
        <f t="shared" si="26"/>
        <v>0.88021327852624942</v>
      </c>
      <c r="K11" s="444">
        <f t="shared" si="27"/>
        <v>0.8308963504674044</v>
      </c>
      <c r="L11" s="304">
        <f>+Efficiency1!K17</f>
        <v>54.667432511999998</v>
      </c>
      <c r="M11" s="13">
        <f t="shared" si="28"/>
        <v>164.94837162650001</v>
      </c>
      <c r="N11" s="304">
        <f>+Efficiency1!C17</f>
        <v>51.64207910399999</v>
      </c>
      <c r="O11" s="13">
        <f t="shared" si="28"/>
        <v>151.5405791168987</v>
      </c>
      <c r="P11" s="300">
        <f>'3'!I38</f>
        <v>49.679000000000002</v>
      </c>
      <c r="Q11" s="13">
        <f t="shared" si="29"/>
        <v>140.46</v>
      </c>
      <c r="R11" s="15">
        <f>'3'!I40</f>
        <v>48.119</v>
      </c>
      <c r="S11" s="301">
        <f t="shared" si="30"/>
        <v>137.05500000000001</v>
      </c>
      <c r="T11" s="7">
        <f t="shared" si="1"/>
        <v>0.96859840173916545</v>
      </c>
      <c r="U11" s="7">
        <f t="shared" si="2"/>
        <v>0.97575822298163173</v>
      </c>
      <c r="V11" s="302">
        <f t="shared" si="3"/>
        <v>0.88021327852624942</v>
      </c>
      <c r="W11" s="303">
        <f t="shared" si="4"/>
        <v>0.8308963504674044</v>
      </c>
      <c r="X11" s="301"/>
      <c r="Y11" s="301"/>
      <c r="Z11" s="6"/>
      <c r="AA11" s="301"/>
      <c r="AB11" s="96">
        <f>+[2]Report1!AY11</f>
        <v>5677.2508451656522</v>
      </c>
      <c r="AC11" s="13">
        <f t="shared" si="31"/>
        <v>16269.207540342997</v>
      </c>
      <c r="AD11" s="299">
        <f t="shared" si="5"/>
        <v>114.27868606786876</v>
      </c>
      <c r="AE11" s="299">
        <f t="shared" si="6"/>
        <v>115.8280474180763</v>
      </c>
      <c r="AF11" s="305">
        <f t="shared" si="7"/>
        <v>117.98355836916087</v>
      </c>
      <c r="AG11" s="299">
        <f t="shared" si="8"/>
        <v>118.7056841439057</v>
      </c>
      <c r="AH11" s="550">
        <v>69</v>
      </c>
      <c r="AI11" s="301">
        <f t="shared" si="32"/>
        <v>199.7</v>
      </c>
      <c r="AJ11" s="307">
        <f t="shared" si="9"/>
        <v>1.3889168461522976</v>
      </c>
      <c r="AK11" s="307">
        <f t="shared" si="10"/>
        <v>1.421757083867293</v>
      </c>
      <c r="AL11" s="304">
        <f t="shared" si="11"/>
        <v>1.4339450113260874</v>
      </c>
      <c r="AM11" s="307">
        <f t="shared" si="12"/>
        <v>1.4570792747437158</v>
      </c>
      <c r="AN11" s="96">
        <v>9.9</v>
      </c>
      <c r="AO11" s="301">
        <f t="shared" si="33"/>
        <v>28.700000000000003</v>
      </c>
      <c r="AP11" s="307">
        <f t="shared" si="34"/>
        <v>0.19927937357837316</v>
      </c>
      <c r="AQ11" s="307">
        <f t="shared" si="35"/>
        <v>0.20432863448668662</v>
      </c>
      <c r="AR11" s="304">
        <f t="shared" si="36"/>
        <v>0.20573993640765603</v>
      </c>
      <c r="AS11" s="307">
        <f t="shared" si="37"/>
        <v>0.2094049834008245</v>
      </c>
      <c r="AT11" s="306">
        <f>'3'!I46</f>
        <v>43607.08</v>
      </c>
      <c r="AU11" s="301">
        <f t="shared" si="38"/>
        <v>124438.15999999999</v>
      </c>
      <c r="AV11" s="307">
        <f t="shared" si="13"/>
        <v>877.77692787697015</v>
      </c>
      <c r="AW11" s="307">
        <f t="shared" si="14"/>
        <v>885.933077032607</v>
      </c>
      <c r="AX11" s="307">
        <f t="shared" si="15"/>
        <v>906.23412789126951</v>
      </c>
      <c r="AY11" s="307">
        <f t="shared" si="16"/>
        <v>907.94323446791429</v>
      </c>
      <c r="AZ11" s="306">
        <f>+Listrik!S10</f>
        <v>20908.800000000017</v>
      </c>
      <c r="BA11" s="301">
        <f t="shared" si="39"/>
        <v>67418.98000000001</v>
      </c>
      <c r="BB11" s="307">
        <f t="shared" si="17"/>
        <v>420.87803699752448</v>
      </c>
      <c r="BC11" s="307">
        <f t="shared" si="40"/>
        <v>479.98704257439852</v>
      </c>
      <c r="BD11" s="307">
        <f t="shared" si="18"/>
        <v>434.52274569296992</v>
      </c>
      <c r="BE11" s="307">
        <f t="shared" si="19"/>
        <v>491.9118602021087</v>
      </c>
      <c r="BF11" s="585">
        <f>+Listrik!V10</f>
        <v>289.10000000003492</v>
      </c>
      <c r="BG11" s="587">
        <f t="shared" si="41"/>
        <v>829.10000000003492</v>
      </c>
      <c r="BH11" s="586">
        <f t="shared" ref="BH11:BI39" si="44">IF(AND(L11&gt;0,BF11&gt;0),(BF11/(P11*1000)*1000),0)</f>
        <v>5.819360293082287</v>
      </c>
      <c r="BI11" s="586">
        <f t="shared" si="44"/>
        <v>5.9027481133421249</v>
      </c>
      <c r="BJ11" s="586">
        <f t="shared" si="42"/>
        <v>6.0080217793394484</v>
      </c>
      <c r="BK11" s="586">
        <f t="shared" si="42"/>
        <v>6.049396227792017</v>
      </c>
      <c r="BL11" s="535">
        <f>+Efficiency2!K17</f>
        <v>54.667432511999998</v>
      </c>
      <c r="BM11" s="536">
        <f t="shared" si="43"/>
        <v>164.94837162650001</v>
      </c>
      <c r="BN11" s="537">
        <f t="shared" si="20"/>
        <v>0.88021327852624942</v>
      </c>
      <c r="BO11" s="537">
        <f t="shared" si="21"/>
        <v>0.8308963504674044</v>
      </c>
    </row>
    <row r="12" spans="1:67">
      <c r="A12" s="17">
        <f t="shared" si="22"/>
        <v>45965</v>
      </c>
      <c r="B12" s="432" t="s">
        <v>431</v>
      </c>
      <c r="C12" s="433" t="s">
        <v>476</v>
      </c>
      <c r="D12" s="437">
        <f>+'4'!F42</f>
        <v>1194.1979166666667</v>
      </c>
      <c r="E12" s="437">
        <f>+'4'!G42</f>
        <v>923.43409722222214</v>
      </c>
      <c r="F12" s="47">
        <f t="shared" si="0"/>
        <v>0.22673278496433869</v>
      </c>
      <c r="G12" s="442">
        <f t="shared" si="23"/>
        <v>0.97179805418781506</v>
      </c>
      <c r="H12" s="440">
        <f t="shared" si="24"/>
        <v>0.94179438339979582</v>
      </c>
      <c r="I12" s="440">
        <f t="shared" si="25"/>
        <v>0.97876376870511272</v>
      </c>
      <c r="J12" s="444">
        <f t="shared" si="26"/>
        <v>0.92179422004169198</v>
      </c>
      <c r="K12" s="444">
        <f t="shared" si="27"/>
        <v>0.85357949206054795</v>
      </c>
      <c r="L12" s="304">
        <f>+SUM(Efficiency1!K22:K23)</f>
        <v>54.849551994059169</v>
      </c>
      <c r="M12" s="13">
        <f t="shared" si="28"/>
        <v>219.79792362055917</v>
      </c>
      <c r="N12" s="304">
        <f>+SUM(Efficiency1!C22:C23)</f>
        <v>53.156105609999997</v>
      </c>
      <c r="O12" s="13">
        <f t="shared" si="28"/>
        <v>204.6966847268987</v>
      </c>
      <c r="P12" s="300">
        <f>'4'!I38</f>
        <v>51.656999999999996</v>
      </c>
      <c r="Q12" s="13">
        <f t="shared" si="29"/>
        <v>192.11700000000002</v>
      </c>
      <c r="R12" s="15">
        <f>'4'!I40</f>
        <v>50.56</v>
      </c>
      <c r="S12" s="301">
        <f t="shared" si="30"/>
        <v>187.61500000000001</v>
      </c>
      <c r="T12" s="7">
        <f t="shared" si="1"/>
        <v>0.97876376870511272</v>
      </c>
      <c r="U12" s="7">
        <f t="shared" si="2"/>
        <v>0.97656636320575474</v>
      </c>
      <c r="V12" s="302">
        <f t="shared" si="3"/>
        <v>0.92179422004169198</v>
      </c>
      <c r="W12" s="303">
        <f t="shared" si="4"/>
        <v>0.85357949206054795</v>
      </c>
      <c r="X12" s="301"/>
      <c r="Y12" s="301"/>
      <c r="Z12" s="6"/>
      <c r="AA12" s="301"/>
      <c r="AB12" s="96">
        <f>+[2]Report1!AY12</f>
        <v>5797.0014235291819</v>
      </c>
      <c r="AC12" s="13">
        <f t="shared" si="31"/>
        <v>22066.208963872181</v>
      </c>
      <c r="AD12" s="299">
        <f t="shared" si="5"/>
        <v>112.22102374371687</v>
      </c>
      <c r="AE12" s="299">
        <f t="shared" si="6"/>
        <v>114.85817998340687</v>
      </c>
      <c r="AF12" s="305">
        <f t="shared" si="7"/>
        <v>114.65588258562465</v>
      </c>
      <c r="AG12" s="299">
        <f t="shared" si="8"/>
        <v>117.61431102988662</v>
      </c>
      <c r="AH12" s="550">
        <v>68.5</v>
      </c>
      <c r="AI12" s="301">
        <f t="shared" si="32"/>
        <v>268.2</v>
      </c>
      <c r="AJ12" s="307">
        <f t="shared" si="9"/>
        <v>1.3260545521420137</v>
      </c>
      <c r="AK12" s="307">
        <f t="shared" si="10"/>
        <v>1.3960242976935928</v>
      </c>
      <c r="AL12" s="304">
        <f t="shared" si="11"/>
        <v>1.3548259493670884</v>
      </c>
      <c r="AM12" s="307">
        <f t="shared" si="12"/>
        <v>1.4295232257548702</v>
      </c>
      <c r="AN12" s="96">
        <v>11.1</v>
      </c>
      <c r="AO12" s="301">
        <f t="shared" si="33"/>
        <v>39.800000000000004</v>
      </c>
      <c r="AP12" s="307">
        <f t="shared" si="34"/>
        <v>0.21487891282885185</v>
      </c>
      <c r="AQ12" s="307">
        <f t="shared" si="35"/>
        <v>0.2071654252356637</v>
      </c>
      <c r="AR12" s="304">
        <f t="shared" si="36"/>
        <v>0.21954113924050631</v>
      </c>
      <c r="AS12" s="307">
        <f t="shared" si="37"/>
        <v>0.21213655624550276</v>
      </c>
      <c r="AT12" s="306">
        <f>'4'!I46</f>
        <v>40511.740000000027</v>
      </c>
      <c r="AU12" s="301">
        <f t="shared" si="38"/>
        <v>164949.90000000002</v>
      </c>
      <c r="AV12" s="307">
        <f t="shared" si="13"/>
        <v>784.24492324370419</v>
      </c>
      <c r="AW12" s="307">
        <f t="shared" si="14"/>
        <v>858.59085869548244</v>
      </c>
      <c r="AX12" s="307">
        <f t="shared" si="15"/>
        <v>801.26068037974744</v>
      </c>
      <c r="AY12" s="307">
        <f t="shared" si="16"/>
        <v>879.1935612824135</v>
      </c>
      <c r="AZ12" s="306">
        <f>+Listrik!S11</f>
        <v>25540.800000000054</v>
      </c>
      <c r="BA12" s="301">
        <f t="shared" si="39"/>
        <v>92959.780000000057</v>
      </c>
      <c r="BB12" s="307">
        <f t="shared" si="17"/>
        <v>494.43057088100454</v>
      </c>
      <c r="BC12" s="307">
        <f t="shared" si="40"/>
        <v>483.87066214858675</v>
      </c>
      <c r="BD12" s="307">
        <f t="shared" si="18"/>
        <v>505.1582278481024</v>
      </c>
      <c r="BE12" s="307">
        <f t="shared" si="19"/>
        <v>495.48159795325563</v>
      </c>
      <c r="BF12" s="585">
        <f>+Listrik!V11</f>
        <v>323</v>
      </c>
      <c r="BG12" s="587">
        <f t="shared" si="41"/>
        <v>1152.1000000000349</v>
      </c>
      <c r="BH12" s="586">
        <f t="shared" si="44"/>
        <v>6.2527827787134367</v>
      </c>
      <c r="BI12" s="586">
        <f t="shared" si="44"/>
        <v>5.9968664928144557</v>
      </c>
      <c r="BJ12" s="586">
        <f t="shared" si="42"/>
        <v>6.388449367088608</v>
      </c>
      <c r="BK12" s="586">
        <f t="shared" si="42"/>
        <v>6.1407669962424913</v>
      </c>
      <c r="BL12" s="535">
        <f>+SUM(Efficiency2!K22:K23)</f>
        <v>54.849551994059169</v>
      </c>
      <c r="BM12" s="536">
        <f t="shared" si="43"/>
        <v>219.79792362055917</v>
      </c>
      <c r="BN12" s="537">
        <f t="shared" si="20"/>
        <v>0.92179422004169198</v>
      </c>
      <c r="BO12" s="537">
        <f t="shared" si="21"/>
        <v>0.85357949206054795</v>
      </c>
    </row>
    <row r="13" spans="1:67">
      <c r="A13" s="17">
        <f t="shared" si="22"/>
        <v>45966</v>
      </c>
      <c r="B13" s="432" t="s">
        <v>495</v>
      </c>
      <c r="C13" s="433" t="s">
        <v>496</v>
      </c>
      <c r="D13" s="437">
        <f>+'5'!F42</f>
        <v>648.06859205776175</v>
      </c>
      <c r="E13" s="437">
        <f>+'5'!G42</f>
        <v>543.4065583634175</v>
      </c>
      <c r="F13" s="47">
        <f t="shared" si="0"/>
        <v>0.16149838917824888</v>
      </c>
      <c r="G13" s="442">
        <f t="shared" si="23"/>
        <v>0.60011090354561114</v>
      </c>
      <c r="H13" s="440">
        <f t="shared" si="24"/>
        <v>0.57523439872964643</v>
      </c>
      <c r="I13" s="440">
        <f t="shared" si="25"/>
        <v>0.95383045939186528</v>
      </c>
      <c r="J13" s="444">
        <f t="shared" si="26"/>
        <v>0.54867609079830204</v>
      </c>
      <c r="K13" s="444">
        <f t="shared" si="27"/>
        <v>0.79449769110573631</v>
      </c>
      <c r="L13" s="304">
        <f>+SUM(Efficiency1!K27:K30)</f>
        <v>52.827160661999997</v>
      </c>
      <c r="M13" s="13">
        <f t="shared" si="28"/>
        <v>272.62508428255916</v>
      </c>
      <c r="N13" s="304">
        <f>+SUM(Efficiency1!C27:C30)</f>
        <v>50.637306905206685</v>
      </c>
      <c r="O13" s="13">
        <f t="shared" si="28"/>
        <v>255.33399163210538</v>
      </c>
      <c r="P13" s="300">
        <f>'5'!I38</f>
        <v>30.387999999999998</v>
      </c>
      <c r="Q13" s="13">
        <f t="shared" si="29"/>
        <v>222.50500000000002</v>
      </c>
      <c r="R13" s="15">
        <f>'5'!I40</f>
        <v>28.984999999999999</v>
      </c>
      <c r="S13" s="301">
        <f t="shared" si="30"/>
        <v>216.60000000000002</v>
      </c>
      <c r="T13" s="7">
        <f t="shared" si="1"/>
        <v>0.95383045939186528</v>
      </c>
      <c r="U13" s="7">
        <f t="shared" si="2"/>
        <v>0.97346127053324649</v>
      </c>
      <c r="V13" s="302">
        <f t="shared" si="3"/>
        <v>0.54867609079830204</v>
      </c>
      <c r="W13" s="303">
        <f t="shared" si="4"/>
        <v>0.79449769110573631</v>
      </c>
      <c r="X13" s="301"/>
      <c r="Y13" s="301"/>
      <c r="Z13" s="6"/>
      <c r="AA13" s="301"/>
      <c r="AB13" s="96">
        <f>+[2]Report1!AY13</f>
        <v>3284.0806608769331</v>
      </c>
      <c r="AC13" s="13">
        <f t="shared" si="31"/>
        <v>25350.289624749115</v>
      </c>
      <c r="AD13" s="299">
        <f t="shared" si="5"/>
        <v>108.07162896133123</v>
      </c>
      <c r="AE13" s="299">
        <f t="shared" si="6"/>
        <v>113.93132569941849</v>
      </c>
      <c r="AF13" s="305">
        <f t="shared" si="7"/>
        <v>113.30276559865217</v>
      </c>
      <c r="AG13" s="299">
        <f t="shared" si="8"/>
        <v>117.03734822137172</v>
      </c>
      <c r="AH13" s="550">
        <v>45.6</v>
      </c>
      <c r="AI13" s="301">
        <f t="shared" si="32"/>
        <v>313.8</v>
      </c>
      <c r="AJ13" s="307">
        <f t="shared" si="9"/>
        <v>1.5005923390812164</v>
      </c>
      <c r="AK13" s="307">
        <f t="shared" si="10"/>
        <v>1.4103053863958113</v>
      </c>
      <c r="AL13" s="304">
        <f t="shared" si="11"/>
        <v>1.5732275314818009</v>
      </c>
      <c r="AM13" s="307">
        <f t="shared" si="12"/>
        <v>1.4487534626038781</v>
      </c>
      <c r="AN13" s="96">
        <v>6</v>
      </c>
      <c r="AO13" s="301">
        <f t="shared" si="33"/>
        <v>45.800000000000004</v>
      </c>
      <c r="AP13" s="307">
        <f t="shared" si="34"/>
        <v>0.19744636040542321</v>
      </c>
      <c r="AQ13" s="307">
        <f t="shared" si="35"/>
        <v>0.20583807105458304</v>
      </c>
      <c r="AR13" s="304">
        <f t="shared" si="36"/>
        <v>0.20700362256339486</v>
      </c>
      <c r="AS13" s="307">
        <f t="shared" si="37"/>
        <v>0.21144967682363805</v>
      </c>
      <c r="AT13" s="306">
        <f>'5'!I46</f>
        <v>22984.560000000016</v>
      </c>
      <c r="AU13" s="301">
        <f t="shared" si="38"/>
        <v>187934.46000000005</v>
      </c>
      <c r="AV13" s="307">
        <f t="shared" si="13"/>
        <v>756.36961958667962</v>
      </c>
      <c r="AW13" s="307">
        <f t="shared" si="14"/>
        <v>844.63027797128166</v>
      </c>
      <c r="AX13" s="307">
        <f t="shared" si="15"/>
        <v>792.98119717095108</v>
      </c>
      <c r="AY13" s="307">
        <f t="shared" si="16"/>
        <v>867.65678670360126</v>
      </c>
      <c r="AZ13" s="306">
        <f>+Listrik!S12</f>
        <v>13904.05799999997</v>
      </c>
      <c r="BA13" s="301">
        <f t="shared" si="39"/>
        <v>106863.83800000003</v>
      </c>
      <c r="BB13" s="307">
        <f t="shared" si="17"/>
        <v>457.55094116098365</v>
      </c>
      <c r="BC13" s="307">
        <f t="shared" si="40"/>
        <v>480.27611963776098</v>
      </c>
      <c r="BD13" s="307">
        <f t="shared" si="18"/>
        <v>479.6983957219241</v>
      </c>
      <c r="BE13" s="307">
        <f t="shared" si="19"/>
        <v>493.36951985226227</v>
      </c>
      <c r="BF13" s="585">
        <f>+Listrik!V12</f>
        <v>215.59999999997672</v>
      </c>
      <c r="BG13" s="587">
        <f t="shared" si="41"/>
        <v>1367.7000000000116</v>
      </c>
      <c r="BH13" s="586">
        <f t="shared" si="44"/>
        <v>7.0949058839007746</v>
      </c>
      <c r="BI13" s="586">
        <f t="shared" si="44"/>
        <v>6.1468281611649696</v>
      </c>
      <c r="BJ13" s="586">
        <f t="shared" si="42"/>
        <v>7.4383301707771858</v>
      </c>
      <c r="BK13" s="586">
        <f t="shared" si="42"/>
        <v>6.3144044321330171</v>
      </c>
      <c r="BL13" s="535">
        <f>+SUM(Efficiency2!K27:K30)</f>
        <v>52.827160661999997</v>
      </c>
      <c r="BM13" s="536">
        <f t="shared" si="43"/>
        <v>272.62508428255916</v>
      </c>
      <c r="BN13" s="537">
        <f t="shared" si="20"/>
        <v>0.54867609079830204</v>
      </c>
      <c r="BO13" s="537">
        <f t="shared" si="21"/>
        <v>0.79449769110573631</v>
      </c>
    </row>
    <row r="14" spans="1:67">
      <c r="A14" s="17">
        <f t="shared" si="22"/>
        <v>45967</v>
      </c>
      <c r="B14" s="432" t="s">
        <v>497</v>
      </c>
      <c r="C14" s="433" t="s">
        <v>512</v>
      </c>
      <c r="D14" s="437">
        <f>+'6'!F42</f>
        <v>875</v>
      </c>
      <c r="E14" s="437">
        <f>+'6'!G42</f>
        <v>743.75</v>
      </c>
      <c r="F14" s="47">
        <f t="shared" si="0"/>
        <v>0.15000000000000002</v>
      </c>
      <c r="G14" s="442">
        <f t="shared" si="23"/>
        <v>1.0541256490791684</v>
      </c>
      <c r="H14" s="440">
        <f t="shared" si="24"/>
        <v>1.0541256490791684</v>
      </c>
      <c r="I14" s="440">
        <f t="shared" si="25"/>
        <v>0.95352907194073466</v>
      </c>
      <c r="J14" s="444">
        <f t="shared" si="26"/>
        <v>1.005139451875384</v>
      </c>
      <c r="K14" s="444">
        <f t="shared" si="27"/>
        <v>0.83030316087430944</v>
      </c>
      <c r="L14" s="304">
        <f>+Efficiency1!K33</f>
        <v>55.83205384615384</v>
      </c>
      <c r="M14" s="13">
        <f t="shared" si="28"/>
        <v>328.45713812871298</v>
      </c>
      <c r="N14" s="304">
        <f>+Efficiency1!C33</f>
        <v>55.83205384615384</v>
      </c>
      <c r="O14" s="13">
        <f t="shared" si="28"/>
        <v>311.16604547825921</v>
      </c>
      <c r="P14" s="300">
        <f>'6'!I38</f>
        <v>58.853999999999999</v>
      </c>
      <c r="Q14" s="13">
        <f t="shared" si="29"/>
        <v>281.35900000000004</v>
      </c>
      <c r="R14" s="15">
        <f>'6'!I40</f>
        <v>56.119</v>
      </c>
      <c r="S14" s="301">
        <f t="shared" si="30"/>
        <v>272.71900000000005</v>
      </c>
      <c r="T14" s="7">
        <f t="shared" si="1"/>
        <v>0.95352907194073466</v>
      </c>
      <c r="U14" s="7">
        <f t="shared" si="2"/>
        <v>0.9692919010943315</v>
      </c>
      <c r="V14" s="302">
        <f t="shared" si="3"/>
        <v>1.005139451875384</v>
      </c>
      <c r="W14" s="303">
        <f t="shared" si="4"/>
        <v>0.83030316087430944</v>
      </c>
      <c r="X14" s="301"/>
      <c r="Y14" s="301"/>
      <c r="Z14" s="6"/>
      <c r="AA14" s="301"/>
      <c r="AB14" s="96">
        <f>+[2]Report1!AY14</f>
        <v>5525.7640318864815</v>
      </c>
      <c r="AC14" s="13">
        <f t="shared" si="31"/>
        <v>30876.053656635595</v>
      </c>
      <c r="AD14" s="299">
        <f t="shared" si="5"/>
        <v>93.889353856772374</v>
      </c>
      <c r="AE14" s="299">
        <f t="shared" si="6"/>
        <v>109.73899415563601</v>
      </c>
      <c r="AF14" s="305">
        <f t="shared" si="7"/>
        <v>98.465119333674537</v>
      </c>
      <c r="AG14" s="299">
        <f t="shared" si="8"/>
        <v>113.21563094846927</v>
      </c>
      <c r="AH14" s="550">
        <v>70.7</v>
      </c>
      <c r="AI14" s="301">
        <f t="shared" si="32"/>
        <v>384.5</v>
      </c>
      <c r="AJ14" s="307">
        <f t="shared" si="9"/>
        <v>1.201277738131648</v>
      </c>
      <c r="AK14" s="307">
        <f t="shared" si="10"/>
        <v>1.3665814848645323</v>
      </c>
      <c r="AL14" s="304">
        <f t="shared" si="11"/>
        <v>1.2598228763876762</v>
      </c>
      <c r="AM14" s="307">
        <f t="shared" si="12"/>
        <v>1.4098760995750201</v>
      </c>
      <c r="AN14" s="96">
        <v>11</v>
      </c>
      <c r="AO14" s="301">
        <f t="shared" si="33"/>
        <v>56.800000000000004</v>
      </c>
      <c r="AP14" s="307">
        <f t="shared" si="34"/>
        <v>0.18690318415061</v>
      </c>
      <c r="AQ14" s="307">
        <f t="shared" si="35"/>
        <v>0.2018773168798581</v>
      </c>
      <c r="AR14" s="304">
        <f t="shared" si="36"/>
        <v>0.19601204583118018</v>
      </c>
      <c r="AS14" s="307">
        <f t="shared" si="37"/>
        <v>0.20827298428052315</v>
      </c>
      <c r="AT14" s="306">
        <f>'6'!I46</f>
        <v>38259.779999999919</v>
      </c>
      <c r="AU14" s="301">
        <f t="shared" si="38"/>
        <v>226194.23999999996</v>
      </c>
      <c r="AV14" s="307">
        <f t="shared" si="13"/>
        <v>650.07951880925543</v>
      </c>
      <c r="AW14" s="307">
        <f t="shared" si="14"/>
        <v>803.93461733941308</v>
      </c>
      <c r="AX14" s="307">
        <f t="shared" si="15"/>
        <v>681.76161371371404</v>
      </c>
      <c r="AY14" s="307">
        <f t="shared" si="16"/>
        <v>829.40403858917023</v>
      </c>
      <c r="AZ14" s="306">
        <f>+Listrik!S13</f>
        <v>26617.533999999574</v>
      </c>
      <c r="BA14" s="301">
        <f t="shared" si="39"/>
        <v>133481.3719999996</v>
      </c>
      <c r="BB14" s="307">
        <f t="shared" si="17"/>
        <v>452.26380534882202</v>
      </c>
      <c r="BC14" s="307">
        <f t="shared" si="40"/>
        <v>474.41657100003755</v>
      </c>
      <c r="BD14" s="307">
        <f t="shared" si="18"/>
        <v>474.30520857462841</v>
      </c>
      <c r="BE14" s="307">
        <f t="shared" si="19"/>
        <v>489.44654387849607</v>
      </c>
      <c r="BF14" s="585">
        <f>+Listrik!V13</f>
        <v>301.79999999995925</v>
      </c>
      <c r="BG14" s="587">
        <f t="shared" si="41"/>
        <v>1669.4999999999709</v>
      </c>
      <c r="BH14" s="586">
        <f t="shared" si="44"/>
        <v>5.12794372514968</v>
      </c>
      <c r="BI14" s="586">
        <f t="shared" si="44"/>
        <v>5.9337003614598096</v>
      </c>
      <c r="BJ14" s="586">
        <f t="shared" si="42"/>
        <v>5.3778577665311085</v>
      </c>
      <c r="BK14" s="586">
        <f t="shared" si="42"/>
        <v>6.121685691132523</v>
      </c>
      <c r="BL14" s="535">
        <f>+Efficiency2!K33</f>
        <v>55.83205384615384</v>
      </c>
      <c r="BM14" s="536">
        <f t="shared" si="43"/>
        <v>328.45713812871298</v>
      </c>
      <c r="BN14" s="537">
        <f t="shared" si="20"/>
        <v>1.005139451875384</v>
      </c>
      <c r="BO14" s="537">
        <f t="shared" si="21"/>
        <v>0.83030316087430944</v>
      </c>
    </row>
    <row r="15" spans="1:67">
      <c r="A15" s="17">
        <f t="shared" si="22"/>
        <v>45968</v>
      </c>
      <c r="B15" s="432" t="s">
        <v>497</v>
      </c>
      <c r="C15" s="433" t="s">
        <v>524</v>
      </c>
      <c r="D15" s="437">
        <f>+'7'!F42</f>
        <v>912.45138888888891</v>
      </c>
      <c r="E15" s="437">
        <f>+'7'!G42</f>
        <v>775.58368055555559</v>
      </c>
      <c r="F15" s="47">
        <f t="shared" si="0"/>
        <v>0.15000000000000002</v>
      </c>
      <c r="G15" s="442">
        <f t="shared" si="23"/>
        <v>0.98274167969769954</v>
      </c>
      <c r="H15" s="440">
        <f t="shared" si="24"/>
        <v>0.98274167969769954</v>
      </c>
      <c r="I15" s="440">
        <f t="shared" si="25"/>
        <v>0.96982869269077399</v>
      </c>
      <c r="J15" s="444">
        <f t="shared" si="26"/>
        <v>0.95309107847395524</v>
      </c>
      <c r="K15" s="444">
        <f t="shared" si="27"/>
        <v>0.8491238885079474</v>
      </c>
      <c r="L15" s="304">
        <f>+SUM(Efficiency1!K38:K39)</f>
        <v>59.459165320000004</v>
      </c>
      <c r="M15" s="13">
        <f t="shared" si="28"/>
        <v>387.91630344871299</v>
      </c>
      <c r="N15" s="304">
        <f>+SUM(Efficiency1!C38:C39)</f>
        <v>59.459165320000004</v>
      </c>
      <c r="O15" s="13">
        <f t="shared" si="28"/>
        <v>370.62521079825922</v>
      </c>
      <c r="P15" s="300">
        <f>'7'!I38</f>
        <v>58.433000000000007</v>
      </c>
      <c r="Q15" s="13">
        <f t="shared" si="29"/>
        <v>339.79200000000003</v>
      </c>
      <c r="R15" s="15">
        <f>'7'!I40</f>
        <v>56.67</v>
      </c>
      <c r="S15" s="301">
        <f t="shared" si="30"/>
        <v>329.38900000000007</v>
      </c>
      <c r="T15" s="7">
        <f t="shared" si="1"/>
        <v>0.96982869269077399</v>
      </c>
      <c r="U15" s="7">
        <f t="shared" si="2"/>
        <v>0.96938421151763443</v>
      </c>
      <c r="V15" s="302">
        <f t="shared" si="3"/>
        <v>0.95309107847395524</v>
      </c>
      <c r="W15" s="303">
        <f t="shared" si="4"/>
        <v>0.8491238885079474</v>
      </c>
      <c r="X15" s="301"/>
      <c r="Y15" s="301"/>
      <c r="Z15" s="6"/>
      <c r="AA15" s="301"/>
      <c r="AB15" s="96">
        <f>+[2]Report1!AY15</f>
        <v>5630.8734756244048</v>
      </c>
      <c r="AC15" s="13">
        <f t="shared" si="31"/>
        <v>36506.927132259996</v>
      </c>
      <c r="AD15" s="299">
        <f t="shared" si="5"/>
        <v>96.364613756343232</v>
      </c>
      <c r="AE15" s="299">
        <f t="shared" si="6"/>
        <v>107.43904250912321</v>
      </c>
      <c r="AF15" s="305">
        <f t="shared" si="7"/>
        <v>99.362510598630763</v>
      </c>
      <c r="AG15" s="299">
        <f t="shared" si="8"/>
        <v>110.83225952372419</v>
      </c>
      <c r="AH15" s="550">
        <v>66.099999999999994</v>
      </c>
      <c r="AI15" s="301">
        <f t="shared" si="32"/>
        <v>450.6</v>
      </c>
      <c r="AJ15" s="307">
        <f t="shared" si="9"/>
        <v>1.1312101038796567</v>
      </c>
      <c r="AK15" s="307">
        <f t="shared" si="10"/>
        <v>1.3261053821161179</v>
      </c>
      <c r="AL15" s="304">
        <f t="shared" si="11"/>
        <v>1.1664019763543321</v>
      </c>
      <c r="AM15" s="307">
        <f t="shared" si="12"/>
        <v>1.3679873948431791</v>
      </c>
      <c r="AN15" s="96">
        <v>10.8</v>
      </c>
      <c r="AO15" s="301">
        <f t="shared" si="33"/>
        <v>67.600000000000009</v>
      </c>
      <c r="AP15" s="307">
        <f t="shared" si="34"/>
        <v>0.18482706689713005</v>
      </c>
      <c r="AQ15" s="307">
        <f t="shared" si="35"/>
        <v>0.19894523708621745</v>
      </c>
      <c r="AR15" s="304">
        <f t="shared" si="36"/>
        <v>0.19057702488088937</v>
      </c>
      <c r="AS15" s="307">
        <f t="shared" si="37"/>
        <v>0.20522846846737441</v>
      </c>
      <c r="AT15" s="306">
        <f>'7'!I46</f>
        <v>37846.100000000028</v>
      </c>
      <c r="AU15" s="301">
        <f t="shared" si="38"/>
        <v>264040.33999999997</v>
      </c>
      <c r="AV15" s="307">
        <f t="shared" si="13"/>
        <v>647.68367189772948</v>
      </c>
      <c r="AW15" s="307">
        <f t="shared" si="14"/>
        <v>777.06461600037642</v>
      </c>
      <c r="AX15" s="307">
        <f t="shared" si="15"/>
        <v>667.83306864302153</v>
      </c>
      <c r="AY15" s="307">
        <f t="shared" si="16"/>
        <v>801.60642887285223</v>
      </c>
      <c r="AZ15" s="306">
        <f>+Listrik!S14</f>
        <v>26562.96500000075</v>
      </c>
      <c r="BA15" s="301">
        <f t="shared" si="39"/>
        <v>160044.33700000035</v>
      </c>
      <c r="BB15" s="307">
        <f t="shared" si="17"/>
        <v>454.58841750382055</v>
      </c>
      <c r="BC15" s="307">
        <f t="shared" si="40"/>
        <v>471.00678356170926</v>
      </c>
      <c r="BD15" s="307">
        <f t="shared" si="18"/>
        <v>468.73063349216079</v>
      </c>
      <c r="BE15" s="307">
        <f t="shared" si="19"/>
        <v>485.88245812701797</v>
      </c>
      <c r="BF15" s="585">
        <f>+Listrik!V14</f>
        <v>327</v>
      </c>
      <c r="BG15" s="587">
        <f t="shared" si="41"/>
        <v>1996.4999999999709</v>
      </c>
      <c r="BH15" s="586">
        <f t="shared" si="44"/>
        <v>5.59615285882977</v>
      </c>
      <c r="BI15" s="586">
        <f t="shared" si="44"/>
        <v>5.8756533408672675</v>
      </c>
      <c r="BJ15" s="586">
        <f t="shared" si="42"/>
        <v>5.7702488088935953</v>
      </c>
      <c r="BK15" s="586">
        <f t="shared" si="42"/>
        <v>6.0612224451938914</v>
      </c>
      <c r="BL15" s="535">
        <f>+SUM(Efficiency2!K38:K39)</f>
        <v>59.459165320000004</v>
      </c>
      <c r="BM15" s="536">
        <f t="shared" si="43"/>
        <v>387.91630344871299</v>
      </c>
      <c r="BN15" s="537">
        <f t="shared" si="20"/>
        <v>0.95309107847395524</v>
      </c>
      <c r="BO15" s="537">
        <f t="shared" si="21"/>
        <v>0.8491238885079474</v>
      </c>
    </row>
    <row r="16" spans="1:67">
      <c r="A16" s="17">
        <f t="shared" si="22"/>
        <v>45969</v>
      </c>
      <c r="B16" s="432" t="s">
        <v>497</v>
      </c>
      <c r="C16" s="433" t="s">
        <v>550</v>
      </c>
      <c r="D16" s="437">
        <f>+'8'!F42</f>
        <v>946.66666666666663</v>
      </c>
      <c r="E16" s="437">
        <f>+'8'!G42</f>
        <v>804.66666666666663</v>
      </c>
      <c r="F16" s="47">
        <f t="shared" si="0"/>
        <v>0.15000000000000002</v>
      </c>
      <c r="G16" s="442">
        <f t="shared" si="23"/>
        <v>1.0159443023113872</v>
      </c>
      <c r="H16" s="440">
        <f t="shared" si="24"/>
        <v>1.0159443023113872</v>
      </c>
      <c r="I16" s="440">
        <f t="shared" si="25"/>
        <v>0.96276058235712414</v>
      </c>
      <c r="J16" s="444">
        <f t="shared" si="26"/>
        <v>0.97811112813571321</v>
      </c>
      <c r="K16" s="444">
        <f t="shared" si="27"/>
        <v>0.8645254838849219</v>
      </c>
      <c r="L16" s="304">
        <f>+SUM(Efficiency1!K43:K44)</f>
        <v>52.599340218181808</v>
      </c>
      <c r="M16" s="13">
        <f t="shared" si="28"/>
        <v>440.51564366689479</v>
      </c>
      <c r="N16" s="304">
        <f>+SUM(Efficiency1!C43:C44)</f>
        <v>52.599340218181808</v>
      </c>
      <c r="O16" s="13">
        <f t="shared" si="28"/>
        <v>423.22455101644101</v>
      </c>
      <c r="P16" s="300">
        <f>'8'!I38</f>
        <v>53.438000000000002</v>
      </c>
      <c r="Q16" s="13">
        <f t="shared" si="29"/>
        <v>393.23</v>
      </c>
      <c r="R16" s="15">
        <f>'8'!I40</f>
        <v>51.448</v>
      </c>
      <c r="S16" s="301">
        <f t="shared" si="30"/>
        <v>380.83700000000005</v>
      </c>
      <c r="T16" s="7">
        <f t="shared" si="1"/>
        <v>0.96276058235712414</v>
      </c>
      <c r="U16" s="7">
        <f t="shared" si="2"/>
        <v>0.96848409327874274</v>
      </c>
      <c r="V16" s="302">
        <f t="shared" si="3"/>
        <v>0.97811112813571321</v>
      </c>
      <c r="W16" s="303">
        <f t="shared" si="4"/>
        <v>0.8645254838849219</v>
      </c>
      <c r="X16" s="301"/>
      <c r="Y16" s="301"/>
      <c r="Z16" s="6"/>
      <c r="AA16" s="301"/>
      <c r="AB16" s="96">
        <f>+[2]Report1!AY16</f>
        <v>5736.9246367015885</v>
      </c>
      <c r="AC16" s="13">
        <f t="shared" si="31"/>
        <v>42243.851768961584</v>
      </c>
      <c r="AD16" s="299">
        <f t="shared" si="5"/>
        <v>107.35664951348457</v>
      </c>
      <c r="AE16" s="299">
        <f t="shared" si="6"/>
        <v>107.42784571106371</v>
      </c>
      <c r="AF16" s="305">
        <f t="shared" si="7"/>
        <v>111.50918668756003</v>
      </c>
      <c r="AG16" s="299">
        <f t="shared" si="8"/>
        <v>110.9237069112549</v>
      </c>
      <c r="AH16" s="550">
        <v>66.599999999999994</v>
      </c>
      <c r="AI16" s="301">
        <f t="shared" si="32"/>
        <v>517.20000000000005</v>
      </c>
      <c r="AJ16" s="307">
        <f t="shared" si="9"/>
        <v>1.2463041281485083</v>
      </c>
      <c r="AK16" s="307">
        <f t="shared" si="10"/>
        <v>1.3152607888513084</v>
      </c>
      <c r="AL16" s="304">
        <f t="shared" si="11"/>
        <v>1.2945109625252682</v>
      </c>
      <c r="AM16" s="307">
        <f t="shared" si="12"/>
        <v>1.35806132282315</v>
      </c>
      <c r="AN16" s="96">
        <v>10.4</v>
      </c>
      <c r="AO16" s="301">
        <f t="shared" si="33"/>
        <v>78.000000000000014</v>
      </c>
      <c r="AP16" s="307">
        <f t="shared" si="34"/>
        <v>0.19461806205322055</v>
      </c>
      <c r="AQ16" s="307">
        <f t="shared" si="35"/>
        <v>0.19835719553442008</v>
      </c>
      <c r="AR16" s="304">
        <f t="shared" si="36"/>
        <v>0.2021458560099518</v>
      </c>
      <c r="AS16" s="307">
        <f t="shared" si="37"/>
        <v>0.20481203244432658</v>
      </c>
      <c r="AT16" s="306">
        <f>'8'!I46</f>
        <v>41738.500000000015</v>
      </c>
      <c r="AU16" s="301">
        <f t="shared" si="38"/>
        <v>305778.83999999997</v>
      </c>
      <c r="AV16" s="307">
        <f t="shared" si="13"/>
        <v>781.06403682772589</v>
      </c>
      <c r="AW16" s="307">
        <f t="shared" si="14"/>
        <v>777.60811738677103</v>
      </c>
      <c r="AX16" s="307">
        <f t="shared" si="15"/>
        <v>811.27546260301699</v>
      </c>
      <c r="AY16" s="307">
        <f t="shared" si="16"/>
        <v>802.91263716498122</v>
      </c>
      <c r="AZ16" s="306">
        <f>+Listrik!S15</f>
        <v>27933.702999999685</v>
      </c>
      <c r="BA16" s="301">
        <f t="shared" si="39"/>
        <v>187978.04000000004</v>
      </c>
      <c r="BB16" s="307">
        <f t="shared" si="17"/>
        <v>522.73107152213197</v>
      </c>
      <c r="BC16" s="307">
        <f t="shared" si="40"/>
        <v>478.0358568776544</v>
      </c>
      <c r="BD16" s="307">
        <f t="shared" si="18"/>
        <v>542.95022158295149</v>
      </c>
      <c r="BE16" s="307">
        <f t="shared" si="19"/>
        <v>493.59185163206308</v>
      </c>
      <c r="BF16" s="585">
        <f>+Listrik!V15</f>
        <v>297.10000000003492</v>
      </c>
      <c r="BG16" s="587">
        <f t="shared" si="41"/>
        <v>2293.6000000000058</v>
      </c>
      <c r="BH16" s="586">
        <f t="shared" si="44"/>
        <v>5.5597140611556375</v>
      </c>
      <c r="BI16" s="586">
        <f t="shared" si="44"/>
        <v>5.8327187650993206</v>
      </c>
      <c r="BJ16" s="586">
        <f t="shared" si="42"/>
        <v>5.7747628673618978</v>
      </c>
      <c r="BK16" s="586">
        <f t="shared" si="42"/>
        <v>6.0225240719783146</v>
      </c>
      <c r="BL16" s="304">
        <f>+SUM(Efficiency2!K43:K44)</f>
        <v>52.599340218181808</v>
      </c>
      <c r="BM16" s="536">
        <f t="shared" si="43"/>
        <v>440.51564366689479</v>
      </c>
      <c r="BN16" s="537">
        <f t="shared" si="20"/>
        <v>0.97811112813571321</v>
      </c>
      <c r="BO16" s="537">
        <f t="shared" si="21"/>
        <v>0.8645254838849219</v>
      </c>
    </row>
    <row r="17" spans="1:67">
      <c r="A17" s="17">
        <f t="shared" si="22"/>
        <v>45970</v>
      </c>
      <c r="B17" s="432" t="s">
        <v>548</v>
      </c>
      <c r="C17" s="433" t="s">
        <v>549</v>
      </c>
      <c r="D17" s="437">
        <f>+'9'!F42</f>
        <v>1066.5277777777778</v>
      </c>
      <c r="E17" s="437">
        <f>+'9'!G42</f>
        <v>857.82048611111111</v>
      </c>
      <c r="F17" s="47">
        <f t="shared" si="0"/>
        <v>0.19568856621955988</v>
      </c>
      <c r="G17" s="442">
        <f t="shared" si="23"/>
        <v>0.97288515926716801</v>
      </c>
      <c r="H17" s="440">
        <f t="shared" si="24"/>
        <v>0.93858326775873135</v>
      </c>
      <c r="I17" s="440">
        <f t="shared" si="25"/>
        <v>1.0100615316777906</v>
      </c>
      <c r="J17" s="444">
        <f t="shared" si="26"/>
        <v>0.94802685303952994</v>
      </c>
      <c r="K17" s="444">
        <f t="shared" si="27"/>
        <v>0.87351674606644625</v>
      </c>
      <c r="L17" s="304">
        <f>+SUM(Efficiency1!K48:K51)</f>
        <v>53.1577769537069</v>
      </c>
      <c r="M17" s="13">
        <f t="shared" si="28"/>
        <v>493.67342062060169</v>
      </c>
      <c r="N17" s="304">
        <f>+SUM(Efficiency1!C48:C51)</f>
        <v>51.283545159206895</v>
      </c>
      <c r="O17" s="13">
        <f t="shared" si="28"/>
        <v>474.50809617564789</v>
      </c>
      <c r="P17" s="300">
        <f>'9'!I38</f>
        <v>49.893000000000001</v>
      </c>
      <c r="Q17" s="13">
        <f t="shared" si="29"/>
        <v>443.12300000000005</v>
      </c>
      <c r="R17" s="15">
        <f>'9'!I40</f>
        <v>50.395000000000003</v>
      </c>
      <c r="S17" s="301">
        <f t="shared" si="30"/>
        <v>431.23200000000003</v>
      </c>
      <c r="T17" s="7">
        <f t="shared" si="1"/>
        <v>1.0100615316777906</v>
      </c>
      <c r="U17" s="7">
        <f t="shared" si="2"/>
        <v>0.97316546421648165</v>
      </c>
      <c r="V17" s="302">
        <f t="shared" si="3"/>
        <v>0.94802685303952994</v>
      </c>
      <c r="W17" s="303">
        <f t="shared" si="4"/>
        <v>0.87351674606644625</v>
      </c>
      <c r="X17" s="301"/>
      <c r="Y17" s="301"/>
      <c r="Z17" s="6"/>
      <c r="AA17" s="301"/>
      <c r="AB17" s="96">
        <f>+[2]Report1!AY17</f>
        <v>5178.5088135416127</v>
      </c>
      <c r="AC17" s="13">
        <f t="shared" si="31"/>
        <v>47422.360582503199</v>
      </c>
      <c r="AD17" s="299">
        <f t="shared" si="5"/>
        <v>103.79229177523125</v>
      </c>
      <c r="AE17" s="299">
        <f t="shared" si="6"/>
        <v>107.01850407788174</v>
      </c>
      <c r="AF17" s="305">
        <f t="shared" si="7"/>
        <v>102.75838502910234</v>
      </c>
      <c r="AG17" s="299">
        <f t="shared" si="8"/>
        <v>109.96948413499739</v>
      </c>
      <c r="AH17" s="550">
        <v>65.8</v>
      </c>
      <c r="AI17" s="301">
        <f t="shared" si="32"/>
        <v>583</v>
      </c>
      <c r="AJ17" s="307">
        <f t="shared" si="9"/>
        <v>1.3188222796785118</v>
      </c>
      <c r="AK17" s="307">
        <f t="shared" si="10"/>
        <v>1.3156617914213433</v>
      </c>
      <c r="AL17" s="304">
        <f t="shared" si="11"/>
        <v>1.3056850878063297</v>
      </c>
      <c r="AM17" s="307">
        <f t="shared" si="12"/>
        <v>1.3519404867913327</v>
      </c>
      <c r="AN17" s="96">
        <v>10.8</v>
      </c>
      <c r="AO17" s="301">
        <f t="shared" si="33"/>
        <v>88.800000000000011</v>
      </c>
      <c r="AP17" s="307">
        <f t="shared" si="34"/>
        <v>0.21646323131501413</v>
      </c>
      <c r="AQ17" s="307">
        <f t="shared" si="35"/>
        <v>0.20039582689230756</v>
      </c>
      <c r="AR17" s="304">
        <f t="shared" si="36"/>
        <v>0.21430697489830342</v>
      </c>
      <c r="AS17" s="307">
        <f t="shared" si="37"/>
        <v>0.20592163846838826</v>
      </c>
      <c r="AT17" s="306">
        <f>'9'!I46</f>
        <v>39197.939999999988</v>
      </c>
      <c r="AU17" s="301">
        <f t="shared" si="38"/>
        <v>344976.77999999997</v>
      </c>
      <c r="AV17" s="307">
        <f t="shared" si="13"/>
        <v>785.64006974926315</v>
      </c>
      <c r="AW17" s="307">
        <f t="shared" si="14"/>
        <v>778.51246719308165</v>
      </c>
      <c r="AX17" s="307">
        <f t="shared" si="15"/>
        <v>777.81406885603712</v>
      </c>
      <c r="AY17" s="307">
        <f t="shared" si="16"/>
        <v>799.97954697239527</v>
      </c>
      <c r="AZ17" s="306">
        <f>+Listrik!S16</f>
        <v>25080.699999999928</v>
      </c>
      <c r="BA17" s="301">
        <f t="shared" si="39"/>
        <v>213058.73999999996</v>
      </c>
      <c r="BB17" s="307">
        <f t="shared" si="17"/>
        <v>502.68975607800547</v>
      </c>
      <c r="BC17" s="307">
        <f t="shared" si="40"/>
        <v>480.81173850149946</v>
      </c>
      <c r="BD17" s="307">
        <f t="shared" si="18"/>
        <v>497.68230975295023</v>
      </c>
      <c r="BE17" s="307">
        <f t="shared" si="19"/>
        <v>494.06987422083699</v>
      </c>
      <c r="BF17" s="585">
        <f>+Listrik!V16</f>
        <v>296.39999999999418</v>
      </c>
      <c r="BG17" s="587">
        <f t="shared" si="41"/>
        <v>2590</v>
      </c>
      <c r="BH17" s="586">
        <f t="shared" si="44"/>
        <v>5.9407131260897152</v>
      </c>
      <c r="BI17" s="586">
        <f t="shared" si="44"/>
        <v>5.8448782843589697</v>
      </c>
      <c r="BJ17" s="586">
        <f t="shared" si="42"/>
        <v>5.881535866653322</v>
      </c>
      <c r="BK17" s="586">
        <f t="shared" si="42"/>
        <v>6.0060477886613244</v>
      </c>
      <c r="BL17" s="304">
        <f>+SUM(Efficiency2!K48:K51)</f>
        <v>53.1577769537069</v>
      </c>
      <c r="BM17" s="536">
        <f t="shared" si="43"/>
        <v>493.67342062060169</v>
      </c>
      <c r="BN17" s="537">
        <f t="shared" si="20"/>
        <v>0.94802685303952994</v>
      </c>
      <c r="BO17" s="537">
        <f t="shared" si="21"/>
        <v>0.87351674606644625</v>
      </c>
    </row>
    <row r="18" spans="1:67">
      <c r="A18" s="17">
        <f t="shared" si="22"/>
        <v>45971</v>
      </c>
      <c r="B18" s="432" t="s">
        <v>431</v>
      </c>
      <c r="C18" s="433" t="s">
        <v>565</v>
      </c>
      <c r="D18" s="437">
        <f>+'10'!F42</f>
        <v>1303.3333333333333</v>
      </c>
      <c r="E18" s="437">
        <f>+'10'!G42</f>
        <v>1003.5666666666667</v>
      </c>
      <c r="F18" s="47">
        <f t="shared" si="0"/>
        <v>0.22999999999999987</v>
      </c>
      <c r="G18" s="442">
        <f t="shared" si="23"/>
        <v>0.96124669089367487</v>
      </c>
      <c r="H18" s="440">
        <f t="shared" si="24"/>
        <v>0.93146829278668364</v>
      </c>
      <c r="I18" s="440">
        <f t="shared" si="25"/>
        <v>0.99606881519539159</v>
      </c>
      <c r="J18" s="444">
        <f t="shared" si="26"/>
        <v>0.92780651878810616</v>
      </c>
      <c r="K18" s="444">
        <f t="shared" si="27"/>
        <v>0.87897349197453722</v>
      </c>
      <c r="L18" s="304">
        <f>+Efficiency1!K53</f>
        <v>55.164518640000011</v>
      </c>
      <c r="M18" s="13">
        <f t="shared" si="28"/>
        <v>548.83793926060173</v>
      </c>
      <c r="N18" s="304">
        <f>+Efficiency1!C53</f>
        <v>53.455580640000008</v>
      </c>
      <c r="O18" s="13">
        <f t="shared" si="28"/>
        <v>527.96367681564789</v>
      </c>
      <c r="P18" s="300">
        <f>'10'!I38</f>
        <v>51.384</v>
      </c>
      <c r="Q18" s="13">
        <f t="shared" si="29"/>
        <v>494.50700000000006</v>
      </c>
      <c r="R18" s="15">
        <f>'10'!I40</f>
        <v>51.182000000000002</v>
      </c>
      <c r="S18" s="301">
        <f t="shared" si="30"/>
        <v>482.41400000000004</v>
      </c>
      <c r="T18" s="7">
        <f t="shared" si="1"/>
        <v>0.99606881519539159</v>
      </c>
      <c r="U18" s="7">
        <f t="shared" si="2"/>
        <v>0.97554534111751701</v>
      </c>
      <c r="V18" s="302">
        <f t="shared" si="3"/>
        <v>0.92780651878810616</v>
      </c>
      <c r="W18" s="303">
        <f t="shared" si="4"/>
        <v>0.87897349197453722</v>
      </c>
      <c r="X18" s="301"/>
      <c r="Y18" s="301"/>
      <c r="Z18" s="6"/>
      <c r="AA18" s="301"/>
      <c r="AB18" s="96">
        <f>+[2]Report1!AY18</f>
        <v>6057.2294008671279</v>
      </c>
      <c r="AC18" s="13">
        <f t="shared" si="31"/>
        <v>53479.58998337033</v>
      </c>
      <c r="AD18" s="299">
        <f t="shared" si="5"/>
        <v>117.88162464711054</v>
      </c>
      <c r="AE18" s="299">
        <f t="shared" si="6"/>
        <v>108.14728605130023</v>
      </c>
      <c r="AF18" s="305">
        <f t="shared" si="7"/>
        <v>118.3468680564872</v>
      </c>
      <c r="AG18" s="299">
        <f t="shared" si="8"/>
        <v>110.85828766032976</v>
      </c>
      <c r="AH18" s="550">
        <v>65.900000000000006</v>
      </c>
      <c r="AI18" s="301">
        <f t="shared" si="32"/>
        <v>648.9</v>
      </c>
      <c r="AJ18" s="307">
        <f t="shared" si="9"/>
        <v>1.2825003892262183</v>
      </c>
      <c r="AK18" s="307">
        <f t="shared" si="10"/>
        <v>1.3122160050312734</v>
      </c>
      <c r="AL18" s="304">
        <f t="shared" si="11"/>
        <v>1.2875620335274121</v>
      </c>
      <c r="AM18" s="307">
        <f t="shared" si="12"/>
        <v>1.3451102165360043</v>
      </c>
      <c r="AN18" s="96">
        <v>9.6</v>
      </c>
      <c r="AO18" s="301">
        <f t="shared" si="33"/>
        <v>98.4</v>
      </c>
      <c r="AP18" s="307">
        <f t="shared" si="34"/>
        <v>0.18682858477347034</v>
      </c>
      <c r="AQ18" s="307">
        <f t="shared" si="35"/>
        <v>0.19898606086465914</v>
      </c>
      <c r="AR18" s="304">
        <f t="shared" si="36"/>
        <v>0.18756594115118594</v>
      </c>
      <c r="AS18" s="307">
        <f t="shared" si="37"/>
        <v>0.20397417985381849</v>
      </c>
      <c r="AT18" s="306">
        <f>'10'!I46</f>
        <v>42912.239999999969</v>
      </c>
      <c r="AU18" s="301">
        <f t="shared" si="38"/>
        <v>387889.01999999996</v>
      </c>
      <c r="AV18" s="307">
        <f t="shared" si="13"/>
        <v>835.12844465203113</v>
      </c>
      <c r="AW18" s="307">
        <f t="shared" si="14"/>
        <v>784.39540795175787</v>
      </c>
      <c r="AX18" s="307">
        <f t="shared" si="15"/>
        <v>838.42444609432937</v>
      </c>
      <c r="AY18" s="307">
        <f t="shared" si="16"/>
        <v>804.05838139025798</v>
      </c>
      <c r="AZ18" s="306">
        <f>+Listrik!S17</f>
        <v>24949.200000000004</v>
      </c>
      <c r="BA18" s="301">
        <f t="shared" si="39"/>
        <v>238007.93999999997</v>
      </c>
      <c r="BB18" s="307">
        <f t="shared" si="17"/>
        <v>485.54413825315277</v>
      </c>
      <c r="BC18" s="307">
        <f t="shared" si="40"/>
        <v>481.30348003162737</v>
      </c>
      <c r="BD18" s="307">
        <f t="shared" si="18"/>
        <v>487.46043530928853</v>
      </c>
      <c r="BE18" s="307">
        <f t="shared" si="19"/>
        <v>493.36864187191901</v>
      </c>
      <c r="BF18" s="585">
        <f>+Listrik!V17</f>
        <v>310.10000000000582</v>
      </c>
      <c r="BG18" s="587">
        <f t="shared" si="41"/>
        <v>2900.1000000000058</v>
      </c>
      <c r="BH18" s="586">
        <f t="shared" si="44"/>
        <v>6.0349525144014837</v>
      </c>
      <c r="BI18" s="586">
        <f t="shared" si="44"/>
        <v>5.8646288121300714</v>
      </c>
      <c r="BJ18" s="586">
        <f t="shared" si="42"/>
        <v>6.0587706615608186</v>
      </c>
      <c r="BK18" s="586">
        <f t="shared" si="42"/>
        <v>6.0116414531916682</v>
      </c>
      <c r="BL18" s="304">
        <f>+Efficiency2!K53</f>
        <v>55.164518640000011</v>
      </c>
      <c r="BM18" s="536">
        <f t="shared" si="43"/>
        <v>548.83793926060173</v>
      </c>
      <c r="BN18" s="537">
        <f t="shared" si="20"/>
        <v>0.92780651878810616</v>
      </c>
      <c r="BO18" s="537">
        <f t="shared" si="21"/>
        <v>0.87897349197453722</v>
      </c>
    </row>
    <row r="19" spans="1:67">
      <c r="A19" s="17">
        <f t="shared" si="22"/>
        <v>45972</v>
      </c>
      <c r="B19" s="432" t="s">
        <v>431</v>
      </c>
      <c r="C19" s="433" t="s">
        <v>565</v>
      </c>
      <c r="D19" s="437">
        <f>+'11'!F42</f>
        <v>1303.3333333333333</v>
      </c>
      <c r="E19" s="437">
        <f>+'11'!G42</f>
        <v>1003.5666666666667</v>
      </c>
      <c r="F19" s="47">
        <f t="shared" si="0"/>
        <v>0.22999999999999987</v>
      </c>
      <c r="G19" s="442">
        <f t="shared" si="23"/>
        <v>0.98320885061477836</v>
      </c>
      <c r="H19" s="440">
        <f t="shared" si="24"/>
        <v>0.95275008820415941</v>
      </c>
      <c r="I19" s="440">
        <f t="shared" si="25"/>
        <v>0.9637543285513146</v>
      </c>
      <c r="J19" s="444">
        <f t="shared" si="26"/>
        <v>0.91821702153440543</v>
      </c>
      <c r="K19" s="444">
        <f t="shared" si="27"/>
        <v>0.882557666822814</v>
      </c>
      <c r="L19" s="304">
        <f>+Efficiency1!K58</f>
        <v>55.164518640000011</v>
      </c>
      <c r="M19" s="13">
        <f t="shared" si="28"/>
        <v>604.00245790060171</v>
      </c>
      <c r="N19" s="304">
        <f>+Efficiency1!C58</f>
        <v>53.455580640000008</v>
      </c>
      <c r="O19" s="13">
        <f t="shared" si="28"/>
        <v>581.41925745564788</v>
      </c>
      <c r="P19" s="300">
        <f>'11'!I38</f>
        <v>52.558000000000007</v>
      </c>
      <c r="Q19" s="13">
        <f t="shared" si="29"/>
        <v>547.06500000000005</v>
      </c>
      <c r="R19" s="15">
        <f>'11'!I40</f>
        <v>50.652999999999999</v>
      </c>
      <c r="S19" s="301">
        <f t="shared" si="30"/>
        <v>533.06700000000001</v>
      </c>
      <c r="T19" s="7">
        <f t="shared" si="1"/>
        <v>0.9637543285513146</v>
      </c>
      <c r="U19" s="7">
        <f t="shared" si="2"/>
        <v>0.97441254695511492</v>
      </c>
      <c r="V19" s="302">
        <f t="shared" si="3"/>
        <v>0.91821702153440543</v>
      </c>
      <c r="W19" s="303">
        <f t="shared" si="4"/>
        <v>0.882557666822814</v>
      </c>
      <c r="X19" s="301"/>
      <c r="Y19" s="301"/>
      <c r="Z19" s="6"/>
      <c r="AA19" s="301"/>
      <c r="AB19" s="96">
        <f>+[2]Report1!AY19</f>
        <v>5520.4515244876302</v>
      </c>
      <c r="AC19" s="13">
        <f t="shared" si="31"/>
        <v>59000.041507857961</v>
      </c>
      <c r="AD19" s="299">
        <f t="shared" si="5"/>
        <v>105.03541848030042</v>
      </c>
      <c r="AE19" s="299">
        <f t="shared" si="6"/>
        <v>107.84832059784112</v>
      </c>
      <c r="AF19" s="305">
        <f t="shared" si="7"/>
        <v>108.98567754106628</v>
      </c>
      <c r="AG19" s="299">
        <f t="shared" si="8"/>
        <v>110.68034882642887</v>
      </c>
      <c r="AH19" s="550">
        <v>69.900000000000006</v>
      </c>
      <c r="AI19" s="301">
        <f t="shared" si="32"/>
        <v>718.8</v>
      </c>
      <c r="AJ19" s="307">
        <f t="shared" si="9"/>
        <v>1.3299592830777427</v>
      </c>
      <c r="AK19" s="307">
        <f t="shared" si="10"/>
        <v>1.3139206492829918</v>
      </c>
      <c r="AL19" s="304">
        <f t="shared" si="11"/>
        <v>1.3799774939292837</v>
      </c>
      <c r="AM19" s="307">
        <f t="shared" si="12"/>
        <v>1.3484233689198541</v>
      </c>
      <c r="AN19" s="96">
        <v>9.8000000000000007</v>
      </c>
      <c r="AO19" s="301">
        <f t="shared" si="33"/>
        <v>108.2</v>
      </c>
      <c r="AP19" s="307">
        <f t="shared" si="34"/>
        <v>0.18646067201948321</v>
      </c>
      <c r="AQ19" s="307">
        <f t="shared" si="35"/>
        <v>0.19778271320592616</v>
      </c>
      <c r="AR19" s="304">
        <f t="shared" si="36"/>
        <v>0.19347323949223147</v>
      </c>
      <c r="AS19" s="307">
        <f t="shared" si="37"/>
        <v>0.2029763613204344</v>
      </c>
      <c r="AT19" s="306">
        <f>'11'!I46</f>
        <v>44245.74000000002</v>
      </c>
      <c r="AU19" s="301">
        <f t="shared" si="38"/>
        <v>432134.76</v>
      </c>
      <c r="AV19" s="307">
        <f t="shared" si="13"/>
        <v>841.84596065299309</v>
      </c>
      <c r="AW19" s="307">
        <f t="shared" si="14"/>
        <v>789.91483644539494</v>
      </c>
      <c r="AX19" s="307">
        <f t="shared" si="15"/>
        <v>873.50680117663364</v>
      </c>
      <c r="AY19" s="307">
        <f t="shared" si="16"/>
        <v>810.65749708760814</v>
      </c>
      <c r="AZ19" s="306">
        <f>+Listrik!S18</f>
        <v>22984.000000000004</v>
      </c>
      <c r="BA19" s="301">
        <f t="shared" si="39"/>
        <v>260991.93999999997</v>
      </c>
      <c r="BB19" s="307">
        <f t="shared" si="17"/>
        <v>437.30735568324519</v>
      </c>
      <c r="BC19" s="307">
        <f t="shared" si="40"/>
        <v>477.07665451088985</v>
      </c>
      <c r="BD19" s="307">
        <f t="shared" si="18"/>
        <v>453.75397311116819</v>
      </c>
      <c r="BE19" s="307">
        <f t="shared" si="19"/>
        <v>489.60438368910468</v>
      </c>
      <c r="BF19" s="585">
        <f>+Listrik!V18</f>
        <v>339.89999999999418</v>
      </c>
      <c r="BG19" s="587">
        <f t="shared" si="41"/>
        <v>3240</v>
      </c>
      <c r="BH19" s="586">
        <f t="shared" si="44"/>
        <v>6.4671410632062507</v>
      </c>
      <c r="BI19" s="586">
        <f t="shared" si="44"/>
        <v>5.9225137780702477</v>
      </c>
      <c r="BJ19" s="586">
        <f t="shared" si="42"/>
        <v>6.7103626636130969</v>
      </c>
      <c r="BK19" s="586">
        <f t="shared" si="42"/>
        <v>6.0780352188374076</v>
      </c>
      <c r="BL19" s="535">
        <f>+Efficiency2!K58</f>
        <v>55.164518640000011</v>
      </c>
      <c r="BM19" s="536">
        <f t="shared" si="43"/>
        <v>604.00245790060171</v>
      </c>
      <c r="BN19" s="537">
        <f t="shared" si="20"/>
        <v>0.91821702153440543</v>
      </c>
      <c r="BO19" s="537">
        <f t="shared" si="21"/>
        <v>0.882557666822814</v>
      </c>
    </row>
    <row r="20" spans="1:67">
      <c r="A20" s="17">
        <f t="shared" si="22"/>
        <v>45973</v>
      </c>
      <c r="B20" s="432" t="s">
        <v>431</v>
      </c>
      <c r="C20" s="433" t="s">
        <v>565</v>
      </c>
      <c r="D20" s="437">
        <f>+'12'!F42</f>
        <v>1300</v>
      </c>
      <c r="E20" s="437">
        <f>+'12'!G42</f>
        <v>1001</v>
      </c>
      <c r="F20" s="47">
        <f t="shared" si="0"/>
        <v>0.22999999999999998</v>
      </c>
      <c r="G20" s="442">
        <f t="shared" si="23"/>
        <v>0.95255214882141082</v>
      </c>
      <c r="H20" s="440">
        <f t="shared" si="24"/>
        <v>0.92068237432552702</v>
      </c>
      <c r="I20" s="440">
        <f t="shared" si="25"/>
        <v>0.96733544665183413</v>
      </c>
      <c r="J20" s="444">
        <f t="shared" si="26"/>
        <v>0.89060869579265478</v>
      </c>
      <c r="K20" s="444">
        <f t="shared" si="27"/>
        <v>0.88323144320040026</v>
      </c>
      <c r="L20" s="304">
        <f>+Efficiency1!K63</f>
        <v>55.164518640000011</v>
      </c>
      <c r="M20" s="13">
        <f t="shared" si="28"/>
        <v>659.16697654060169</v>
      </c>
      <c r="N20" s="304">
        <f>+Efficiency1!C63</f>
        <v>53.318865600000002</v>
      </c>
      <c r="O20" s="13">
        <f t="shared" si="28"/>
        <v>634.73812305564786</v>
      </c>
      <c r="P20" s="300">
        <f>'12'!I38</f>
        <v>50.789000000000001</v>
      </c>
      <c r="Q20" s="13">
        <f t="shared" si="29"/>
        <v>597.85400000000004</v>
      </c>
      <c r="R20" s="15">
        <f>'12'!I40</f>
        <v>49.13</v>
      </c>
      <c r="S20" s="301">
        <f t="shared" si="30"/>
        <v>582.197</v>
      </c>
      <c r="T20" s="7">
        <f t="shared" si="1"/>
        <v>0.96733544665183413</v>
      </c>
      <c r="U20" s="7">
        <f t="shared" si="2"/>
        <v>0.97381133186363222</v>
      </c>
      <c r="V20" s="302">
        <f t="shared" si="3"/>
        <v>0.89060869579265478</v>
      </c>
      <c r="W20" s="303">
        <f t="shared" si="4"/>
        <v>0.88323144320040026</v>
      </c>
      <c r="X20" s="301"/>
      <c r="Y20" s="301"/>
      <c r="Z20" s="6"/>
      <c r="AA20" s="301"/>
      <c r="AB20" s="96">
        <f>+[2]Report1!AY20</f>
        <v>5202.9032953432006</v>
      </c>
      <c r="AC20" s="13">
        <f t="shared" si="31"/>
        <v>64202.944803201164</v>
      </c>
      <c r="AD20" s="299">
        <f t="shared" si="5"/>
        <v>102.44153843043179</v>
      </c>
      <c r="AE20" s="299">
        <f t="shared" si="6"/>
        <v>107.38900267155721</v>
      </c>
      <c r="AF20" s="305">
        <f t="shared" si="7"/>
        <v>105.90073876131082</v>
      </c>
      <c r="AG20" s="299">
        <f t="shared" si="8"/>
        <v>110.2770107080613</v>
      </c>
      <c r="AH20" s="550">
        <v>71.599999999999994</v>
      </c>
      <c r="AI20" s="301">
        <f t="shared" si="32"/>
        <v>790.4</v>
      </c>
      <c r="AJ20" s="307">
        <f t="shared" si="9"/>
        <v>1.4097540806080056</v>
      </c>
      <c r="AK20" s="307">
        <f t="shared" si="10"/>
        <v>1.322061908091273</v>
      </c>
      <c r="AL20" s="304">
        <f t="shared" si="11"/>
        <v>1.457358029717077</v>
      </c>
      <c r="AM20" s="307">
        <f t="shared" si="12"/>
        <v>1.3576160646653967</v>
      </c>
      <c r="AN20" s="96">
        <v>8.6</v>
      </c>
      <c r="AO20" s="301">
        <f t="shared" si="33"/>
        <v>116.8</v>
      </c>
      <c r="AP20" s="307">
        <f t="shared" si="34"/>
        <v>0.16932800409537496</v>
      </c>
      <c r="AQ20" s="307">
        <f t="shared" si="35"/>
        <v>0.19536542366530957</v>
      </c>
      <c r="AR20" s="304">
        <f t="shared" si="36"/>
        <v>0.17504579686545896</v>
      </c>
      <c r="AS20" s="307">
        <f t="shared" si="37"/>
        <v>0.20061937797687038</v>
      </c>
      <c r="AT20" s="306">
        <f>'12'!I46</f>
        <v>42773.860000000066</v>
      </c>
      <c r="AU20" s="301">
        <f t="shared" si="38"/>
        <v>474908.62000000005</v>
      </c>
      <c r="AV20" s="307">
        <f t="shared" si="13"/>
        <v>842.18748154127991</v>
      </c>
      <c r="AW20" s="307">
        <f t="shared" si="14"/>
        <v>794.35551154629741</v>
      </c>
      <c r="AX20" s="307">
        <f t="shared" si="15"/>
        <v>870.62609403623173</v>
      </c>
      <c r="AY20" s="307">
        <f t="shared" si="16"/>
        <v>815.71808168025609</v>
      </c>
      <c r="AZ20" s="306">
        <f>+Listrik!S19</f>
        <v>23558.400000000001</v>
      </c>
      <c r="BA20" s="301">
        <f t="shared" si="39"/>
        <v>284550.33999999997</v>
      </c>
      <c r="BB20" s="307">
        <f t="shared" si="17"/>
        <v>463.8484711256375</v>
      </c>
      <c r="BC20" s="307">
        <f t="shared" si="40"/>
        <v>475.95289150862914</v>
      </c>
      <c r="BD20" s="307">
        <f t="shared" si="18"/>
        <v>479.51150010177082</v>
      </c>
      <c r="BE20" s="307">
        <f t="shared" si="19"/>
        <v>488.75267306427202</v>
      </c>
      <c r="BF20" s="585">
        <f>+Listrik!V19</f>
        <v>340.10000000000582</v>
      </c>
      <c r="BG20" s="587">
        <f t="shared" si="41"/>
        <v>3580.1000000000058</v>
      </c>
      <c r="BH20" s="586">
        <f t="shared" si="44"/>
        <v>6.696331882888142</v>
      </c>
      <c r="BI20" s="586">
        <f t="shared" si="44"/>
        <v>5.9882513121932881</v>
      </c>
      <c r="BJ20" s="586">
        <f t="shared" si="42"/>
        <v>6.9224506411562352</v>
      </c>
      <c r="BK20" s="586">
        <f t="shared" si="42"/>
        <v>6.1492931086900242</v>
      </c>
      <c r="BL20" s="535">
        <f>+Efficiency2!K63</f>
        <v>55.164518640000011</v>
      </c>
      <c r="BM20" s="536">
        <f t="shared" si="43"/>
        <v>659.16697654060169</v>
      </c>
      <c r="BN20" s="537">
        <f t="shared" si="20"/>
        <v>0.89060869579265478</v>
      </c>
      <c r="BO20" s="537">
        <f t="shared" si="21"/>
        <v>0.88323144320040026</v>
      </c>
    </row>
    <row r="21" spans="1:67">
      <c r="A21" s="17">
        <f t="shared" si="22"/>
        <v>45974</v>
      </c>
      <c r="B21" s="432" t="s">
        <v>431</v>
      </c>
      <c r="C21" s="433" t="s">
        <v>565</v>
      </c>
      <c r="D21" s="437">
        <f>+'13'!F42</f>
        <v>1214.2355008787347</v>
      </c>
      <c r="E21" s="437">
        <f>+'13'!G42</f>
        <v>934.96133567662571</v>
      </c>
      <c r="F21" s="47">
        <f t="shared" si="0"/>
        <v>0.22999999999999998</v>
      </c>
      <c r="G21" s="442">
        <f t="shared" si="23"/>
        <v>0.76923731028001852</v>
      </c>
      <c r="H21" s="440">
        <f t="shared" si="24"/>
        <v>0.69445000055202144</v>
      </c>
      <c r="I21" s="440">
        <f t="shared" si="25"/>
        <v>0.76898378970998971</v>
      </c>
      <c r="J21" s="444">
        <f t="shared" si="26"/>
        <v>0.53402079318859785</v>
      </c>
      <c r="K21" s="444">
        <f t="shared" si="27"/>
        <v>0.85626351928575861</v>
      </c>
      <c r="L21" s="304">
        <f>+Efficiency1!K68</f>
        <v>55.164518640000011</v>
      </c>
      <c r="M21" s="13">
        <f t="shared" si="28"/>
        <v>714.33149518060168</v>
      </c>
      <c r="N21" s="304">
        <f>+Efficiency1!C68</f>
        <v>49.801276521616877</v>
      </c>
      <c r="O21" s="13">
        <f t="shared" si="28"/>
        <v>684.5393995772647</v>
      </c>
      <c r="P21" s="300">
        <f>'13'!I38</f>
        <v>38.309000000000005</v>
      </c>
      <c r="Q21" s="13">
        <f t="shared" si="29"/>
        <v>636.16300000000001</v>
      </c>
      <c r="R21" s="15">
        <f>'13'!I40</f>
        <v>29.459</v>
      </c>
      <c r="S21" s="301">
        <f t="shared" si="30"/>
        <v>611.65599999999995</v>
      </c>
      <c r="T21" s="7">
        <f t="shared" si="1"/>
        <v>0.76898378970998971</v>
      </c>
      <c r="U21" s="7">
        <f t="shared" si="2"/>
        <v>0.96147685420246054</v>
      </c>
      <c r="V21" s="302">
        <f t="shared" si="3"/>
        <v>0.53402079318859785</v>
      </c>
      <c r="W21" s="303">
        <f t="shared" si="4"/>
        <v>0.85626351928575861</v>
      </c>
      <c r="X21" s="301"/>
      <c r="Y21" s="301"/>
      <c r="Z21" s="6"/>
      <c r="AA21" s="301"/>
      <c r="AB21" s="96">
        <f>+[2]Report1!AY21</f>
        <v>4176.7592610150214</v>
      </c>
      <c r="AC21" s="13">
        <f t="shared" si="31"/>
        <v>68379.704064216188</v>
      </c>
      <c r="AD21" s="299">
        <f t="shared" si="5"/>
        <v>109.02814641507273</v>
      </c>
      <c r="AE21" s="299">
        <f t="shared" si="6"/>
        <v>107.48771001176772</v>
      </c>
      <c r="AF21" s="305">
        <f t="shared" si="7"/>
        <v>141.78211280135176</v>
      </c>
      <c r="AG21" s="299">
        <f t="shared" si="8"/>
        <v>111.79438126040813</v>
      </c>
      <c r="AH21" s="550">
        <v>61.5</v>
      </c>
      <c r="AI21" s="301">
        <f t="shared" si="32"/>
        <v>851.9</v>
      </c>
      <c r="AJ21" s="307">
        <f t="shared" si="9"/>
        <v>1.6053668850661722</v>
      </c>
      <c r="AK21" s="307">
        <f t="shared" si="10"/>
        <v>1.3391222061012664</v>
      </c>
      <c r="AL21" s="304">
        <f t="shared" si="11"/>
        <v>2.0876472385349127</v>
      </c>
      <c r="AM21" s="307">
        <f t="shared" si="12"/>
        <v>1.392776331794342</v>
      </c>
      <c r="AN21" s="96">
        <v>8.1</v>
      </c>
      <c r="AO21" s="301">
        <f t="shared" si="33"/>
        <v>124.89999999999999</v>
      </c>
      <c r="AP21" s="307">
        <f t="shared" si="34"/>
        <v>0.21143856535017877</v>
      </c>
      <c r="AQ21" s="307">
        <f t="shared" si="35"/>
        <v>0.19633332966551023</v>
      </c>
      <c r="AR21" s="304">
        <f t="shared" si="36"/>
        <v>0.27495841678264704</v>
      </c>
      <c r="AS21" s="307">
        <f t="shared" si="37"/>
        <v>0.20419974626260512</v>
      </c>
      <c r="AT21" s="306">
        <f>'13'!I46</f>
        <v>37379.299999999981</v>
      </c>
      <c r="AU21" s="301">
        <f t="shared" si="38"/>
        <v>512287.92000000004</v>
      </c>
      <c r="AV21" s="307">
        <f t="shared" si="13"/>
        <v>975.73155133258433</v>
      </c>
      <c r="AW21" s="307">
        <f t="shared" si="14"/>
        <v>805.27776686163782</v>
      </c>
      <c r="AX21" s="307">
        <f t="shared" si="15"/>
        <v>1268.8584133880979</v>
      </c>
      <c r="AY21" s="307">
        <f t="shared" si="16"/>
        <v>837.54254025138323</v>
      </c>
      <c r="AZ21" s="306">
        <f>+Listrik!S20</f>
        <v>19986.300000000007</v>
      </c>
      <c r="BA21" s="301">
        <f t="shared" si="39"/>
        <v>304536.63999999996</v>
      </c>
      <c r="BB21" s="307">
        <f t="shared" si="17"/>
        <v>521.71291341460233</v>
      </c>
      <c r="BC21" s="307">
        <f t="shared" si="40"/>
        <v>478.70850709645163</v>
      </c>
      <c r="BD21" s="307">
        <f t="shared" si="18"/>
        <v>678.44461794358278</v>
      </c>
      <c r="BE21" s="307">
        <f t="shared" si="19"/>
        <v>497.88874792366943</v>
      </c>
      <c r="BF21" s="585">
        <f>+Listrik!V20</f>
        <v>230.10000000000582</v>
      </c>
      <c r="BG21" s="587">
        <f t="shared" si="41"/>
        <v>3810.2000000000116</v>
      </c>
      <c r="BH21" s="586">
        <f t="shared" si="44"/>
        <v>6.0064214675404157</v>
      </c>
      <c r="BI21" s="586">
        <f t="shared" si="44"/>
        <v>5.9893454979305805</v>
      </c>
      <c r="BJ21" s="586">
        <f t="shared" si="42"/>
        <v>7.8108557656405786</v>
      </c>
      <c r="BK21" s="586">
        <f t="shared" si="42"/>
        <v>6.2293184404305881</v>
      </c>
      <c r="BL21" s="535">
        <f>+Efficiency2!K68</f>
        <v>55.164518640000011</v>
      </c>
      <c r="BM21" s="536">
        <f t="shared" si="43"/>
        <v>714.33149518060168</v>
      </c>
      <c r="BN21" s="537">
        <f t="shared" si="20"/>
        <v>0.53402079318859785</v>
      </c>
      <c r="BO21" s="537">
        <f t="shared" si="21"/>
        <v>0.85626351928575861</v>
      </c>
    </row>
    <row r="22" spans="1:67">
      <c r="A22" s="17">
        <f t="shared" si="22"/>
        <v>45975</v>
      </c>
      <c r="B22" s="432" t="s">
        <v>431</v>
      </c>
      <c r="C22" s="433" t="s">
        <v>593</v>
      </c>
      <c r="D22" s="437">
        <f>+'14'!F42</f>
        <v>1124.0416666666667</v>
      </c>
      <c r="E22" s="437">
        <f>+'14'!G42</f>
        <v>865.51208333333329</v>
      </c>
      <c r="F22" s="47">
        <f t="shared" si="0"/>
        <v>0.23000000000000009</v>
      </c>
      <c r="G22" s="442">
        <f t="shared" si="23"/>
        <v>0.96124257688776782</v>
      </c>
      <c r="H22" s="440">
        <f t="shared" si="24"/>
        <v>0.89946145088838547</v>
      </c>
      <c r="I22" s="440">
        <f t="shared" si="25"/>
        <v>1.09319626397433</v>
      </c>
      <c r="J22" s="444">
        <f t="shared" si="26"/>
        <v>0.98328789770011327</v>
      </c>
      <c r="K22" s="444">
        <f t="shared" si="27"/>
        <v>0.86525222698801574</v>
      </c>
      <c r="L22" s="304">
        <f>+SUM(Efficiency1!K75:K76)</f>
        <v>54.398106724499996</v>
      </c>
      <c r="M22" s="13">
        <f t="shared" si="28"/>
        <v>768.72960190510162</v>
      </c>
      <c r="N22" s="304">
        <f>+SUM(Efficiency1!C75:C76)</f>
        <v>50.901823510999996</v>
      </c>
      <c r="O22" s="13">
        <f t="shared" si="28"/>
        <v>735.44122308826468</v>
      </c>
      <c r="P22" s="300">
        <f>'14'!I38</f>
        <v>48.929000000000002</v>
      </c>
      <c r="Q22" s="13">
        <f t="shared" si="29"/>
        <v>685.09199999999998</v>
      </c>
      <c r="R22" s="15">
        <f>'14'!I40</f>
        <v>53.488999999999997</v>
      </c>
      <c r="S22" s="301">
        <f t="shared" si="30"/>
        <v>665.14499999999998</v>
      </c>
      <c r="T22" s="7">
        <f t="shared" si="1"/>
        <v>1.09319626397433</v>
      </c>
      <c r="U22" s="7">
        <f t="shared" si="2"/>
        <v>0.97088420241369044</v>
      </c>
      <c r="V22" s="302">
        <f t="shared" si="3"/>
        <v>0.98328789770011327</v>
      </c>
      <c r="W22" s="303">
        <f t="shared" si="4"/>
        <v>0.86525222698801574</v>
      </c>
      <c r="X22" s="301"/>
      <c r="Y22" s="301"/>
      <c r="Z22" s="6"/>
      <c r="AA22" s="301"/>
      <c r="AB22" s="96">
        <f>+[2]Report1!AY22</f>
        <v>4647.6580504159374</v>
      </c>
      <c r="AC22" s="13">
        <f t="shared" si="31"/>
        <v>73027.362114632124</v>
      </c>
      <c r="AD22" s="299">
        <f t="shared" si="5"/>
        <v>94.987799677408844</v>
      </c>
      <c r="AE22" s="299">
        <f t="shared" si="6"/>
        <v>106.59497135367531</v>
      </c>
      <c r="AF22" s="305">
        <f t="shared" si="7"/>
        <v>86.889978321074182</v>
      </c>
      <c r="AG22" s="299">
        <f t="shared" si="8"/>
        <v>109.79164259617396</v>
      </c>
      <c r="AH22" s="550">
        <v>68.8</v>
      </c>
      <c r="AI22" s="301">
        <f t="shared" si="32"/>
        <v>920.69999999999993</v>
      </c>
      <c r="AJ22" s="307">
        <f t="shared" si="9"/>
        <v>1.4061190704898934</v>
      </c>
      <c r="AK22" s="307">
        <f t="shared" si="10"/>
        <v>1.343907095689338</v>
      </c>
      <c r="AL22" s="304">
        <f t="shared" si="11"/>
        <v>1.2862457701583503</v>
      </c>
      <c r="AM22" s="307">
        <f t="shared" si="12"/>
        <v>1.3842094580880859</v>
      </c>
      <c r="AN22" s="96">
        <v>9.6999999999999993</v>
      </c>
      <c r="AO22" s="301">
        <f t="shared" si="33"/>
        <v>134.6</v>
      </c>
      <c r="AP22" s="307">
        <f t="shared" si="34"/>
        <v>0.19824643871732509</v>
      </c>
      <c r="AQ22" s="307">
        <f t="shared" si="35"/>
        <v>0.19646996315823276</v>
      </c>
      <c r="AR22" s="304">
        <f t="shared" si="36"/>
        <v>0.18134569724616276</v>
      </c>
      <c r="AS22" s="307">
        <f t="shared" si="37"/>
        <v>0.20236189101624458</v>
      </c>
      <c r="AT22" s="306">
        <f>'14'!I46</f>
        <v>38079.380000000012</v>
      </c>
      <c r="AU22" s="301">
        <f t="shared" si="38"/>
        <v>550367.30000000005</v>
      </c>
      <c r="AV22" s="307">
        <f t="shared" si="13"/>
        <v>778.25788387255022</v>
      </c>
      <c r="AW22" s="307">
        <f t="shared" si="14"/>
        <v>803.3480174925412</v>
      </c>
      <c r="AX22" s="307">
        <f t="shared" si="15"/>
        <v>711.91048626820486</v>
      </c>
      <c r="AY22" s="307">
        <f t="shared" si="16"/>
        <v>827.43958084327483</v>
      </c>
      <c r="AZ22" s="306">
        <f>+Listrik!S21</f>
        <v>23431.799999999959</v>
      </c>
      <c r="BA22" s="301">
        <f t="shared" si="39"/>
        <v>327968.43999999994</v>
      </c>
      <c r="BB22" s="307">
        <f t="shared" si="17"/>
        <v>478.89390749861957</v>
      </c>
      <c r="BC22" s="307">
        <f t="shared" si="40"/>
        <v>478.72174831993357</v>
      </c>
      <c r="BD22" s="307">
        <f t="shared" si="18"/>
        <v>438.0676400755288</v>
      </c>
      <c r="BE22" s="307">
        <f t="shared" si="19"/>
        <v>493.07811078787324</v>
      </c>
      <c r="BF22" s="585">
        <f>+Listrik!V21</f>
        <v>319.79999999998836</v>
      </c>
      <c r="BG22" s="587">
        <f t="shared" si="41"/>
        <v>4130</v>
      </c>
      <c r="BH22" s="586">
        <f t="shared" si="44"/>
        <v>6.5360011445152848</v>
      </c>
      <c r="BI22" s="586">
        <f t="shared" si="44"/>
        <v>6.0283874282578109</v>
      </c>
      <c r="BJ22" s="586">
        <f t="shared" si="42"/>
        <v>5.9787993793114165</v>
      </c>
      <c r="BK22" s="586">
        <f t="shared" si="42"/>
        <v>6.2091724360853648</v>
      </c>
      <c r="BL22" s="535">
        <f>+SUM(Efficiency2!K75:K76)</f>
        <v>54.398106724499996</v>
      </c>
      <c r="BM22" s="536">
        <f t="shared" si="43"/>
        <v>768.72960190510162</v>
      </c>
      <c r="BN22" s="537">
        <f t="shared" si="20"/>
        <v>0.98328789770011327</v>
      </c>
      <c r="BO22" s="537">
        <f t="shared" si="21"/>
        <v>0.86525222698801574</v>
      </c>
    </row>
    <row r="23" spans="1:67">
      <c r="A23" s="17">
        <f t="shared" si="22"/>
        <v>45976</v>
      </c>
      <c r="B23" s="432" t="s">
        <v>431</v>
      </c>
      <c r="C23" s="433" t="s">
        <v>606</v>
      </c>
      <c r="D23" s="437">
        <f>+'15'!F42</f>
        <v>1170</v>
      </c>
      <c r="E23" s="437">
        <f>+'15'!G42</f>
        <v>900.9</v>
      </c>
      <c r="F23" s="47">
        <f t="shared" si="0"/>
        <v>0.22999999999999998</v>
      </c>
      <c r="G23" s="442">
        <f t="shared" si="23"/>
        <v>0.94950670488803635</v>
      </c>
      <c r="H23" s="440">
        <f t="shared" si="24"/>
        <v>0.94950670488803635</v>
      </c>
      <c r="I23" s="440">
        <f t="shared" si="25"/>
        <v>0.9784860557768924</v>
      </c>
      <c r="J23" s="444">
        <f t="shared" si="26"/>
        <v>0.92907907059960848</v>
      </c>
      <c r="K23" s="444">
        <f t="shared" si="27"/>
        <v>0.86945537634644154</v>
      </c>
      <c r="L23" s="304">
        <f>+Efficiency1!K80</f>
        <v>54.191297159999998</v>
      </c>
      <c r="M23" s="13">
        <f t="shared" si="28"/>
        <v>822.92089906510159</v>
      </c>
      <c r="N23" s="304">
        <f>+Efficiency1!C80</f>
        <v>54.191297159999998</v>
      </c>
      <c r="O23" s="13">
        <f t="shared" si="28"/>
        <v>789.63252024826465</v>
      </c>
      <c r="P23" s="300">
        <f>'15'!I38</f>
        <v>51.454999999999998</v>
      </c>
      <c r="Q23" s="13">
        <f t="shared" si="29"/>
        <v>736.54700000000003</v>
      </c>
      <c r="R23" s="15">
        <f>'15'!I40</f>
        <v>50.347999999999999</v>
      </c>
      <c r="S23" s="301">
        <f t="shared" si="30"/>
        <v>715.49299999999994</v>
      </c>
      <c r="T23" s="7">
        <f t="shared" si="1"/>
        <v>0.9784860557768924</v>
      </c>
      <c r="U23" s="7">
        <f t="shared" si="2"/>
        <v>0.97141526609978712</v>
      </c>
      <c r="V23" s="302">
        <f t="shared" si="3"/>
        <v>0.92907907059960848</v>
      </c>
      <c r="W23" s="303">
        <f t="shared" si="4"/>
        <v>0.86945537634644154</v>
      </c>
      <c r="X23" s="301"/>
      <c r="Y23" s="301"/>
      <c r="Z23" s="6"/>
      <c r="AA23" s="301"/>
      <c r="AB23" s="96">
        <f>+[2]Report1!AY23</f>
        <v>5203.8417554071029</v>
      </c>
      <c r="AC23" s="13">
        <f t="shared" si="31"/>
        <v>78231.20387003923</v>
      </c>
      <c r="AD23" s="299">
        <f t="shared" si="5"/>
        <v>101.13384035384517</v>
      </c>
      <c r="AE23" s="299">
        <f t="shared" si="6"/>
        <v>106.21345802785054</v>
      </c>
      <c r="AF23" s="305">
        <f t="shared" si="7"/>
        <v>103.35746713686945</v>
      </c>
      <c r="AG23" s="299">
        <f t="shared" si="8"/>
        <v>109.33888084165636</v>
      </c>
      <c r="AH23" s="550">
        <v>70.8</v>
      </c>
      <c r="AI23" s="301">
        <f t="shared" si="32"/>
        <v>991.49999999999989</v>
      </c>
      <c r="AJ23" s="307">
        <f t="shared" si="9"/>
        <v>1.375959576328831</v>
      </c>
      <c r="AK23" s="307">
        <f t="shared" si="10"/>
        <v>1.3461462744400559</v>
      </c>
      <c r="AL23" s="304">
        <f t="shared" si="11"/>
        <v>1.4062127591959959</v>
      </c>
      <c r="AM23" s="307">
        <f t="shared" si="12"/>
        <v>1.385757792179658</v>
      </c>
      <c r="AN23" s="96">
        <v>10.8</v>
      </c>
      <c r="AO23" s="301">
        <f t="shared" si="33"/>
        <v>145.4</v>
      </c>
      <c r="AP23" s="307">
        <f t="shared" si="34"/>
        <v>0.20989213876202509</v>
      </c>
      <c r="AQ23" s="307">
        <f t="shared" si="35"/>
        <v>0.19740763318566229</v>
      </c>
      <c r="AR23" s="304">
        <f t="shared" si="36"/>
        <v>0.21450703106379601</v>
      </c>
      <c r="AS23" s="307">
        <f t="shared" si="37"/>
        <v>0.20321652343209509</v>
      </c>
      <c r="AT23" s="306">
        <f>'15'!I46</f>
        <v>36809.519999999924</v>
      </c>
      <c r="AU23" s="301">
        <f t="shared" si="38"/>
        <v>587176.81999999995</v>
      </c>
      <c r="AV23" s="307">
        <f t="shared" si="13"/>
        <v>715.37304440773346</v>
      </c>
      <c r="AW23" s="307">
        <f t="shared" si="14"/>
        <v>797.20210658654503</v>
      </c>
      <c r="AX23" s="307">
        <f t="shared" si="15"/>
        <v>731.10193056327807</v>
      </c>
      <c r="AY23" s="307">
        <f t="shared" si="16"/>
        <v>820.66046767753153</v>
      </c>
      <c r="AZ23" s="306">
        <f>+Listrik!S22</f>
        <v>26779.450000000088</v>
      </c>
      <c r="BA23" s="301">
        <f t="shared" si="39"/>
        <v>354747.89</v>
      </c>
      <c r="BB23" s="307">
        <f t="shared" si="17"/>
        <v>520.44407734914182</v>
      </c>
      <c r="BC23" s="307">
        <f t="shared" si="40"/>
        <v>481.63646040239115</v>
      </c>
      <c r="BD23" s="307">
        <f t="shared" si="18"/>
        <v>531.88706602049911</v>
      </c>
      <c r="BE23" s="307">
        <f t="shared" si="19"/>
        <v>495.809029578207</v>
      </c>
      <c r="BF23" s="585">
        <f>+Listrik!V22</f>
        <v>330.10000000000582</v>
      </c>
      <c r="BG23" s="587">
        <f t="shared" si="41"/>
        <v>4460.1000000000058</v>
      </c>
      <c r="BH23" s="586">
        <f t="shared" si="44"/>
        <v>6.4153143523468241</v>
      </c>
      <c r="BI23" s="586">
        <f t="shared" si="44"/>
        <v>6.0554180520727199</v>
      </c>
      <c r="BJ23" s="586">
        <f t="shared" si="42"/>
        <v>6.5563676809407685</v>
      </c>
      <c r="BK23" s="586">
        <f t="shared" si="42"/>
        <v>6.2336039625824524</v>
      </c>
      <c r="BL23" s="535">
        <f>+Efficiency2!K80</f>
        <v>54.191297159999998</v>
      </c>
      <c r="BM23" s="536">
        <f t="shared" si="43"/>
        <v>822.92089906510159</v>
      </c>
      <c r="BN23" s="537">
        <f t="shared" si="20"/>
        <v>0.92907907059960848</v>
      </c>
      <c r="BO23" s="537">
        <f t="shared" si="21"/>
        <v>0.86945537634644154</v>
      </c>
    </row>
    <row r="24" spans="1:67">
      <c r="A24" s="17">
        <f t="shared" si="22"/>
        <v>45977</v>
      </c>
      <c r="B24" s="432" t="s">
        <v>431</v>
      </c>
      <c r="C24" s="433" t="s">
        <v>616</v>
      </c>
      <c r="D24" s="437">
        <f>+'16'!F42</f>
        <v>1160</v>
      </c>
      <c r="E24" s="437">
        <f>+'16'!G42</f>
        <v>916</v>
      </c>
      <c r="F24" s="47">
        <f t="shared" si="0"/>
        <v>0.21034482758620687</v>
      </c>
      <c r="G24" s="442">
        <f t="shared" si="23"/>
        <v>0.99420804631707449</v>
      </c>
      <c r="H24" s="440">
        <f t="shared" si="24"/>
        <v>0.99420804631707449</v>
      </c>
      <c r="I24" s="440">
        <f t="shared" si="25"/>
        <v>0.96858077513075935</v>
      </c>
      <c r="J24" s="444">
        <f t="shared" si="26"/>
        <v>0.96297080014302994</v>
      </c>
      <c r="K24" s="444">
        <f t="shared" si="27"/>
        <v>0.8752562039367513</v>
      </c>
      <c r="L24" s="304">
        <f>+SUM(Efficiency1!K85:K86)</f>
        <v>54.422210925000002</v>
      </c>
      <c r="M24" s="13">
        <f t="shared" si="28"/>
        <v>877.34310999010154</v>
      </c>
      <c r="N24" s="304">
        <f>+SUM(Efficiency1!C85:C86)</f>
        <v>54.422210925000002</v>
      </c>
      <c r="O24" s="13">
        <f t="shared" si="28"/>
        <v>844.0547311732646</v>
      </c>
      <c r="P24" s="300">
        <f>'16'!I38</f>
        <v>54.106999999999999</v>
      </c>
      <c r="Q24" s="13">
        <f t="shared" si="29"/>
        <v>790.654</v>
      </c>
      <c r="R24" s="15">
        <f>'16'!I40</f>
        <v>52.406999999999996</v>
      </c>
      <c r="S24" s="301">
        <f t="shared" si="30"/>
        <v>767.9</v>
      </c>
      <c r="T24" s="7">
        <f t="shared" si="1"/>
        <v>0.96858077513075935</v>
      </c>
      <c r="U24" s="7">
        <f t="shared" si="2"/>
        <v>0.97122129275258207</v>
      </c>
      <c r="V24" s="302">
        <f t="shared" si="3"/>
        <v>0.96297080014302994</v>
      </c>
      <c r="W24" s="303">
        <f t="shared" si="4"/>
        <v>0.8752562039367513</v>
      </c>
      <c r="X24" s="301"/>
      <c r="Y24" s="301"/>
      <c r="Z24" s="6"/>
      <c r="AA24" s="301"/>
      <c r="AB24" s="96">
        <f>+[2]Report1!AY24</f>
        <v>4431.357533385567</v>
      </c>
      <c r="AC24" s="13">
        <f t="shared" si="31"/>
        <v>82662.561403424799</v>
      </c>
      <c r="AD24" s="299">
        <f t="shared" si="5"/>
        <v>81.899893422026111</v>
      </c>
      <c r="AE24" s="299">
        <f t="shared" si="6"/>
        <v>104.5496024853157</v>
      </c>
      <c r="AF24" s="305">
        <f t="shared" si="7"/>
        <v>84.556596130012537</v>
      </c>
      <c r="AG24" s="299">
        <f t="shared" si="8"/>
        <v>107.64756010343118</v>
      </c>
      <c r="AH24" s="550">
        <v>71.5</v>
      </c>
      <c r="AI24" s="301">
        <f t="shared" si="32"/>
        <v>1063</v>
      </c>
      <c r="AJ24" s="307">
        <f t="shared" si="9"/>
        <v>1.3214556342062949</v>
      </c>
      <c r="AK24" s="307">
        <f t="shared" si="10"/>
        <v>1.3444566143977013</v>
      </c>
      <c r="AL24" s="304">
        <f t="shared" si="11"/>
        <v>1.3643215600969336</v>
      </c>
      <c r="AM24" s="307">
        <f t="shared" si="12"/>
        <v>1.384294830055997</v>
      </c>
      <c r="AN24" s="96">
        <v>12</v>
      </c>
      <c r="AO24" s="301">
        <f t="shared" si="33"/>
        <v>157.4</v>
      </c>
      <c r="AP24" s="307">
        <f t="shared" si="34"/>
        <v>0.22178276378287468</v>
      </c>
      <c r="AQ24" s="307">
        <f t="shared" si="35"/>
        <v>0.19907570188729837</v>
      </c>
      <c r="AR24" s="304">
        <f t="shared" si="36"/>
        <v>0.22897704505123362</v>
      </c>
      <c r="AS24" s="307">
        <f t="shared" si="37"/>
        <v>0.20497460606849852</v>
      </c>
      <c r="AT24" s="306">
        <f>'16'!I46</f>
        <v>43824.82000000008</v>
      </c>
      <c r="AU24" s="301">
        <f t="shared" si="38"/>
        <v>631001.64</v>
      </c>
      <c r="AV24" s="307">
        <f t="shared" si="13"/>
        <v>809.965808490585</v>
      </c>
      <c r="AW24" s="307">
        <f t="shared" si="14"/>
        <v>798.07556782106974</v>
      </c>
      <c r="AX24" s="307">
        <f t="shared" si="15"/>
        <v>836.23981529185187</v>
      </c>
      <c r="AY24" s="307">
        <f t="shared" si="16"/>
        <v>821.72371402526369</v>
      </c>
      <c r="AZ24" s="306">
        <f>+Listrik!S23</f>
        <v>29148.448000000011</v>
      </c>
      <c r="BA24" s="301">
        <f t="shared" si="39"/>
        <v>383896.33800000005</v>
      </c>
      <c r="BB24" s="307">
        <f t="shared" si="17"/>
        <v>538.71861311845066</v>
      </c>
      <c r="BC24" s="307">
        <f t="shared" si="40"/>
        <v>485.54277598039096</v>
      </c>
      <c r="BD24" s="307">
        <f t="shared" si="18"/>
        <v>556.19379090579525</v>
      </c>
      <c r="BE24" s="307">
        <f t="shared" si="19"/>
        <v>499.93011850501375</v>
      </c>
      <c r="BF24" s="585">
        <f>+Listrik!V23</f>
        <v>270.10000000000582</v>
      </c>
      <c r="BG24" s="587">
        <f t="shared" si="41"/>
        <v>4730.2000000000116</v>
      </c>
      <c r="BH24" s="586">
        <f t="shared" si="44"/>
        <v>4.9919603748129786</v>
      </c>
      <c r="BI24" s="586">
        <f t="shared" si="44"/>
        <v>5.9826422177083929</v>
      </c>
      <c r="BJ24" s="586">
        <f t="shared" si="42"/>
        <v>5.1538916556949612</v>
      </c>
      <c r="BK24" s="586">
        <f t="shared" si="42"/>
        <v>6.1599166558145741</v>
      </c>
      <c r="BL24" s="535">
        <f>+SUM(Efficiency2!K85:K86)</f>
        <v>54.422210925000002</v>
      </c>
      <c r="BM24" s="536">
        <f t="shared" si="43"/>
        <v>877.34310999010154</v>
      </c>
      <c r="BN24" s="537">
        <f t="shared" si="20"/>
        <v>0.96297080014302994</v>
      </c>
      <c r="BO24" s="537">
        <f t="shared" si="21"/>
        <v>0.8752562039367513</v>
      </c>
    </row>
    <row r="25" spans="1:67">
      <c r="A25" s="17">
        <f t="shared" si="22"/>
        <v>45978</v>
      </c>
      <c r="B25" s="432" t="s">
        <v>431</v>
      </c>
      <c r="C25" s="433" t="s">
        <v>615</v>
      </c>
      <c r="D25" s="437">
        <f>+'17'!F42</f>
        <v>1155.0486111111111</v>
      </c>
      <c r="E25" s="437">
        <f>+'17'!G42</f>
        <v>913.40666666666675</v>
      </c>
      <c r="F25" s="47">
        <f t="shared" si="0"/>
        <v>0.20920499978957108</v>
      </c>
      <c r="G25" s="442">
        <f t="shared" si="23"/>
        <v>0.96693735961755178</v>
      </c>
      <c r="H25" s="440">
        <f t="shared" si="24"/>
        <v>0.96693735961755178</v>
      </c>
      <c r="I25" s="440">
        <f t="shared" si="25"/>
        <v>0.96621282760926497</v>
      </c>
      <c r="J25" s="444">
        <f t="shared" si="26"/>
        <v>0.93426728035711137</v>
      </c>
      <c r="K25" s="444">
        <f t="shared" si="27"/>
        <v>0.87877767921810501</v>
      </c>
      <c r="L25" s="304">
        <f>+SUM(Efficiency1!K90:K91)</f>
        <v>55.677856962</v>
      </c>
      <c r="M25" s="13">
        <f t="shared" si="28"/>
        <v>933.0209669521015</v>
      </c>
      <c r="N25" s="304">
        <f>+SUM(Efficiency1!C90:C91)</f>
        <v>55.677856962</v>
      </c>
      <c r="O25" s="13">
        <f t="shared" si="28"/>
        <v>899.73258813526456</v>
      </c>
      <c r="P25" s="300">
        <f>'17'!I38</f>
        <v>53.837000000000003</v>
      </c>
      <c r="Q25" s="13">
        <f t="shared" si="29"/>
        <v>844.49099999999999</v>
      </c>
      <c r="R25" s="15">
        <f>'17'!I40</f>
        <v>52.018000000000001</v>
      </c>
      <c r="S25" s="301">
        <f t="shared" si="30"/>
        <v>819.91800000000001</v>
      </c>
      <c r="T25" s="7">
        <f t="shared" si="1"/>
        <v>0.96621282760926497</v>
      </c>
      <c r="U25" s="7">
        <f t="shared" si="2"/>
        <v>0.97090199895558393</v>
      </c>
      <c r="V25" s="302">
        <f t="shared" si="3"/>
        <v>0.93426728035711137</v>
      </c>
      <c r="W25" s="303">
        <f t="shared" si="4"/>
        <v>0.87877767921810501</v>
      </c>
      <c r="X25" s="301"/>
      <c r="Y25" s="301"/>
      <c r="Z25" s="6"/>
      <c r="AA25" s="301"/>
      <c r="AB25" s="96">
        <f>+[2]Report1!AY25</f>
        <v>4932.4204334457299</v>
      </c>
      <c r="AC25" s="13">
        <f t="shared" si="31"/>
        <v>87594.981836870531</v>
      </c>
      <c r="AD25" s="299">
        <f t="shared" si="5"/>
        <v>91.61766876768263</v>
      </c>
      <c r="AE25" s="299">
        <f t="shared" si="6"/>
        <v>103.72518101065675</v>
      </c>
      <c r="AF25" s="305">
        <f t="shared" si="7"/>
        <v>94.821416306773244</v>
      </c>
      <c r="AG25" s="299">
        <f t="shared" si="8"/>
        <v>106.8338319647459</v>
      </c>
      <c r="AH25" s="550">
        <v>70.400000000000006</v>
      </c>
      <c r="AI25" s="301">
        <f t="shared" si="32"/>
        <v>1133.4000000000001</v>
      </c>
      <c r="AJ25" s="307">
        <f t="shared" si="9"/>
        <v>1.3076508720768245</v>
      </c>
      <c r="AK25" s="307">
        <f t="shared" si="10"/>
        <v>1.3421102178708832</v>
      </c>
      <c r="AL25" s="304">
        <f t="shared" si="11"/>
        <v>1.3533776769579762</v>
      </c>
      <c r="AM25" s="307">
        <f t="shared" si="12"/>
        <v>1.3823333552867483</v>
      </c>
      <c r="AN25" s="96">
        <v>11.6</v>
      </c>
      <c r="AO25" s="301">
        <f t="shared" si="33"/>
        <v>169</v>
      </c>
      <c r="AP25" s="307">
        <f t="shared" si="34"/>
        <v>0.21546520051265855</v>
      </c>
      <c r="AQ25" s="307">
        <f t="shared" si="35"/>
        <v>0.20012054598568843</v>
      </c>
      <c r="AR25" s="304">
        <f t="shared" si="36"/>
        <v>0.22299973086239377</v>
      </c>
      <c r="AS25" s="307">
        <f t="shared" si="37"/>
        <v>0.20611817279288905</v>
      </c>
      <c r="AT25" s="306">
        <f>'17'!I46</f>
        <v>41140.059999999903</v>
      </c>
      <c r="AU25" s="301">
        <f t="shared" si="38"/>
        <v>672141.7</v>
      </c>
      <c r="AV25" s="307">
        <f t="shared" si="13"/>
        <v>764.15959284506766</v>
      </c>
      <c r="AW25" s="307">
        <f t="shared" si="14"/>
        <v>795.91339635354313</v>
      </c>
      <c r="AX25" s="307">
        <f t="shared" si="15"/>
        <v>790.88123341919913</v>
      </c>
      <c r="AY25" s="307">
        <f t="shared" si="16"/>
        <v>819.76697669766975</v>
      </c>
      <c r="AZ25" s="306">
        <f>+Listrik!S24</f>
        <v>28612.683000000296</v>
      </c>
      <c r="BA25" s="301">
        <f t="shared" si="39"/>
        <v>412509.02100000036</v>
      </c>
      <c r="BB25" s="307">
        <f t="shared" si="17"/>
        <v>531.46874825863802</v>
      </c>
      <c r="BC25" s="307">
        <f t="shared" si="40"/>
        <v>488.4705947132656</v>
      </c>
      <c r="BD25" s="307">
        <f t="shared" si="18"/>
        <v>550.05350071129783</v>
      </c>
      <c r="BE25" s="307">
        <f t="shared" si="19"/>
        <v>503.11009271658912</v>
      </c>
      <c r="BF25" s="585">
        <f>+Listrik!V24</f>
        <v>342.09999999997672</v>
      </c>
      <c r="BG25" s="587">
        <f t="shared" si="41"/>
        <v>5072.2999999999884</v>
      </c>
      <c r="BH25" s="586">
        <f t="shared" si="44"/>
        <v>6.3543659564978867</v>
      </c>
      <c r="BI25" s="586">
        <f t="shared" si="44"/>
        <v>6.0063399136284321</v>
      </c>
      <c r="BJ25" s="586">
        <f t="shared" si="42"/>
        <v>6.5765696489672179</v>
      </c>
      <c r="BK25" s="586">
        <f t="shared" si="42"/>
        <v>6.186350342351294</v>
      </c>
      <c r="BL25" s="535">
        <f>+SUM(Efficiency2!K90:K91)</f>
        <v>55.677856962</v>
      </c>
      <c r="BM25" s="536">
        <f t="shared" si="43"/>
        <v>933.0209669521015</v>
      </c>
      <c r="BN25" s="537">
        <f t="shared" si="20"/>
        <v>0.93426728035711137</v>
      </c>
      <c r="BO25" s="537">
        <f t="shared" si="21"/>
        <v>0.87877767921810501</v>
      </c>
    </row>
    <row r="26" spans="1:67">
      <c r="A26" s="17">
        <f t="shared" si="22"/>
        <v>45979</v>
      </c>
      <c r="B26" s="432" t="s">
        <v>431</v>
      </c>
      <c r="C26" s="433" t="s">
        <v>616</v>
      </c>
      <c r="D26" s="437">
        <f>+'18'!F42</f>
        <v>1150.4584980237155</v>
      </c>
      <c r="E26" s="437">
        <f>+'18'!G42</f>
        <v>907.90347826086952</v>
      </c>
      <c r="F26" s="47">
        <f t="shared" si="0"/>
        <v>0.21083335051156793</v>
      </c>
      <c r="G26" s="442">
        <f t="shared" si="23"/>
        <v>0.85163295074797007</v>
      </c>
      <c r="H26" s="440">
        <f t="shared" si="24"/>
        <v>0.84877339625778847</v>
      </c>
      <c r="I26" s="440">
        <f t="shared" si="25"/>
        <v>1.0069398978656541</v>
      </c>
      <c r="J26" s="444">
        <f t="shared" si="26"/>
        <v>0.85466379693890182</v>
      </c>
      <c r="K26" s="444">
        <f t="shared" si="27"/>
        <v>0.87745872676918213</v>
      </c>
      <c r="L26" s="304">
        <f>+SUM(Efficiency1!K95:K96)</f>
        <v>53.986140708494823</v>
      </c>
      <c r="M26" s="13">
        <f t="shared" si="28"/>
        <v>987.00710766059638</v>
      </c>
      <c r="N26" s="304">
        <f>+SUM(Efficiency1!C95:C96)</f>
        <v>53.804869761973826</v>
      </c>
      <c r="O26" s="13">
        <f t="shared" si="28"/>
        <v>953.53745789723837</v>
      </c>
      <c r="P26" s="300">
        <f>'18'!I38</f>
        <v>45.822000000000003</v>
      </c>
      <c r="Q26" s="13">
        <f t="shared" si="29"/>
        <v>890.31299999999999</v>
      </c>
      <c r="R26" s="15">
        <f>'18'!I40</f>
        <v>46.14</v>
      </c>
      <c r="S26" s="301">
        <f t="shared" si="30"/>
        <v>866.05799999999999</v>
      </c>
      <c r="T26" s="7">
        <f t="shared" si="1"/>
        <v>1.0069398978656541</v>
      </c>
      <c r="U26" s="7">
        <f t="shared" si="2"/>
        <v>0.97275677205656885</v>
      </c>
      <c r="V26" s="302">
        <f t="shared" si="3"/>
        <v>0.85466379693890182</v>
      </c>
      <c r="W26" s="303">
        <f t="shared" si="4"/>
        <v>0.87745872676918213</v>
      </c>
      <c r="X26" s="301"/>
      <c r="Y26" s="301"/>
      <c r="Z26" s="6"/>
      <c r="AA26" s="301"/>
      <c r="AB26" s="96">
        <f>+[2]Report1!AY26</f>
        <v>4592.7878337296006</v>
      </c>
      <c r="AC26" s="13">
        <f t="shared" si="31"/>
        <v>92187.76967060013</v>
      </c>
      <c r="AD26" s="299">
        <f t="shared" si="5"/>
        <v>100.23106441730174</v>
      </c>
      <c r="AE26" s="299">
        <f t="shared" si="6"/>
        <v>103.54534828829875</v>
      </c>
      <c r="AF26" s="305">
        <f t="shared" si="7"/>
        <v>99.540265143684451</v>
      </c>
      <c r="AG26" s="299">
        <f t="shared" si="8"/>
        <v>106.44526079154068</v>
      </c>
      <c r="AH26" s="550">
        <v>65.599999999999994</v>
      </c>
      <c r="AI26" s="301">
        <f t="shared" si="32"/>
        <v>1199</v>
      </c>
      <c r="AJ26" s="307">
        <f t="shared" si="9"/>
        <v>1.4316267295185716</v>
      </c>
      <c r="AK26" s="307">
        <f t="shared" si="10"/>
        <v>1.346717390400904</v>
      </c>
      <c r="AL26" s="304">
        <f t="shared" si="11"/>
        <v>1.4217598612917206</v>
      </c>
      <c r="AM26" s="307">
        <f t="shared" si="12"/>
        <v>1.3844338369947509</v>
      </c>
      <c r="AN26" s="96">
        <v>9</v>
      </c>
      <c r="AO26" s="301">
        <f t="shared" si="33"/>
        <v>178</v>
      </c>
      <c r="AP26" s="307">
        <f t="shared" si="34"/>
        <v>0.19641220374492602</v>
      </c>
      <c r="AQ26" s="307">
        <f t="shared" si="35"/>
        <v>0.19992968764917507</v>
      </c>
      <c r="AR26" s="304">
        <f t="shared" si="36"/>
        <v>0.19505851755526657</v>
      </c>
      <c r="AS26" s="307">
        <f t="shared" si="37"/>
        <v>0.20552895995418322</v>
      </c>
      <c r="AT26" s="306">
        <f>'18'!I46</f>
        <v>37422.87999999999</v>
      </c>
      <c r="AU26" s="301">
        <f t="shared" si="38"/>
        <v>709564.58</v>
      </c>
      <c r="AV26" s="307">
        <f t="shared" si="13"/>
        <v>816.70114792021275</v>
      </c>
      <c r="AW26" s="307">
        <f t="shared" si="14"/>
        <v>796.98328565347242</v>
      </c>
      <c r="AX26" s="307">
        <f t="shared" si="15"/>
        <v>811.07238838318142</v>
      </c>
      <c r="AY26" s="307">
        <f t="shared" si="16"/>
        <v>819.30376487486978</v>
      </c>
      <c r="AZ26" s="306">
        <f>+Listrik!S25</f>
        <v>20612.789999999659</v>
      </c>
      <c r="BA26" s="301">
        <f t="shared" si="39"/>
        <v>433121.81099999999</v>
      </c>
      <c r="BB26" s="307">
        <f t="shared" si="17"/>
        <v>449.84483435903405</v>
      </c>
      <c r="BC26" s="307">
        <f t="shared" si="40"/>
        <v>486.4826313891856</v>
      </c>
      <c r="BD26" s="307">
        <f t="shared" si="18"/>
        <v>446.74447334199516</v>
      </c>
      <c r="BE26" s="307">
        <f t="shared" si="19"/>
        <v>500.10716487810282</v>
      </c>
      <c r="BF26" s="585">
        <f>+Listrik!V25</f>
        <v>307.70000000001164</v>
      </c>
      <c r="BG26" s="587">
        <f t="shared" si="41"/>
        <v>5380</v>
      </c>
      <c r="BH26" s="586">
        <f t="shared" si="44"/>
        <v>6.7151150102573354</v>
      </c>
      <c r="BI26" s="586">
        <f t="shared" si="44"/>
        <v>6.0428186491716955</v>
      </c>
      <c r="BJ26" s="586">
        <f t="shared" si="42"/>
        <v>6.6688339835286436</v>
      </c>
      <c r="BK26" s="586">
        <f t="shared" si="42"/>
        <v>6.2120550817612683</v>
      </c>
      <c r="BL26" s="535">
        <f>+SUM(Efficiency2!K95:K96)</f>
        <v>53.986140708494823</v>
      </c>
      <c r="BM26" s="536">
        <f t="shared" si="43"/>
        <v>987.00710766059638</v>
      </c>
      <c r="BN26" s="537">
        <f t="shared" si="20"/>
        <v>0.85466379693890182</v>
      </c>
      <c r="BO26" s="537">
        <f t="shared" si="21"/>
        <v>0.87745872676918213</v>
      </c>
    </row>
    <row r="27" spans="1:67">
      <c r="A27" s="17">
        <f t="shared" si="22"/>
        <v>45980</v>
      </c>
      <c r="B27" s="432" t="s">
        <v>431</v>
      </c>
      <c r="C27" s="433" t="s">
        <v>606</v>
      </c>
      <c r="D27" s="437">
        <f>+'19'!F42</f>
        <v>1148.3333333333333</v>
      </c>
      <c r="E27" s="437">
        <f>+'19'!G42</f>
        <v>910.7</v>
      </c>
      <c r="F27" s="47">
        <f t="shared" si="0"/>
        <v>0.20693759071117557</v>
      </c>
      <c r="G27" s="442">
        <f t="shared" si="23"/>
        <v>0.98170132206328176</v>
      </c>
      <c r="H27" s="440">
        <f t="shared" si="24"/>
        <v>0.98170132206328176</v>
      </c>
      <c r="I27" s="440">
        <f t="shared" si="25"/>
        <v>0.96480814076743693</v>
      </c>
      <c r="J27" s="444">
        <f t="shared" si="26"/>
        <v>0.94715342732880969</v>
      </c>
      <c r="K27" s="444">
        <f t="shared" si="27"/>
        <v>0.88100117522208743</v>
      </c>
      <c r="L27" s="304">
        <f>+Efficiency1!K101</f>
        <v>52.854161274782612</v>
      </c>
      <c r="M27" s="13">
        <f t="shared" si="28"/>
        <v>1039.861268935379</v>
      </c>
      <c r="N27" s="304">
        <f>+Efficiency1!C101</f>
        <v>52.854161274782612</v>
      </c>
      <c r="O27" s="13">
        <f t="shared" si="28"/>
        <v>1006.391619172021</v>
      </c>
      <c r="P27" s="300">
        <f>'19'!I38</f>
        <v>51.887</v>
      </c>
      <c r="Q27" s="13">
        <f t="shared" si="29"/>
        <v>942.2</v>
      </c>
      <c r="R27" s="15">
        <f>'19'!I40</f>
        <v>50.061</v>
      </c>
      <c r="S27" s="301">
        <f t="shared" si="30"/>
        <v>916.11900000000003</v>
      </c>
      <c r="T27" s="7">
        <f t="shared" si="1"/>
        <v>0.96480814076743693</v>
      </c>
      <c r="U27" s="7">
        <f t="shared" si="2"/>
        <v>0.97231904054340901</v>
      </c>
      <c r="V27" s="302">
        <f t="shared" si="3"/>
        <v>0.94715342732880969</v>
      </c>
      <c r="W27" s="303">
        <f t="shared" si="4"/>
        <v>0.88100117522208743</v>
      </c>
      <c r="X27" s="301"/>
      <c r="Y27" s="301"/>
      <c r="Z27" s="6"/>
      <c r="AA27" s="301"/>
      <c r="AB27" s="96">
        <f>+[2]Report1!AY27</f>
        <v>4936.0697373071034</v>
      </c>
      <c r="AC27" s="13">
        <f t="shared" si="31"/>
        <v>97123.839407907231</v>
      </c>
      <c r="AD27" s="299">
        <f t="shared" si="5"/>
        <v>95.131145321701069</v>
      </c>
      <c r="AE27" s="299">
        <f t="shared" si="6"/>
        <v>103.08197772013078</v>
      </c>
      <c r="AF27" s="305">
        <f t="shared" si="7"/>
        <v>98.601101402431098</v>
      </c>
      <c r="AG27" s="299">
        <f t="shared" si="8"/>
        <v>106.01661946527386</v>
      </c>
      <c r="AH27" s="550">
        <v>69.400000000000006</v>
      </c>
      <c r="AI27" s="301">
        <f t="shared" si="32"/>
        <v>1268.4000000000001</v>
      </c>
      <c r="AJ27" s="307">
        <f t="shared" si="9"/>
        <v>1.3375219226395823</v>
      </c>
      <c r="AK27" s="307">
        <f t="shared" si="10"/>
        <v>1.3462109955423478</v>
      </c>
      <c r="AL27" s="304">
        <f t="shared" si="11"/>
        <v>1.3863087033818742</v>
      </c>
      <c r="AM27" s="307">
        <f t="shared" si="12"/>
        <v>1.3845362884079471</v>
      </c>
      <c r="AN27" s="96">
        <v>10.4</v>
      </c>
      <c r="AO27" s="301">
        <f t="shared" si="33"/>
        <v>188.4</v>
      </c>
      <c r="AP27" s="307">
        <f t="shared" si="34"/>
        <v>0.20043556189411607</v>
      </c>
      <c r="AQ27" s="307">
        <f t="shared" si="35"/>
        <v>0.19995754616854169</v>
      </c>
      <c r="AR27" s="304">
        <f t="shared" si="36"/>
        <v>0.20774654920996385</v>
      </c>
      <c r="AS27" s="307">
        <f t="shared" si="37"/>
        <v>0.20565013933779344</v>
      </c>
      <c r="AT27" s="306">
        <f>'19'!I46</f>
        <v>40906.000000000015</v>
      </c>
      <c r="AU27" s="301">
        <f t="shared" si="38"/>
        <v>750470.58</v>
      </c>
      <c r="AV27" s="307">
        <f t="shared" si="13"/>
        <v>788.36702835006872</v>
      </c>
      <c r="AW27" s="307">
        <f t="shared" si="14"/>
        <v>796.50878794311188</v>
      </c>
      <c r="AX27" s="307">
        <f t="shared" si="15"/>
        <v>817.12310980603695</v>
      </c>
      <c r="AY27" s="307">
        <f t="shared" si="16"/>
        <v>819.184603746893</v>
      </c>
      <c r="AZ27" s="306">
        <f>+Listrik!S26</f>
        <v>27698.000000000051</v>
      </c>
      <c r="BA27" s="301">
        <f t="shared" si="39"/>
        <v>460819.81100000005</v>
      </c>
      <c r="BB27" s="307">
        <f t="shared" si="17"/>
        <v>533.813864744542</v>
      </c>
      <c r="BC27" s="307">
        <f t="shared" si="40"/>
        <v>489.08916472086611</v>
      </c>
      <c r="BD27" s="307">
        <f t="shared" si="18"/>
        <v>553.2849923093836</v>
      </c>
      <c r="BE27" s="307">
        <f t="shared" si="19"/>
        <v>503.0130485231723</v>
      </c>
      <c r="BF27" s="585">
        <f>+Listrik!V26</f>
        <v>320.10000000000582</v>
      </c>
      <c r="BG27" s="587">
        <f t="shared" si="41"/>
        <v>5700.1000000000058</v>
      </c>
      <c r="BH27" s="586">
        <f t="shared" si="44"/>
        <v>6.1691753232988189</v>
      </c>
      <c r="BI27" s="586">
        <f t="shared" si="44"/>
        <v>6.04977711738485</v>
      </c>
      <c r="BJ27" s="586">
        <f t="shared" si="42"/>
        <v>6.3941990771260224</v>
      </c>
      <c r="BK27" s="586">
        <f t="shared" si="42"/>
        <v>6.2220082762173972</v>
      </c>
      <c r="BL27" s="535">
        <f>+Efficiency2!K101</f>
        <v>52.854161274782612</v>
      </c>
      <c r="BM27" s="536">
        <f t="shared" si="43"/>
        <v>1039.861268935379</v>
      </c>
      <c r="BN27" s="537">
        <f t="shared" si="20"/>
        <v>0.94715342732880969</v>
      </c>
      <c r="BO27" s="537">
        <f t="shared" si="21"/>
        <v>0.88100117522208743</v>
      </c>
    </row>
    <row r="28" spans="1:67">
      <c r="A28" s="17">
        <f t="shared" si="22"/>
        <v>45981</v>
      </c>
      <c r="B28" s="432" t="s">
        <v>431</v>
      </c>
      <c r="C28" s="441" t="s">
        <v>649</v>
      </c>
      <c r="D28" s="437">
        <f>+'20'!F42</f>
        <v>1011.1527777777778</v>
      </c>
      <c r="E28" s="437">
        <f>+'20'!G42</f>
        <v>811.79805555555549</v>
      </c>
      <c r="F28" s="47">
        <f t="shared" si="0"/>
        <v>0.19715588643325144</v>
      </c>
      <c r="G28" s="442">
        <f t="shared" si="23"/>
        <v>0.99906318129553984</v>
      </c>
      <c r="H28" s="440">
        <f t="shared" si="24"/>
        <v>0.99906318129553984</v>
      </c>
      <c r="I28" s="440">
        <f t="shared" si="25"/>
        <v>0.96152121266481305</v>
      </c>
      <c r="J28" s="444">
        <f t="shared" si="26"/>
        <v>0.96062044160805338</v>
      </c>
      <c r="K28" s="444">
        <f t="shared" si="27"/>
        <v>0.88505584891061162</v>
      </c>
      <c r="L28" s="304">
        <f>+SUM(Efficiency1!K106:K108)</f>
        <v>55.797271928000001</v>
      </c>
      <c r="M28" s="13">
        <f t="shared" si="28"/>
        <v>1095.6585408633791</v>
      </c>
      <c r="N28" s="304">
        <f>+SUM(Efficiency1!C106:C108)</f>
        <v>55.797271928000001</v>
      </c>
      <c r="O28" s="13">
        <f t="shared" si="28"/>
        <v>1062.188891100021</v>
      </c>
      <c r="P28" s="300">
        <f>'20'!I38</f>
        <v>55.744999999999997</v>
      </c>
      <c r="Q28" s="13">
        <f t="shared" si="29"/>
        <v>997.94500000000005</v>
      </c>
      <c r="R28" s="15">
        <f>'20'!I40</f>
        <v>53.6</v>
      </c>
      <c r="S28" s="301">
        <f t="shared" si="30"/>
        <v>969.71900000000005</v>
      </c>
      <c r="T28" s="7">
        <f t="shared" si="1"/>
        <v>0.96152121266481305</v>
      </c>
      <c r="U28" s="7">
        <f t="shared" si="2"/>
        <v>0.97171587612543775</v>
      </c>
      <c r="V28" s="302">
        <f t="shared" si="3"/>
        <v>0.96062044160805338</v>
      </c>
      <c r="W28" s="303">
        <f t="shared" si="4"/>
        <v>0.88505584891061162</v>
      </c>
      <c r="X28" s="301"/>
      <c r="Y28" s="301"/>
      <c r="Z28" s="6"/>
      <c r="AA28" s="301"/>
      <c r="AB28" s="96">
        <f>+[2]Report1!AY28</f>
        <v>4963.8618597987543</v>
      </c>
      <c r="AC28" s="13">
        <f t="shared" si="31"/>
        <v>102087.70126770598</v>
      </c>
      <c r="AD28" s="299">
        <f t="shared" si="5"/>
        <v>89.04586706967001</v>
      </c>
      <c r="AE28" s="299">
        <f t="shared" si="6"/>
        <v>102.29792350049951</v>
      </c>
      <c r="AF28" s="305">
        <f t="shared" si="7"/>
        <v>92.609363055946915</v>
      </c>
      <c r="AG28" s="299">
        <f t="shared" si="8"/>
        <v>105.27555020341561</v>
      </c>
      <c r="AH28" s="550">
        <v>69.7</v>
      </c>
      <c r="AI28" s="301">
        <f t="shared" si="32"/>
        <v>1338.1000000000001</v>
      </c>
      <c r="AJ28" s="307">
        <f t="shared" si="9"/>
        <v>1.2503363530361469</v>
      </c>
      <c r="AK28" s="307">
        <f t="shared" si="10"/>
        <v>1.3408554579661205</v>
      </c>
      <c r="AL28" s="304">
        <f t="shared" si="11"/>
        <v>1.3003731343283582</v>
      </c>
      <c r="AM28" s="307">
        <f t="shared" si="12"/>
        <v>1.3798842757541103</v>
      </c>
      <c r="AN28" s="96">
        <v>10</v>
      </c>
      <c r="AO28" s="301">
        <f t="shared" si="33"/>
        <v>198.4</v>
      </c>
      <c r="AP28" s="307">
        <f t="shared" si="34"/>
        <v>0.17938828594492781</v>
      </c>
      <c r="AQ28" s="307">
        <f t="shared" si="35"/>
        <v>0.19880855157348351</v>
      </c>
      <c r="AR28" s="304">
        <f t="shared" si="36"/>
        <v>0.18656716417910446</v>
      </c>
      <c r="AS28" s="307">
        <f t="shared" si="37"/>
        <v>0.20459535184935015</v>
      </c>
      <c r="AT28" s="306">
        <f>'20'!I46</f>
        <v>38019.06000000007</v>
      </c>
      <c r="AU28" s="301">
        <f t="shared" si="38"/>
        <v>788489.64</v>
      </c>
      <c r="AV28" s="307">
        <f t="shared" si="13"/>
        <v>682.01740066373793</v>
      </c>
      <c r="AW28" s="307">
        <f t="shared" si="14"/>
        <v>790.11332287851531</v>
      </c>
      <c r="AX28" s="307">
        <f t="shared" si="15"/>
        <v>709.31082089552365</v>
      </c>
      <c r="AY28" s="307">
        <f t="shared" si="16"/>
        <v>813.11146837382785</v>
      </c>
      <c r="AZ28" s="306">
        <f>+Listrik!S27</f>
        <v>25682.800000000003</v>
      </c>
      <c r="BA28" s="301">
        <f t="shared" si="39"/>
        <v>486502.61100000003</v>
      </c>
      <c r="BB28" s="307">
        <f t="shared" si="17"/>
        <v>460.71934702663918</v>
      </c>
      <c r="BC28" s="307">
        <f t="shared" si="40"/>
        <v>487.50443260901153</v>
      </c>
      <c r="BD28" s="307">
        <f t="shared" si="18"/>
        <v>479.1567164179105</v>
      </c>
      <c r="BE28" s="307">
        <f t="shared" si="19"/>
        <v>501.69441972365189</v>
      </c>
      <c r="BF28" s="585">
        <f>+Listrik!V27</f>
        <v>330.10000000000582</v>
      </c>
      <c r="BG28" s="587">
        <f t="shared" si="41"/>
        <v>6030.2000000000116</v>
      </c>
      <c r="BH28" s="586">
        <f t="shared" si="44"/>
        <v>5.9216073190421712</v>
      </c>
      <c r="BI28" s="586">
        <f t="shared" si="44"/>
        <v>6.0426175791251131</v>
      </c>
      <c r="BJ28" s="586">
        <f t="shared" si="42"/>
        <v>6.1585820895523478</v>
      </c>
      <c r="BK28" s="586">
        <f t="shared" si="42"/>
        <v>6.2185024733969447</v>
      </c>
      <c r="BL28" s="535">
        <f>+SUM(Efficiency2!K106:K108)</f>
        <v>55.797271928000001</v>
      </c>
      <c r="BM28" s="536">
        <f t="shared" si="43"/>
        <v>1095.6585408633791</v>
      </c>
      <c r="BN28" s="537">
        <f t="shared" si="20"/>
        <v>0.96062044160805338</v>
      </c>
      <c r="BO28" s="537">
        <f t="shared" si="21"/>
        <v>0.88505584891061162</v>
      </c>
    </row>
    <row r="29" spans="1:67" ht="12.2" customHeight="1">
      <c r="A29" s="17">
        <f t="shared" si="22"/>
        <v>45982</v>
      </c>
      <c r="B29" s="432" t="s">
        <v>431</v>
      </c>
      <c r="C29" s="441" t="s">
        <v>657</v>
      </c>
      <c r="D29" s="437">
        <f>+'21'!F42</f>
        <v>921.18055555555554</v>
      </c>
      <c r="E29" s="437">
        <f>+'21'!G42</f>
        <v>736.94444444444446</v>
      </c>
      <c r="F29" s="47">
        <f t="shared" si="0"/>
        <v>0.19999999999999996</v>
      </c>
      <c r="G29" s="442">
        <f t="shared" si="23"/>
        <v>1.0130790149670494</v>
      </c>
      <c r="H29" s="440">
        <f t="shared" si="24"/>
        <v>1.0107275519564676</v>
      </c>
      <c r="I29" s="440">
        <f t="shared" si="25"/>
        <v>0.96647783472709281</v>
      </c>
      <c r="J29" s="444">
        <f t="shared" si="26"/>
        <v>0.97684577591390198</v>
      </c>
      <c r="K29" s="444">
        <f t="shared" si="27"/>
        <v>0.88944441561694243</v>
      </c>
      <c r="L29" s="304">
        <f>+SUM(Efficiency1!K111:K112)</f>
        <v>55.014825600000002</v>
      </c>
      <c r="M29" s="13">
        <f t="shared" si="28"/>
        <v>1150.6733664633791</v>
      </c>
      <c r="N29" s="304">
        <f>+SUM(Efficiency1!C111:C112)</f>
        <v>54.887130400000004</v>
      </c>
      <c r="O29" s="13">
        <f t="shared" si="28"/>
        <v>1117.0760215000209</v>
      </c>
      <c r="P29" s="300">
        <f>'21'!I38</f>
        <v>55.605000000000004</v>
      </c>
      <c r="Q29" s="13">
        <f t="shared" si="29"/>
        <v>1053.55</v>
      </c>
      <c r="R29" s="15">
        <f>'21'!I40</f>
        <v>53.741</v>
      </c>
      <c r="S29" s="301">
        <f t="shared" si="30"/>
        <v>1023.46</v>
      </c>
      <c r="T29" s="7">
        <f t="shared" si="1"/>
        <v>0.96647783472709281</v>
      </c>
      <c r="U29" s="7">
        <f t="shared" si="2"/>
        <v>0.9714394191068294</v>
      </c>
      <c r="V29" s="302">
        <f t="shared" si="3"/>
        <v>0.97684577591390198</v>
      </c>
      <c r="W29" s="303">
        <f t="shared" si="4"/>
        <v>0.88944441561694243</v>
      </c>
      <c r="X29" s="301"/>
      <c r="Y29" s="301"/>
      <c r="Z29" s="6"/>
      <c r="AA29" s="301"/>
      <c r="AB29" s="96">
        <f>+[2]Report1!AY29</f>
        <v>4746.5878913899542</v>
      </c>
      <c r="AC29" s="13">
        <f t="shared" si="31"/>
        <v>106834.28915909593</v>
      </c>
      <c r="AD29" s="299">
        <f t="shared" si="5"/>
        <v>85.362609322721951</v>
      </c>
      <c r="AE29" s="299">
        <f t="shared" si="6"/>
        <v>101.40409962421901</v>
      </c>
      <c r="AF29" s="305">
        <f t="shared" si="7"/>
        <v>88.323400967416944</v>
      </c>
      <c r="AG29" s="299">
        <f t="shared" si="8"/>
        <v>104.38540749916551</v>
      </c>
      <c r="AH29" s="550">
        <v>70.3</v>
      </c>
      <c r="AI29" s="301">
        <f t="shared" si="32"/>
        <v>1408.4</v>
      </c>
      <c r="AJ29" s="307">
        <f t="shared" si="9"/>
        <v>1.2642747954320652</v>
      </c>
      <c r="AK29" s="307">
        <f t="shared" si="10"/>
        <v>1.3368136301077311</v>
      </c>
      <c r="AL29" s="304">
        <f t="shared" si="11"/>
        <v>1.3081260117973241</v>
      </c>
      <c r="AM29" s="307">
        <f t="shared" si="12"/>
        <v>1.3761163113360562</v>
      </c>
      <c r="AN29" s="96">
        <v>9.8000000000000007</v>
      </c>
      <c r="AO29" s="301">
        <f t="shared" si="33"/>
        <v>208.20000000000002</v>
      </c>
      <c r="AP29" s="307">
        <f t="shared" si="34"/>
        <v>0.17624314360219404</v>
      </c>
      <c r="AQ29" s="307">
        <f t="shared" si="35"/>
        <v>0.19761757866261689</v>
      </c>
      <c r="AR29" s="304">
        <f t="shared" si="36"/>
        <v>0.18235611544258576</v>
      </c>
      <c r="AS29" s="307">
        <f t="shared" si="37"/>
        <v>0.20342758876751413</v>
      </c>
      <c r="AT29" s="306">
        <f>'21'!I46</f>
        <v>38136.019999999946</v>
      </c>
      <c r="AU29" s="301">
        <f t="shared" si="38"/>
        <v>826625.65999999992</v>
      </c>
      <c r="AV29" s="307">
        <f t="shared" si="13"/>
        <v>685.83796421185036</v>
      </c>
      <c r="AW29" s="307">
        <f t="shared" si="14"/>
        <v>784.60980494518526</v>
      </c>
      <c r="AX29" s="307">
        <f t="shared" si="15"/>
        <v>709.62616996334168</v>
      </c>
      <c r="AY29" s="307">
        <f t="shared" si="16"/>
        <v>807.67754479901498</v>
      </c>
      <c r="AZ29" s="306">
        <f>+Listrik!S28</f>
        <v>24315.000000000004</v>
      </c>
      <c r="BA29" s="301">
        <f t="shared" si="39"/>
        <v>510817.61100000003</v>
      </c>
      <c r="BB29" s="307">
        <f t="shared" si="17"/>
        <v>437.28082007013757</v>
      </c>
      <c r="BC29" s="307">
        <f t="shared" si="40"/>
        <v>484.85369560058848</v>
      </c>
      <c r="BD29" s="307">
        <f t="shared" si="18"/>
        <v>452.44785173331354</v>
      </c>
      <c r="BE29" s="307">
        <f t="shared" si="19"/>
        <v>499.1085250034198</v>
      </c>
      <c r="BF29" s="585">
        <f>+Listrik!V28</f>
        <v>349.79999999998836</v>
      </c>
      <c r="BG29" s="587">
        <f t="shared" si="41"/>
        <v>6380</v>
      </c>
      <c r="BH29" s="586">
        <f t="shared" si="44"/>
        <v>6.2908011869434102</v>
      </c>
      <c r="BI29" s="586">
        <f t="shared" si="44"/>
        <v>6.0557163874519482</v>
      </c>
      <c r="BJ29" s="586">
        <f t="shared" si="42"/>
        <v>6.5089968552871804</v>
      </c>
      <c r="BK29" s="586">
        <f t="shared" si="42"/>
        <v>6.2337560823090303</v>
      </c>
      <c r="BL29" s="535">
        <f>+SUM(Efficiency2!K111:K112)</f>
        <v>55.014825600000002</v>
      </c>
      <c r="BM29" s="536">
        <f t="shared" si="43"/>
        <v>1150.6733664633791</v>
      </c>
      <c r="BN29" s="537">
        <f t="shared" si="20"/>
        <v>0.97684577591390198</v>
      </c>
      <c r="BO29" s="537">
        <f t="shared" si="21"/>
        <v>0.88944441561694243</v>
      </c>
    </row>
    <row r="30" spans="1:67" ht="12.75" customHeight="1">
      <c r="A30" s="17">
        <f t="shared" si="22"/>
        <v>45983</v>
      </c>
      <c r="B30" s="432" t="s">
        <v>431</v>
      </c>
      <c r="C30" s="433" t="s">
        <v>681</v>
      </c>
      <c r="D30" s="437">
        <f>+'22'!F42</f>
        <v>1120.5</v>
      </c>
      <c r="E30" s="437">
        <f>+'22'!G42</f>
        <v>884.6491666666667</v>
      </c>
      <c r="F30" s="47">
        <f t="shared" si="0"/>
        <v>0.21048713372006544</v>
      </c>
      <c r="G30" s="442">
        <f t="shared" si="23"/>
        <v>0.9204222544457823</v>
      </c>
      <c r="H30" s="440">
        <f t="shared" si="24"/>
        <v>0.90457885888299894</v>
      </c>
      <c r="I30" s="440">
        <f t="shared" si="25"/>
        <v>1.0295513026696685</v>
      </c>
      <c r="J30" s="444">
        <f t="shared" si="26"/>
        <v>0.93131034253043377</v>
      </c>
      <c r="K30" s="444">
        <f t="shared" si="27"/>
        <v>0.89135395418980623</v>
      </c>
      <c r="L30" s="304">
        <f>+SUM(Efficiency1!K116:K117)</f>
        <v>54.991336036114518</v>
      </c>
      <c r="M30" s="13">
        <f t="shared" si="28"/>
        <v>1205.6647024994936</v>
      </c>
      <c r="N30" s="304">
        <f>+SUM(Efficiency1!C116:C117)</f>
        <v>54.044760173636362</v>
      </c>
      <c r="O30" s="13">
        <f t="shared" si="28"/>
        <v>1171.1207816736573</v>
      </c>
      <c r="P30" s="300">
        <f>'22'!I38</f>
        <v>49.744000000000007</v>
      </c>
      <c r="Q30" s="13">
        <f t="shared" si="29"/>
        <v>1103.2939999999999</v>
      </c>
      <c r="R30" s="15">
        <f>'22'!I40</f>
        <v>51.213999999999999</v>
      </c>
      <c r="S30" s="301">
        <f t="shared" si="30"/>
        <v>1074.674</v>
      </c>
      <c r="T30" s="7">
        <f t="shared" si="1"/>
        <v>1.0295513026696685</v>
      </c>
      <c r="U30" s="7">
        <f t="shared" si="2"/>
        <v>0.97405949819359128</v>
      </c>
      <c r="V30" s="302">
        <f t="shared" si="3"/>
        <v>0.93131034253043377</v>
      </c>
      <c r="W30" s="303">
        <f t="shared" si="4"/>
        <v>0.89135395418980623</v>
      </c>
      <c r="X30" s="301"/>
      <c r="Y30" s="301"/>
      <c r="Z30" s="6"/>
      <c r="AA30" s="301"/>
      <c r="AB30" s="96">
        <f>+[2]Report1!AY30</f>
        <v>5286.2928978596783</v>
      </c>
      <c r="AC30" s="13">
        <f t="shared" si="31"/>
        <v>112120.58205695561</v>
      </c>
      <c r="AD30" s="299">
        <f t="shared" si="5"/>
        <v>106.26996015317782</v>
      </c>
      <c r="AE30" s="299">
        <f t="shared" si="6"/>
        <v>101.62348572271364</v>
      </c>
      <c r="AF30" s="305">
        <f t="shared" si="7"/>
        <v>103.21968402897016</v>
      </c>
      <c r="AG30" s="299">
        <f t="shared" si="8"/>
        <v>104.32985450188207</v>
      </c>
      <c r="AH30" s="550">
        <v>70.2</v>
      </c>
      <c r="AI30" s="301">
        <f t="shared" si="32"/>
        <v>1478.6000000000001</v>
      </c>
      <c r="AJ30" s="307">
        <f t="shared" si="9"/>
        <v>1.4112254744290766</v>
      </c>
      <c r="AK30" s="307">
        <f t="shared" si="10"/>
        <v>1.3401686223255092</v>
      </c>
      <c r="AL30" s="304">
        <f t="shared" si="11"/>
        <v>1.3707189440387395</v>
      </c>
      <c r="AM30" s="307">
        <f t="shared" si="12"/>
        <v>1.3758590977356855</v>
      </c>
      <c r="AN30" s="96">
        <v>9.6999999999999993</v>
      </c>
      <c r="AO30" s="301">
        <f t="shared" si="33"/>
        <v>217.9</v>
      </c>
      <c r="AP30" s="307">
        <f t="shared" si="34"/>
        <v>0.19499839176584108</v>
      </c>
      <c r="AQ30" s="307">
        <f t="shared" si="35"/>
        <v>0.19749948789715166</v>
      </c>
      <c r="AR30" s="304">
        <f t="shared" si="36"/>
        <v>0.18940133557230443</v>
      </c>
      <c r="AS30" s="307">
        <f t="shared" si="37"/>
        <v>0.20275916231340854</v>
      </c>
      <c r="AT30" s="306">
        <f>'22'!I46</f>
        <v>39211.700000000055</v>
      </c>
      <c r="AU30" s="301">
        <f t="shared" si="38"/>
        <v>865837.36</v>
      </c>
      <c r="AV30" s="307">
        <f t="shared" si="13"/>
        <v>788.26994210357122</v>
      </c>
      <c r="AW30" s="307">
        <f t="shared" si="14"/>
        <v>784.77482883075595</v>
      </c>
      <c r="AX30" s="307">
        <f t="shared" si="15"/>
        <v>765.64415980005572</v>
      </c>
      <c r="AY30" s="307">
        <f t="shared" si="16"/>
        <v>805.67442777995939</v>
      </c>
      <c r="AZ30" s="306">
        <f>+Listrik!S29</f>
        <v>24598.000000000004</v>
      </c>
      <c r="BA30" s="301">
        <f t="shared" si="39"/>
        <v>535415.61100000003</v>
      </c>
      <c r="BB30" s="307">
        <f t="shared" si="17"/>
        <v>494.49179800578963</v>
      </c>
      <c r="BC30" s="307">
        <f t="shared" si="40"/>
        <v>485.28824683176032</v>
      </c>
      <c r="BD30" s="307">
        <f t="shared" si="18"/>
        <v>480.29835591830368</v>
      </c>
      <c r="BE30" s="307">
        <f t="shared" si="19"/>
        <v>498.21211921010467</v>
      </c>
      <c r="BF30" s="585">
        <f>+Listrik!V29</f>
        <v>340.10000000000582</v>
      </c>
      <c r="BG30" s="587">
        <f t="shared" si="41"/>
        <v>6720.1000000000058</v>
      </c>
      <c r="BH30" s="586">
        <f t="shared" si="44"/>
        <v>6.8370054679962564</v>
      </c>
      <c r="BI30" s="586">
        <f t="shared" si="44"/>
        <v>6.0909422148584209</v>
      </c>
      <c r="BJ30" s="586">
        <f t="shared" si="42"/>
        <v>6.6407622915610149</v>
      </c>
      <c r="BK30" s="586">
        <f t="shared" si="42"/>
        <v>6.2531521186890222</v>
      </c>
      <c r="BL30" s="535">
        <f>+SUM(Efficiency2!K116:K117)</f>
        <v>54.991336036114518</v>
      </c>
      <c r="BM30" s="536">
        <f t="shared" si="43"/>
        <v>1205.6647024994936</v>
      </c>
      <c r="BN30" s="537">
        <f t="shared" si="20"/>
        <v>0.93131034253043377</v>
      </c>
      <c r="BO30" s="537">
        <f t="shared" si="21"/>
        <v>0.89135395418980623</v>
      </c>
    </row>
    <row r="31" spans="1:67">
      <c r="A31" s="17">
        <f t="shared" si="22"/>
        <v>45984</v>
      </c>
      <c r="B31" s="432" t="s">
        <v>431</v>
      </c>
      <c r="C31" s="433" t="s">
        <v>682</v>
      </c>
      <c r="D31" s="437">
        <f>+'23'!F42</f>
        <v>1153.3333333333333</v>
      </c>
      <c r="E31" s="437">
        <f>+'23'!G42</f>
        <v>903.26666666666665</v>
      </c>
      <c r="F31" s="47">
        <f t="shared" si="0"/>
        <v>0.21682080924855485</v>
      </c>
      <c r="G31" s="442">
        <f t="shared" si="23"/>
        <v>0.9387188106875437</v>
      </c>
      <c r="H31" s="440">
        <f t="shared" si="24"/>
        <v>0.90979470167476229</v>
      </c>
      <c r="I31" s="440">
        <f t="shared" si="25"/>
        <v>0.98944027345419039</v>
      </c>
      <c r="J31" s="444">
        <f t="shared" si="26"/>
        <v>0.90018751841225031</v>
      </c>
      <c r="K31" s="444">
        <f t="shared" si="27"/>
        <v>0.89173278446705495</v>
      </c>
      <c r="L31" s="304">
        <f>+Efficiency1!K121</f>
        <v>54.022077628640687</v>
      </c>
      <c r="M31" s="13">
        <f t="shared" si="28"/>
        <v>1259.6867801281344</v>
      </c>
      <c r="N31" s="304">
        <f>+Efficiency1!C121</f>
        <v>52.35753181935484</v>
      </c>
      <c r="O31" s="13">
        <f t="shared" si="28"/>
        <v>1223.4783134930121</v>
      </c>
      <c r="P31" s="300">
        <f>'23'!I38</f>
        <v>49.149000000000001</v>
      </c>
      <c r="Q31" s="13">
        <f t="shared" si="29"/>
        <v>1152.4429999999998</v>
      </c>
      <c r="R31" s="15">
        <f>'23'!I40</f>
        <v>48.63</v>
      </c>
      <c r="S31" s="301">
        <f t="shared" si="30"/>
        <v>1123.3040000000001</v>
      </c>
      <c r="T31" s="7">
        <f t="shared" si="1"/>
        <v>0.98944027345419039</v>
      </c>
      <c r="U31" s="7">
        <f t="shared" si="2"/>
        <v>0.97471545230436585</v>
      </c>
      <c r="V31" s="302">
        <f t="shared" si="3"/>
        <v>0.90018751841225031</v>
      </c>
      <c r="W31" s="303">
        <f t="shared" si="4"/>
        <v>0.89173278446705495</v>
      </c>
      <c r="X31" s="301"/>
      <c r="Y31" s="301"/>
      <c r="Z31" s="6"/>
      <c r="AA31" s="301"/>
      <c r="AB31" s="96">
        <f>+[2]Report1!AY31</f>
        <v>4809.6641632370647</v>
      </c>
      <c r="AC31" s="13">
        <f t="shared" si="31"/>
        <v>116930.24622019267</v>
      </c>
      <c r="AD31" s="299">
        <f t="shared" si="5"/>
        <v>97.858840734034558</v>
      </c>
      <c r="AE31" s="299">
        <f t="shared" si="6"/>
        <v>101.46293241417814</v>
      </c>
      <c r="AF31" s="305">
        <f t="shared" si="7"/>
        <v>98.903231816513767</v>
      </c>
      <c r="AG31" s="299">
        <f t="shared" si="8"/>
        <v>104.09492552344928</v>
      </c>
      <c r="AH31" s="550">
        <v>69.099999999999994</v>
      </c>
      <c r="AI31" s="301">
        <f t="shared" si="32"/>
        <v>1547.7</v>
      </c>
      <c r="AJ31" s="307">
        <f t="shared" si="9"/>
        <v>1.4059289100490344</v>
      </c>
      <c r="AK31" s="307">
        <f t="shared" si="10"/>
        <v>1.3429731448757123</v>
      </c>
      <c r="AL31" s="304">
        <f t="shared" si="11"/>
        <v>1.4209335800945917</v>
      </c>
      <c r="AM31" s="307">
        <f t="shared" si="12"/>
        <v>1.3778104591455207</v>
      </c>
      <c r="AN31" s="96">
        <v>10.5</v>
      </c>
      <c r="AO31" s="301">
        <f t="shared" si="33"/>
        <v>228.4</v>
      </c>
      <c r="AP31" s="307">
        <f t="shared" si="34"/>
        <v>0.21363608618690105</v>
      </c>
      <c r="AQ31" s="307">
        <f t="shared" si="35"/>
        <v>0.19818767609330792</v>
      </c>
      <c r="AR31" s="304">
        <f t="shared" si="36"/>
        <v>0.21591610117211596</v>
      </c>
      <c r="AS31" s="307">
        <f t="shared" si="37"/>
        <v>0.20332875161131803</v>
      </c>
      <c r="AT31" s="306">
        <f>'23'!I46</f>
        <v>41851.600000000006</v>
      </c>
      <c r="AU31" s="301">
        <f t="shared" si="38"/>
        <v>907688.95999999996</v>
      </c>
      <c r="AV31" s="307">
        <f t="shared" si="13"/>
        <v>851.52495472949613</v>
      </c>
      <c r="AW31" s="307">
        <f t="shared" si="14"/>
        <v>787.62156566528688</v>
      </c>
      <c r="AX31" s="307">
        <f t="shared" si="15"/>
        <v>860.61279045856475</v>
      </c>
      <c r="AY31" s="307">
        <f t="shared" si="16"/>
        <v>808.05281562248513</v>
      </c>
      <c r="AZ31" s="306">
        <f>+Listrik!S30</f>
        <v>22710.500000000004</v>
      </c>
      <c r="BA31" s="301">
        <f t="shared" si="39"/>
        <v>558126.11100000003</v>
      </c>
      <c r="BB31" s="307">
        <f t="shared" si="17"/>
        <v>462.07450812834452</v>
      </c>
      <c r="BC31" s="307">
        <f t="shared" si="40"/>
        <v>484.29823514047996</v>
      </c>
      <c r="BD31" s="307">
        <f t="shared" si="18"/>
        <v>467.00596339708005</v>
      </c>
      <c r="BE31" s="307">
        <f t="shared" si="19"/>
        <v>496.86114444531495</v>
      </c>
      <c r="BF31" s="585">
        <f>+Listrik!V30</f>
        <v>280.10000000000582</v>
      </c>
      <c r="BG31" s="587">
        <f t="shared" si="41"/>
        <v>7000.2000000000116</v>
      </c>
      <c r="BH31" s="586">
        <f t="shared" si="44"/>
        <v>5.6989969277097359</v>
      </c>
      <c r="BI31" s="586">
        <f t="shared" si="44"/>
        <v>6.074226664572576</v>
      </c>
      <c r="BJ31" s="586">
        <f t="shared" si="42"/>
        <v>5.7598190417438992</v>
      </c>
      <c r="BK31" s="586">
        <f t="shared" si="42"/>
        <v>6.2317947768369129</v>
      </c>
      <c r="BL31" s="535">
        <f>+Efficiency2!K121</f>
        <v>54.022077628640687</v>
      </c>
      <c r="BM31" s="536">
        <f t="shared" si="43"/>
        <v>1259.6867801281344</v>
      </c>
      <c r="BN31" s="537">
        <f t="shared" si="20"/>
        <v>0.90018751841225031</v>
      </c>
      <c r="BO31" s="537">
        <f t="shared" si="21"/>
        <v>0.89173278446705495</v>
      </c>
    </row>
    <row r="32" spans="1:67">
      <c r="A32" s="17">
        <f t="shared" si="22"/>
        <v>45985</v>
      </c>
      <c r="B32" s="432" t="s">
        <v>431</v>
      </c>
      <c r="C32" s="433" t="s">
        <v>682</v>
      </c>
      <c r="D32" s="437">
        <f>+'24'!F42</f>
        <v>1160</v>
      </c>
      <c r="E32" s="437">
        <f>+'24'!G42</f>
        <v>893.2</v>
      </c>
      <c r="F32" s="47">
        <f t="shared" si="0"/>
        <v>0.22999999999999998</v>
      </c>
      <c r="G32" s="442">
        <f t="shared" si="23"/>
        <v>0.99142788860886011</v>
      </c>
      <c r="H32" s="440">
        <f t="shared" si="24"/>
        <v>0.9504597940382461</v>
      </c>
      <c r="I32" s="440">
        <f t="shared" si="25"/>
        <v>0.97857279145201304</v>
      </c>
      <c r="J32" s="444">
        <f t="shared" si="26"/>
        <v>0.93009409381491182</v>
      </c>
      <c r="K32" s="444">
        <f t="shared" si="27"/>
        <v>0.89334159432257509</v>
      </c>
      <c r="L32" s="304">
        <f>+Efficiency1!K127</f>
        <v>55.1417328</v>
      </c>
      <c r="M32" s="13">
        <f t="shared" si="28"/>
        <v>1314.8285129281344</v>
      </c>
      <c r="N32" s="304">
        <f>+Efficiency1!C127</f>
        <v>52.863148799999998</v>
      </c>
      <c r="O32" s="13">
        <f t="shared" si="28"/>
        <v>1276.3414622930122</v>
      </c>
      <c r="P32" s="300">
        <f>'24'!I38</f>
        <v>52.41</v>
      </c>
      <c r="Q32" s="13">
        <f t="shared" si="29"/>
        <v>1204.8529999999998</v>
      </c>
      <c r="R32" s="15">
        <f>'24'!I40</f>
        <v>51.286999999999999</v>
      </c>
      <c r="S32" s="301">
        <f t="shared" si="30"/>
        <v>1174.5910000000001</v>
      </c>
      <c r="T32" s="7">
        <f t="shared" si="1"/>
        <v>0.97857279145201304</v>
      </c>
      <c r="U32" s="7">
        <f t="shared" si="2"/>
        <v>0.9748832430180282</v>
      </c>
      <c r="V32" s="302">
        <f t="shared" si="3"/>
        <v>0.93009409381491182</v>
      </c>
      <c r="W32" s="303">
        <f t="shared" si="4"/>
        <v>0.89334159432257509</v>
      </c>
      <c r="X32" s="301"/>
      <c r="Y32" s="301"/>
      <c r="Z32" s="6"/>
      <c r="AA32" s="301"/>
      <c r="AB32" s="96">
        <f>+[2]Report1!AY32</f>
        <v>5136.4029435791126</v>
      </c>
      <c r="AC32" s="13">
        <f t="shared" si="31"/>
        <v>122066.64916377178</v>
      </c>
      <c r="AD32" s="299">
        <f t="shared" si="5"/>
        <v>98.004253836655465</v>
      </c>
      <c r="AE32" s="299">
        <f t="shared" si="6"/>
        <v>101.31248306952948</v>
      </c>
      <c r="AF32" s="305">
        <f t="shared" si="7"/>
        <v>100.15019290617724</v>
      </c>
      <c r="AG32" s="299">
        <f t="shared" si="8"/>
        <v>103.92268386508306</v>
      </c>
      <c r="AH32" s="550">
        <v>67.599999999999994</v>
      </c>
      <c r="AI32" s="301">
        <f t="shared" si="32"/>
        <v>1615.3</v>
      </c>
      <c r="AJ32" s="307">
        <f t="shared" si="9"/>
        <v>1.2898301850791833</v>
      </c>
      <c r="AK32" s="307">
        <f t="shared" si="10"/>
        <v>1.3406614748853181</v>
      </c>
      <c r="AL32" s="304">
        <f t="shared" si="11"/>
        <v>1.3180728059742235</v>
      </c>
      <c r="AM32" s="307">
        <f t="shared" si="12"/>
        <v>1.3752020916216792</v>
      </c>
      <c r="AN32" s="96">
        <v>10.6</v>
      </c>
      <c r="AO32" s="301">
        <f t="shared" si="33"/>
        <v>239</v>
      </c>
      <c r="AP32" s="307">
        <f t="shared" si="34"/>
        <v>0.20225147872543409</v>
      </c>
      <c r="AQ32" s="307">
        <f t="shared" si="35"/>
        <v>0.1983644477791067</v>
      </c>
      <c r="AR32" s="304">
        <f t="shared" si="36"/>
        <v>0.20668005537465634</v>
      </c>
      <c r="AS32" s="307">
        <f t="shared" si="37"/>
        <v>0.20347508196470088</v>
      </c>
      <c r="AT32" s="306">
        <f>+'24'!I46</f>
        <v>40941.679999999986</v>
      </c>
      <c r="AU32" s="301">
        <f t="shared" si="38"/>
        <v>948630.6399999999</v>
      </c>
      <c r="AV32" s="307">
        <f t="shared" si="13"/>
        <v>781.18069070787988</v>
      </c>
      <c r="AW32" s="307">
        <f t="shared" si="14"/>
        <v>787.34139351439558</v>
      </c>
      <c r="AX32" s="307">
        <f t="shared" si="15"/>
        <v>798.285725427496</v>
      </c>
      <c r="AY32" s="307">
        <f t="shared" si="16"/>
        <v>807.62634823525775</v>
      </c>
      <c r="AZ32" s="306">
        <f>+Listrik!S31</f>
        <v>25592.700000000004</v>
      </c>
      <c r="BA32" s="301">
        <f t="shared" si="39"/>
        <v>583718.81099999999</v>
      </c>
      <c r="BB32" s="307">
        <f t="shared" si="17"/>
        <v>488.31711505437903</v>
      </c>
      <c r="BC32" s="307">
        <f t="shared" si="40"/>
        <v>484.47305272925416</v>
      </c>
      <c r="BD32" s="307">
        <f t="shared" si="18"/>
        <v>499.00949558367626</v>
      </c>
      <c r="BE32" s="307">
        <f t="shared" si="19"/>
        <v>496.95494942494867</v>
      </c>
      <c r="BF32" s="585">
        <f>+Listrik!V31</f>
        <v>320.04999999998836</v>
      </c>
      <c r="BG32" s="587">
        <f t="shared" si="41"/>
        <v>7320.25</v>
      </c>
      <c r="BH32" s="586">
        <f t="shared" si="44"/>
        <v>6.1066590345351717</v>
      </c>
      <c r="BI32" s="586">
        <f t="shared" si="44"/>
        <v>6.0756374429079738</v>
      </c>
      <c r="BJ32" s="586">
        <f t="shared" si="42"/>
        <v>6.2403728040241848</v>
      </c>
      <c r="BK32" s="586">
        <f t="shared" si="42"/>
        <v>6.2321693253226007</v>
      </c>
      <c r="BL32" s="535">
        <f>+Efficiency2!K127</f>
        <v>55.1417328</v>
      </c>
      <c r="BM32" s="536">
        <f t="shared" si="43"/>
        <v>1314.8285129281344</v>
      </c>
      <c r="BN32" s="537">
        <f t="shared" si="20"/>
        <v>0.93009409381491182</v>
      </c>
      <c r="BO32" s="537">
        <f t="shared" si="21"/>
        <v>0.89334159432257509</v>
      </c>
    </row>
    <row r="33" spans="1:67">
      <c r="A33" s="17">
        <f t="shared" si="22"/>
        <v>45986</v>
      </c>
      <c r="B33" s="432" t="s">
        <v>431</v>
      </c>
      <c r="C33" s="433" t="s">
        <v>700</v>
      </c>
      <c r="D33" s="437">
        <f>+'25'!F42</f>
        <v>1177.6388888888889</v>
      </c>
      <c r="E33" s="437">
        <f>+'25'!G42</f>
        <v>968.05277777777781</v>
      </c>
      <c r="F33" s="47">
        <f t="shared" si="0"/>
        <v>0.177971458898455</v>
      </c>
      <c r="G33" s="442">
        <f t="shared" si="23"/>
        <v>0.99881925976079322</v>
      </c>
      <c r="H33" s="440">
        <f t="shared" si="24"/>
        <v>0.94622652017467601</v>
      </c>
      <c r="I33" s="440">
        <f t="shared" si="25"/>
        <v>0.99321248577467092</v>
      </c>
      <c r="J33" s="444">
        <f t="shared" si="26"/>
        <v>0.93980399420860672</v>
      </c>
      <c r="K33" s="444">
        <f t="shared" si="27"/>
        <v>0.89510936851379463</v>
      </c>
      <c r="L33" s="304">
        <f>+SUM(Efficiency1!K132:K133)</f>
        <v>52.004460824999988</v>
      </c>
      <c r="M33" s="13">
        <f t="shared" si="28"/>
        <v>1366.8329737531344</v>
      </c>
      <c r="N33" s="304">
        <f>+SUM(Efficiency1!C132:C133)</f>
        <v>49.266170550000005</v>
      </c>
      <c r="O33" s="13">
        <f t="shared" si="28"/>
        <v>1325.6076328430122</v>
      </c>
      <c r="P33" s="300">
        <f>'25'!I38</f>
        <v>49.207999999999998</v>
      </c>
      <c r="Q33" s="13">
        <f t="shared" si="29"/>
        <v>1254.0609999999999</v>
      </c>
      <c r="R33" s="15">
        <f>'25'!I40</f>
        <v>48.874000000000002</v>
      </c>
      <c r="S33" s="301">
        <f t="shared" si="30"/>
        <v>1223.4650000000001</v>
      </c>
      <c r="T33" s="7">
        <f t="shared" si="1"/>
        <v>0.99321248577467092</v>
      </c>
      <c r="U33" s="7">
        <f t="shared" si="2"/>
        <v>0.97560246271911832</v>
      </c>
      <c r="V33" s="302">
        <f t="shared" si="3"/>
        <v>0.93980399420860672</v>
      </c>
      <c r="W33" s="303">
        <f t="shared" si="4"/>
        <v>0.89510936851379463</v>
      </c>
      <c r="X33" s="301"/>
      <c r="Y33" s="301"/>
      <c r="Z33" s="6"/>
      <c r="AA33" s="301"/>
      <c r="AB33" s="96">
        <f>+[2]Report1!AY33</f>
        <v>4957.5886846812409</v>
      </c>
      <c r="AC33" s="13">
        <f t="shared" si="31"/>
        <v>127024.23784845302</v>
      </c>
      <c r="AD33" s="299">
        <f t="shared" si="5"/>
        <v>100.74761592995532</v>
      </c>
      <c r="AE33" s="299">
        <f t="shared" si="6"/>
        <v>101.29031829269312</v>
      </c>
      <c r="AF33" s="305">
        <f t="shared" si="7"/>
        <v>101.43611500350372</v>
      </c>
      <c r="AG33" s="299">
        <f t="shared" si="8"/>
        <v>103.82335240358572</v>
      </c>
      <c r="AH33" s="550">
        <v>68.900000000000006</v>
      </c>
      <c r="AI33" s="301">
        <f t="shared" si="32"/>
        <v>1684.2</v>
      </c>
      <c r="AJ33" s="307">
        <f t="shared" si="9"/>
        <v>1.4001788327101286</v>
      </c>
      <c r="AK33" s="307">
        <f t="shared" si="10"/>
        <v>1.3429968717630165</v>
      </c>
      <c r="AL33" s="304">
        <f t="shared" si="11"/>
        <v>1.4097475140156321</v>
      </c>
      <c r="AM33" s="307">
        <f t="shared" si="12"/>
        <v>1.376582084489544</v>
      </c>
      <c r="AN33" s="96">
        <v>10.199999999999999</v>
      </c>
      <c r="AO33" s="301">
        <f t="shared" si="33"/>
        <v>249.2</v>
      </c>
      <c r="AP33" s="307">
        <f t="shared" si="34"/>
        <v>0.20728336855795804</v>
      </c>
      <c r="AQ33" s="307">
        <f t="shared" si="35"/>
        <v>0.19871441660333908</v>
      </c>
      <c r="AR33" s="304">
        <f t="shared" si="36"/>
        <v>0.20869992224904854</v>
      </c>
      <c r="AS33" s="307">
        <f t="shared" si="37"/>
        <v>0.20368379970003225</v>
      </c>
      <c r="AT33" s="306">
        <f>+'25'!I46</f>
        <v>40986.639999999919</v>
      </c>
      <c r="AU33" s="301">
        <f t="shared" si="38"/>
        <v>989617.2799999998</v>
      </c>
      <c r="AV33" s="307">
        <f t="shared" si="13"/>
        <v>832.92635343846371</v>
      </c>
      <c r="AW33" s="307">
        <f t="shared" si="14"/>
        <v>789.13009813717179</v>
      </c>
      <c r="AX33" s="307">
        <f t="shared" si="15"/>
        <v>838.61848835781643</v>
      </c>
      <c r="AY33" s="307">
        <f t="shared" si="16"/>
        <v>808.86439742861421</v>
      </c>
      <c r="AZ33" s="306">
        <f>+Listrik!S32</f>
        <v>26406.099999999824</v>
      </c>
      <c r="BA33" s="301">
        <f t="shared" si="39"/>
        <v>610124.91099999985</v>
      </c>
      <c r="BB33" s="307">
        <f t="shared" si="17"/>
        <v>536.62209396845685</v>
      </c>
      <c r="BC33" s="307">
        <f t="shared" si="40"/>
        <v>486.51932481753266</v>
      </c>
      <c r="BD33" s="307">
        <f t="shared" si="18"/>
        <v>540.28931538240829</v>
      </c>
      <c r="BE33" s="307">
        <f t="shared" si="19"/>
        <v>498.68603597160501</v>
      </c>
      <c r="BF33" s="585">
        <f>+Listrik!V32</f>
        <v>340.04999999998836</v>
      </c>
      <c r="BG33" s="587">
        <f t="shared" si="41"/>
        <v>7660.2999999999884</v>
      </c>
      <c r="BH33" s="586">
        <f t="shared" si="44"/>
        <v>6.9104617135422775</v>
      </c>
      <c r="BI33" s="586">
        <f t="shared" si="44"/>
        <v>6.10839504617398</v>
      </c>
      <c r="BJ33" s="586">
        <f t="shared" si="42"/>
        <v>6.957687113802602</v>
      </c>
      <c r="BK33" s="586">
        <f t="shared" si="42"/>
        <v>6.2611517289011021</v>
      </c>
      <c r="BL33" s="535">
        <f>+SUM(Efficiency2!K132:K133)</f>
        <v>52.004460824999988</v>
      </c>
      <c r="BM33" s="536">
        <f t="shared" si="43"/>
        <v>1366.8329737531344</v>
      </c>
      <c r="BN33" s="537">
        <f t="shared" si="20"/>
        <v>0.93980399420860672</v>
      </c>
      <c r="BO33" s="537">
        <f t="shared" si="21"/>
        <v>0.89510936851379463</v>
      </c>
    </row>
    <row r="34" spans="1:67">
      <c r="A34" s="17">
        <f t="shared" si="22"/>
        <v>45987</v>
      </c>
      <c r="B34" s="432" t="s">
        <v>431</v>
      </c>
      <c r="C34" s="433" t="s">
        <v>565</v>
      </c>
      <c r="D34" s="437">
        <f>+'26'!F42</f>
        <v>1183.3333333333333</v>
      </c>
      <c r="E34" s="437">
        <f>+'26'!G42</f>
        <v>982.16666666666663</v>
      </c>
      <c r="F34" s="47">
        <f t="shared" si="0"/>
        <v>0.16999999999999993</v>
      </c>
      <c r="G34" s="442">
        <f t="shared" si="23"/>
        <v>1.0051993363434224</v>
      </c>
      <c r="H34" s="440">
        <f t="shared" si="24"/>
        <v>0.95541034645760348</v>
      </c>
      <c r="I34" s="440">
        <f t="shared" si="25"/>
        <v>0.98188059883402057</v>
      </c>
      <c r="J34" s="444">
        <f t="shared" si="26"/>
        <v>0.93809888311201073</v>
      </c>
      <c r="K34" s="444">
        <f t="shared" si="27"/>
        <v>0.89667110330686939</v>
      </c>
      <c r="L34" s="304">
        <f>+Efficiency1!K137</f>
        <v>51.52655106000001</v>
      </c>
      <c r="M34" s="13">
        <f t="shared" si="28"/>
        <v>1418.3595248131344</v>
      </c>
      <c r="N34" s="304">
        <f>+Efficiency1!C137</f>
        <v>48.974365800000001</v>
      </c>
      <c r="O34" s="13">
        <f t="shared" si="28"/>
        <v>1374.5819986430122</v>
      </c>
      <c r="P34" s="300">
        <f>'26'!I38</f>
        <v>49.229000000000006</v>
      </c>
      <c r="Q34" s="13">
        <f t="shared" si="29"/>
        <v>1303.29</v>
      </c>
      <c r="R34" s="15">
        <f>'26'!I40</f>
        <v>48.337000000000003</v>
      </c>
      <c r="S34" s="301">
        <f t="shared" si="30"/>
        <v>1271.8020000000001</v>
      </c>
      <c r="T34" s="7">
        <f t="shared" si="1"/>
        <v>0.98188059883402057</v>
      </c>
      <c r="U34" s="7">
        <f t="shared" si="2"/>
        <v>0.97583960592040153</v>
      </c>
      <c r="V34" s="302">
        <f t="shared" si="3"/>
        <v>0.93809888311201073</v>
      </c>
      <c r="W34" s="303">
        <f t="shared" si="4"/>
        <v>0.89667110330686939</v>
      </c>
      <c r="X34" s="301"/>
      <c r="Y34" s="301"/>
      <c r="Z34" s="6"/>
      <c r="AA34" s="301"/>
      <c r="AB34" s="96">
        <f>+[2]Report1!AY34</f>
        <v>5103.9969869591823</v>
      </c>
      <c r="AC34" s="13">
        <f t="shared" si="31"/>
        <v>132128.23483541221</v>
      </c>
      <c r="AD34" s="299">
        <f t="shared" si="5"/>
        <v>103.67866474962281</v>
      </c>
      <c r="AE34" s="299">
        <f t="shared" si="6"/>
        <v>101.38053298606773</v>
      </c>
      <c r="AF34" s="305">
        <f t="shared" si="7"/>
        <v>105.59192723915804</v>
      </c>
      <c r="AG34" s="299">
        <f t="shared" si="8"/>
        <v>103.89057010085862</v>
      </c>
      <c r="AH34" s="550">
        <v>68.3</v>
      </c>
      <c r="AI34" s="301">
        <f t="shared" si="32"/>
        <v>1752.5</v>
      </c>
      <c r="AJ34" s="307">
        <f t="shared" si="9"/>
        <v>1.3873936094578396</v>
      </c>
      <c r="AK34" s="307">
        <f t="shared" si="10"/>
        <v>1.3446738638369051</v>
      </c>
      <c r="AL34" s="304">
        <f t="shared" si="11"/>
        <v>1.4129962554564826</v>
      </c>
      <c r="AM34" s="307">
        <f t="shared" si="12"/>
        <v>1.3779660670450273</v>
      </c>
      <c r="AN34" s="96">
        <v>9.6</v>
      </c>
      <c r="AO34" s="301">
        <f t="shared" si="33"/>
        <v>258.8</v>
      </c>
      <c r="AP34" s="307">
        <f t="shared" si="34"/>
        <v>0.19500700806435228</v>
      </c>
      <c r="AQ34" s="307">
        <f t="shared" si="35"/>
        <v>0.19857437715320458</v>
      </c>
      <c r="AR34" s="304">
        <f t="shared" si="36"/>
        <v>0.19860562302170179</v>
      </c>
      <c r="AS34" s="307">
        <f t="shared" si="37"/>
        <v>0.20349079495078634</v>
      </c>
      <c r="AT34" s="306">
        <f>'26'!I46</f>
        <v>44844.460000000057</v>
      </c>
      <c r="AU34" s="301">
        <f t="shared" si="38"/>
        <v>1034461.7399999999</v>
      </c>
      <c r="AV34" s="307">
        <f t="shared" si="13"/>
        <v>910.93583050640984</v>
      </c>
      <c r="AW34" s="307">
        <f t="shared" si="14"/>
        <v>793.73104988145371</v>
      </c>
      <c r="AX34" s="307">
        <f t="shared" si="15"/>
        <v>927.74603305956214</v>
      </c>
      <c r="AY34" s="307">
        <f t="shared" si="16"/>
        <v>813.38269636311293</v>
      </c>
      <c r="AZ34" s="306">
        <f>+Listrik!S33</f>
        <v>21645.500000000073</v>
      </c>
      <c r="BA34" s="301">
        <f t="shared" si="39"/>
        <v>631770.41099999996</v>
      </c>
      <c r="BB34" s="307">
        <f t="shared" si="17"/>
        <v>439.69002011009911</v>
      </c>
      <c r="BC34" s="307">
        <f t="shared" si="40"/>
        <v>484.7504477130953</v>
      </c>
      <c r="BD34" s="307">
        <f t="shared" si="18"/>
        <v>447.80395969961052</v>
      </c>
      <c r="BE34" s="307">
        <f t="shared" si="19"/>
        <v>496.75217604627125</v>
      </c>
      <c r="BF34" s="585">
        <f>+Listrik!V33</f>
        <v>289.70000000001164</v>
      </c>
      <c r="BG34" s="587">
        <f t="shared" si="41"/>
        <v>7950</v>
      </c>
      <c r="BH34" s="586">
        <f t="shared" si="44"/>
        <v>5.8847427329422013</v>
      </c>
      <c r="BI34" s="586">
        <f t="shared" si="44"/>
        <v>6.0999470570632779</v>
      </c>
      <c r="BJ34" s="586">
        <f t="shared" si="42"/>
        <v>5.9933384363947217</v>
      </c>
      <c r="BK34" s="586">
        <f t="shared" si="42"/>
        <v>6.250973028820523</v>
      </c>
      <c r="BL34" s="535">
        <f>+Efficiency2!K137</f>
        <v>51.52655106000001</v>
      </c>
      <c r="BM34" s="536">
        <f t="shared" si="43"/>
        <v>1418.3595248131344</v>
      </c>
      <c r="BN34" s="537">
        <f t="shared" si="20"/>
        <v>0.93809888311201073</v>
      </c>
      <c r="BO34" s="537">
        <f t="shared" si="21"/>
        <v>0.89667110330686939</v>
      </c>
    </row>
    <row r="35" spans="1:67">
      <c r="A35" s="17">
        <f t="shared" si="22"/>
        <v>45988</v>
      </c>
      <c r="B35" s="432" t="s">
        <v>431</v>
      </c>
      <c r="C35" s="433" t="s">
        <v>565</v>
      </c>
      <c r="D35" s="437">
        <f>+'27'!F42</f>
        <v>1231.8992248062016</v>
      </c>
      <c r="E35" s="437">
        <f>+'27'!G42</f>
        <v>975.96472868217052</v>
      </c>
      <c r="F35" s="47">
        <f t="shared" si="0"/>
        <v>0.20775603309945567</v>
      </c>
      <c r="G35" s="442">
        <f t="shared" si="23"/>
        <v>0.86049925799407279</v>
      </c>
      <c r="H35" s="440">
        <f t="shared" si="24"/>
        <v>0.81229760066606138</v>
      </c>
      <c r="I35" s="440">
        <f t="shared" si="25"/>
        <v>0.92706881980767908</v>
      </c>
      <c r="J35" s="444">
        <f t="shared" si="26"/>
        <v>0.75305577798209489</v>
      </c>
      <c r="K35" s="444">
        <f t="shared" si="27"/>
        <v>0.89141350273827458</v>
      </c>
      <c r="L35" s="304">
        <f>+Efficiency1!K142</f>
        <v>53.897733988258501</v>
      </c>
      <c r="M35" s="13">
        <f t="shared" si="28"/>
        <v>1472.2572588013929</v>
      </c>
      <c r="N35" s="304">
        <f>+Efficiency1!C142</f>
        <v>50.878602849767447</v>
      </c>
      <c r="O35" s="13">
        <f t="shared" si="28"/>
        <v>1425.4606014927797</v>
      </c>
      <c r="P35" s="300">
        <f>'27'!I38</f>
        <v>43.781000000000006</v>
      </c>
      <c r="Q35" s="13">
        <f t="shared" si="29"/>
        <v>1347.0709999999999</v>
      </c>
      <c r="R35" s="15">
        <f>'27'!I40</f>
        <v>40.588000000000001</v>
      </c>
      <c r="S35" s="301">
        <f t="shared" si="30"/>
        <v>1312.39</v>
      </c>
      <c r="T35" s="7">
        <f t="shared" si="1"/>
        <v>0.92706881980767908</v>
      </c>
      <c r="U35" s="7">
        <f t="shared" si="2"/>
        <v>0.97425451219720427</v>
      </c>
      <c r="V35" s="302">
        <f t="shared" si="3"/>
        <v>0.75305577798209489</v>
      </c>
      <c r="W35" s="303">
        <f t="shared" si="4"/>
        <v>0.89141350273827458</v>
      </c>
      <c r="X35" s="301"/>
      <c r="Y35" s="301"/>
      <c r="Z35" s="6"/>
      <c r="AA35" s="301"/>
      <c r="AB35" s="96">
        <f>+[2]Report1!AY35</f>
        <v>4547.0984779411765</v>
      </c>
      <c r="AC35" s="13">
        <f t="shared" si="31"/>
        <v>136675.33331335339</v>
      </c>
      <c r="AD35" s="299">
        <f t="shared" si="5"/>
        <v>103.86008720543559</v>
      </c>
      <c r="AE35" s="299">
        <f t="shared" si="6"/>
        <v>101.4611206932325</v>
      </c>
      <c r="AF35" s="305">
        <f t="shared" si="7"/>
        <v>112.03061195282292</v>
      </c>
      <c r="AG35" s="299">
        <f t="shared" si="8"/>
        <v>104.14231540422693</v>
      </c>
      <c r="AH35" s="550">
        <v>61.9</v>
      </c>
      <c r="AI35" s="301">
        <f t="shared" si="32"/>
        <v>1814.4</v>
      </c>
      <c r="AJ35" s="307">
        <f t="shared" si="9"/>
        <v>1.4138553253694524</v>
      </c>
      <c r="AK35" s="307">
        <f t="shared" si="10"/>
        <v>1.346922322579879</v>
      </c>
      <c r="AL35" s="304">
        <f t="shared" si="11"/>
        <v>1.5250813048191583</v>
      </c>
      <c r="AM35" s="307">
        <f t="shared" si="12"/>
        <v>1.3825158679965559</v>
      </c>
      <c r="AN35" s="96">
        <v>8.4</v>
      </c>
      <c r="AO35" s="301">
        <f t="shared" si="33"/>
        <v>267.2</v>
      </c>
      <c r="AP35" s="307">
        <f t="shared" si="34"/>
        <v>0.1918640506155638</v>
      </c>
      <c r="AQ35" s="307">
        <f t="shared" si="35"/>
        <v>0.19835628560038782</v>
      </c>
      <c r="AR35" s="304">
        <f t="shared" si="36"/>
        <v>0.20695772149403766</v>
      </c>
      <c r="AS35" s="307">
        <f t="shared" si="37"/>
        <v>0.20359801583370796</v>
      </c>
      <c r="AT35" s="306">
        <f>'27'!I46</f>
        <v>40597.779999999977</v>
      </c>
      <c r="AU35" s="301">
        <f t="shared" si="38"/>
        <v>1075059.5199999998</v>
      </c>
      <c r="AV35" s="307">
        <f t="shared" si="13"/>
        <v>927.2922043808951</v>
      </c>
      <c r="AW35" s="307">
        <f t="shared" si="14"/>
        <v>798.07190563823269</v>
      </c>
      <c r="AX35" s="307">
        <f t="shared" si="15"/>
        <v>1000.240957918596</v>
      </c>
      <c r="AY35" s="307">
        <f t="shared" si="16"/>
        <v>819.16162116444025</v>
      </c>
      <c r="AZ35" s="306">
        <f>+Listrik!S34</f>
        <v>17920.357999999818</v>
      </c>
      <c r="BA35" s="301">
        <f t="shared" si="39"/>
        <v>649690.76899999974</v>
      </c>
      <c r="BB35" s="307">
        <f t="shared" si="17"/>
        <v>409.31815170964154</v>
      </c>
      <c r="BC35" s="307">
        <f t="shared" si="40"/>
        <v>482.29883131624075</v>
      </c>
      <c r="BD35" s="307">
        <f t="shared" si="18"/>
        <v>441.51862619492999</v>
      </c>
      <c r="BE35" s="307">
        <f t="shared" si="19"/>
        <v>495.04398006690064</v>
      </c>
      <c r="BF35" s="585">
        <f>+Listrik!V34</f>
        <v>282.0000000000291</v>
      </c>
      <c r="BG35" s="587">
        <f t="shared" si="41"/>
        <v>8232.0000000000291</v>
      </c>
      <c r="BH35" s="586">
        <f>IF(AND(L35&gt;0,BF35&gt;0),(BF35/(P35*1000)*1000),0)</f>
        <v>6.4411502706660206</v>
      </c>
      <c r="BI35" s="586">
        <f t="shared" si="44"/>
        <v>6.1110364635568795</v>
      </c>
      <c r="BJ35" s="586">
        <f t="shared" si="42"/>
        <v>6.9478663644434091</v>
      </c>
      <c r="BK35" s="586">
        <f t="shared" si="42"/>
        <v>6.2725256973918029</v>
      </c>
      <c r="BL35" s="535">
        <f>+Efficiency2!K142</f>
        <v>53.897733988258501</v>
      </c>
      <c r="BM35" s="536">
        <f t="shared" si="43"/>
        <v>1472.2572588013929</v>
      </c>
      <c r="BN35" s="537">
        <f t="shared" si="20"/>
        <v>0.75305577798209489</v>
      </c>
      <c r="BO35" s="537">
        <f t="shared" si="21"/>
        <v>0.89141350273827458</v>
      </c>
    </row>
    <row r="36" spans="1:67">
      <c r="A36" s="17">
        <f t="shared" si="22"/>
        <v>45989</v>
      </c>
      <c r="B36" s="432" t="s">
        <v>431</v>
      </c>
      <c r="C36" s="433" t="s">
        <v>565</v>
      </c>
      <c r="D36" s="437">
        <f>+'28'!F42</f>
        <v>1270</v>
      </c>
      <c r="E36" s="437">
        <f>+'28'!G42</f>
        <v>990.6</v>
      </c>
      <c r="F36" s="47">
        <f t="shared" si="0"/>
        <v>0.21999999999999997</v>
      </c>
      <c r="G36" s="442">
        <f t="shared" si="23"/>
        <v>1.0242035246665142</v>
      </c>
      <c r="H36" s="440">
        <f t="shared" si="24"/>
        <v>0.98168941609545146</v>
      </c>
      <c r="I36" s="440">
        <f t="shared" si="25"/>
        <v>1.0210021834869176</v>
      </c>
      <c r="J36" s="444">
        <f t="shared" si="26"/>
        <v>1.0023070373394531</v>
      </c>
      <c r="K36" s="444">
        <f t="shared" si="27"/>
        <v>0.89541053004765436</v>
      </c>
      <c r="L36" s="304">
        <f>+Efficiency1!K148</f>
        <v>55.049997599999998</v>
      </c>
      <c r="M36" s="13">
        <f t="shared" si="28"/>
        <v>1527.307256401393</v>
      </c>
      <c r="N36" s="304">
        <f>+Efficiency1!C148</f>
        <v>52.764903359999998</v>
      </c>
      <c r="O36" s="13">
        <f t="shared" si="28"/>
        <v>1478.2255048527797</v>
      </c>
      <c r="P36" s="300">
        <f>'28'!I38</f>
        <v>54.042000000000002</v>
      </c>
      <c r="Q36" s="13">
        <f t="shared" si="29"/>
        <v>1401.1129999999998</v>
      </c>
      <c r="R36" s="15">
        <f>'28'!I40</f>
        <v>55.177</v>
      </c>
      <c r="S36" s="301">
        <f t="shared" si="30"/>
        <v>1367.567</v>
      </c>
      <c r="T36" s="7">
        <f t="shared" si="1"/>
        <v>1.0210021834869176</v>
      </c>
      <c r="U36" s="7">
        <f t="shared" si="2"/>
        <v>0.97605760563209398</v>
      </c>
      <c r="V36" s="302">
        <f t="shared" si="3"/>
        <v>1.0023070373394531</v>
      </c>
      <c r="W36" s="303">
        <f t="shared" si="4"/>
        <v>0.89541053004765436</v>
      </c>
      <c r="X36" s="301"/>
      <c r="Y36" s="301"/>
      <c r="Z36" s="6"/>
      <c r="AA36" s="301"/>
      <c r="AB36" s="96">
        <f>+[2]Report1!AY36</f>
        <v>4920.9034320951769</v>
      </c>
      <c r="AC36" s="13">
        <f t="shared" si="31"/>
        <v>141596.23674544858</v>
      </c>
      <c r="AD36" s="299">
        <f t="shared" si="5"/>
        <v>91.057019209044384</v>
      </c>
      <c r="AE36" s="299">
        <f t="shared" si="6"/>
        <v>101.05982654179113</v>
      </c>
      <c r="AF36" s="305">
        <f t="shared" si="7"/>
        <v>89.183961289942857</v>
      </c>
      <c r="AG36" s="299">
        <f t="shared" si="8"/>
        <v>103.53879316000501</v>
      </c>
      <c r="AH36" s="550">
        <v>67.3</v>
      </c>
      <c r="AI36" s="301">
        <f t="shared" si="32"/>
        <v>1881.7</v>
      </c>
      <c r="AJ36" s="307">
        <f t="shared" si="9"/>
        <v>1.2453277080789016</v>
      </c>
      <c r="AK36" s="307">
        <f t="shared" si="10"/>
        <v>1.3430037405976536</v>
      </c>
      <c r="AL36" s="304">
        <f t="shared" si="11"/>
        <v>1.2197111115138555</v>
      </c>
      <c r="AM36" s="307">
        <f t="shared" si="12"/>
        <v>1.375947211361491</v>
      </c>
      <c r="AN36" s="96">
        <v>10.1</v>
      </c>
      <c r="AO36" s="301">
        <f t="shared" si="33"/>
        <v>277.3</v>
      </c>
      <c r="AP36" s="307">
        <f t="shared" si="34"/>
        <v>0.18689167684393618</v>
      </c>
      <c r="AQ36" s="307">
        <f t="shared" si="35"/>
        <v>0.19791408687236509</v>
      </c>
      <c r="AR36" s="304">
        <f t="shared" si="36"/>
        <v>0.18304728419450134</v>
      </c>
      <c r="AS36" s="307">
        <f t="shared" si="37"/>
        <v>0.20276885885664103</v>
      </c>
      <c r="AT36" s="306">
        <f>'28'!I46</f>
        <v>43570.799999999945</v>
      </c>
      <c r="AU36" s="301">
        <f t="shared" si="38"/>
        <v>1118630.3199999998</v>
      </c>
      <c r="AV36" s="307">
        <f t="shared" si="13"/>
        <v>806.23959142888759</v>
      </c>
      <c r="AW36" s="307">
        <f t="shared" si="14"/>
        <v>798.38693952593405</v>
      </c>
      <c r="AX36" s="307">
        <f t="shared" si="15"/>
        <v>789.65510991898702</v>
      </c>
      <c r="AY36" s="307">
        <f t="shared" si="16"/>
        <v>817.97112682596162</v>
      </c>
      <c r="AZ36" s="306">
        <f>+Listrik!S35</f>
        <v>24886.071000000244</v>
      </c>
      <c r="BA36" s="301">
        <f t="shared" si="39"/>
        <v>674576.84</v>
      </c>
      <c r="BB36" s="307">
        <f t="shared" si="17"/>
        <v>460.49500388587103</v>
      </c>
      <c r="BC36" s="307">
        <f t="shared" si="40"/>
        <v>481.45784101639202</v>
      </c>
      <c r="BD36" s="307">
        <f t="shared" si="18"/>
        <v>451.02254562589928</v>
      </c>
      <c r="BE36" s="307">
        <f t="shared" si="19"/>
        <v>493.26785451827953</v>
      </c>
      <c r="BF36" s="585">
        <f>+Listrik!V35</f>
        <v>404.19999999998254</v>
      </c>
      <c r="BG36" s="587">
        <f t="shared" si="41"/>
        <v>8636.2000000000116</v>
      </c>
      <c r="BH36" s="586">
        <f t="shared" si="44"/>
        <v>7.4793678990411632</v>
      </c>
      <c r="BI36" s="586">
        <f t="shared" si="44"/>
        <v>6.1638140535417296</v>
      </c>
      <c r="BJ36" s="586">
        <f t="shared" si="42"/>
        <v>7.3255160664766574</v>
      </c>
      <c r="BK36" s="586">
        <f t="shared" si="42"/>
        <v>6.3150105259925189</v>
      </c>
      <c r="BL36" s="535">
        <f>+Efficiency2!K148</f>
        <v>55.049997599999998</v>
      </c>
      <c r="BM36" s="536">
        <f t="shared" si="43"/>
        <v>1527.307256401393</v>
      </c>
      <c r="BN36" s="537">
        <f t="shared" si="20"/>
        <v>1.0023070373394531</v>
      </c>
      <c r="BO36" s="537">
        <f t="shared" si="21"/>
        <v>0.89541053004765436</v>
      </c>
    </row>
    <row r="37" spans="1:67">
      <c r="A37" s="17">
        <f t="shared" si="22"/>
        <v>45990</v>
      </c>
      <c r="B37" s="432" t="s">
        <v>431</v>
      </c>
      <c r="C37" s="433" t="s">
        <v>565</v>
      </c>
      <c r="D37" s="437">
        <f>+'29'!F42</f>
        <v>1280</v>
      </c>
      <c r="E37" s="437">
        <f>+'29'!G42</f>
        <v>998.4</v>
      </c>
      <c r="F37" s="47">
        <f t="shared" si="0"/>
        <v>0.21999999999999997</v>
      </c>
      <c r="G37" s="442">
        <f t="shared" si="23"/>
        <v>1.0146412085175096</v>
      </c>
      <c r="H37" s="440">
        <f t="shared" si="24"/>
        <v>0.98018169577540559</v>
      </c>
      <c r="I37" s="440">
        <f t="shared" si="25"/>
        <v>0.94432810096554787</v>
      </c>
      <c r="J37" s="444">
        <f t="shared" si="26"/>
        <v>0.92561311937277901</v>
      </c>
      <c r="K37" s="444">
        <f t="shared" si="27"/>
        <v>0.8964612740978094</v>
      </c>
      <c r="L37" s="304">
        <f>+Efficiency1!K153</f>
        <v>55.049997599999998</v>
      </c>
      <c r="M37" s="13">
        <f t="shared" si="28"/>
        <v>1582.3572540013931</v>
      </c>
      <c r="N37" s="304">
        <f>+Efficiency1!C153</f>
        <v>53.180375040000001</v>
      </c>
      <c r="O37" s="13">
        <f t="shared" si="28"/>
        <v>1531.4058798927797</v>
      </c>
      <c r="P37" s="300">
        <f>'29'!I38</f>
        <v>53.959000000000003</v>
      </c>
      <c r="Q37" s="13">
        <f t="shared" si="29"/>
        <v>1455.0719999999999</v>
      </c>
      <c r="R37" s="15">
        <f>'29'!I40</f>
        <v>50.954999999999998</v>
      </c>
      <c r="S37" s="301">
        <f t="shared" si="30"/>
        <v>1418.5219999999999</v>
      </c>
      <c r="T37" s="7">
        <f t="shared" si="1"/>
        <v>0.94432810096554787</v>
      </c>
      <c r="U37" s="7">
        <f t="shared" si="2"/>
        <v>0.9748809680895516</v>
      </c>
      <c r="V37" s="302">
        <f t="shared" si="3"/>
        <v>0.92561311937277901</v>
      </c>
      <c r="W37" s="303">
        <f t="shared" si="4"/>
        <v>0.8964612740978094</v>
      </c>
      <c r="X37" s="301"/>
      <c r="Y37" s="301"/>
      <c r="Z37" s="6"/>
      <c r="AA37" s="301"/>
      <c r="AB37" s="96">
        <f>+[2]Report1!AY37</f>
        <v>4830.1226655049813</v>
      </c>
      <c r="AC37" s="13">
        <f t="shared" si="31"/>
        <v>146426.35941095356</v>
      </c>
      <c r="AD37" s="299">
        <f t="shared" si="5"/>
        <v>89.514680878166402</v>
      </c>
      <c r="AE37" s="299">
        <f t="shared" si="6"/>
        <v>100.63169342201181</v>
      </c>
      <c r="AF37" s="305">
        <f t="shared" si="7"/>
        <v>94.791927494946151</v>
      </c>
      <c r="AG37" s="299">
        <f t="shared" si="8"/>
        <v>103.2245953259474</v>
      </c>
      <c r="AH37" s="550">
        <v>66.900000000000006</v>
      </c>
      <c r="AI37" s="301">
        <f t="shared" si="32"/>
        <v>1948.6000000000001</v>
      </c>
      <c r="AJ37" s="307">
        <f t="shared" si="9"/>
        <v>1.239830241479642</v>
      </c>
      <c r="AK37" s="307">
        <f t="shared" si="10"/>
        <v>1.339177717666205</v>
      </c>
      <c r="AL37" s="304">
        <f t="shared" si="11"/>
        <v>1.312923167500736</v>
      </c>
      <c r="AM37" s="307">
        <f t="shared" si="12"/>
        <v>1.3736833126310344</v>
      </c>
      <c r="AN37" s="96">
        <v>10.199999999999999</v>
      </c>
      <c r="AO37" s="301">
        <f t="shared" si="33"/>
        <v>287.5</v>
      </c>
      <c r="AP37" s="307">
        <f t="shared" si="34"/>
        <v>0.18903241349913821</v>
      </c>
      <c r="AQ37" s="307">
        <f t="shared" si="35"/>
        <v>0.19758472432979263</v>
      </c>
      <c r="AR37" s="304">
        <f t="shared" si="36"/>
        <v>0.20017662643508977</v>
      </c>
      <c r="AS37" s="307">
        <f t="shared" si="37"/>
        <v>0.20267574278016134</v>
      </c>
      <c r="AT37" s="306">
        <f>'29'!I46</f>
        <v>45881.220000000074</v>
      </c>
      <c r="AU37" s="301">
        <f t="shared" si="38"/>
        <v>1164511.5399999998</v>
      </c>
      <c r="AV37" s="307">
        <f t="shared" si="13"/>
        <v>850.29781871421028</v>
      </c>
      <c r="AW37" s="307">
        <f t="shared" si="14"/>
        <v>800.31197081656421</v>
      </c>
      <c r="AX37" s="307">
        <f t="shared" si="15"/>
        <v>900.42625846335147</v>
      </c>
      <c r="AY37" s="307">
        <f t="shared" si="16"/>
        <v>820.93301337589401</v>
      </c>
      <c r="AZ37" s="306">
        <f>+Listrik!S36</f>
        <v>24126.427199999751</v>
      </c>
      <c r="BA37" s="301">
        <f t="shared" si="39"/>
        <v>698703.26719999977</v>
      </c>
      <c r="BB37" s="307">
        <f t="shared" si="17"/>
        <v>447.12517281639305</v>
      </c>
      <c r="BC37" s="307">
        <f t="shared" si="40"/>
        <v>480.18466934969524</v>
      </c>
      <c r="BD37" s="307">
        <f t="shared" si="18"/>
        <v>473.48498086546465</v>
      </c>
      <c r="BE37" s="307">
        <f t="shared" si="19"/>
        <v>492.55723013107996</v>
      </c>
      <c r="BF37" s="585">
        <f>+Listrik!V36</f>
        <v>337.51999999996042</v>
      </c>
      <c r="BG37" s="587">
        <f t="shared" si="41"/>
        <v>8973.7199999999721</v>
      </c>
      <c r="BH37" s="586">
        <f t="shared" si="44"/>
        <v>6.2551196278648673</v>
      </c>
      <c r="BI37" s="586">
        <f t="shared" si="44"/>
        <v>6.1671999736095344</v>
      </c>
      <c r="BJ37" s="586">
        <f t="shared" si="42"/>
        <v>6.6238838190552531</v>
      </c>
      <c r="BK37" s="586">
        <f t="shared" si="42"/>
        <v>6.3261056226128121</v>
      </c>
      <c r="BL37" s="535">
        <f>+Efficiency2!K153</f>
        <v>55.049997599999998</v>
      </c>
      <c r="BM37" s="536">
        <f t="shared" si="43"/>
        <v>1582.3572540013931</v>
      </c>
      <c r="BN37" s="537">
        <f t="shared" si="20"/>
        <v>0.92561311937277901</v>
      </c>
      <c r="BO37" s="537">
        <f t="shared" si="21"/>
        <v>0.8964612740978094</v>
      </c>
    </row>
    <row r="38" spans="1:67">
      <c r="A38" s="17">
        <f t="shared" si="22"/>
        <v>45991</v>
      </c>
      <c r="B38" s="432" t="s">
        <v>431</v>
      </c>
      <c r="C38" s="433" t="s">
        <v>433</v>
      </c>
      <c r="D38" s="437">
        <f>+'30'!F42</f>
        <v>1273.125</v>
      </c>
      <c r="E38" s="437">
        <f>+'30'!G42</f>
        <v>993.03750000000002</v>
      </c>
      <c r="F38" s="47">
        <f t="shared" si="0"/>
        <v>0.21999999999999997</v>
      </c>
      <c r="G38" s="442">
        <f t="shared" si="23"/>
        <v>0.9620540520235541</v>
      </c>
      <c r="H38" s="440">
        <f t="shared" si="24"/>
        <v>0.92560969189853726</v>
      </c>
      <c r="I38" s="440">
        <f t="shared" si="25"/>
        <v>0.97652001492039187</v>
      </c>
      <c r="J38" s="444">
        <f t="shared" si="26"/>
        <v>0.90387639014321897</v>
      </c>
      <c r="K38" s="444">
        <f t="shared" si="27"/>
        <v>0.89671048774219353</v>
      </c>
      <c r="L38" s="304">
        <f>+SUM(Efficiency1!K158:K159)</f>
        <v>55.030754805000001</v>
      </c>
      <c r="M38" s="13">
        <f t="shared" si="28"/>
        <v>1637.3880088063931</v>
      </c>
      <c r="N38" s="304">
        <f>+SUM(Efficiency1!C158:C159)</f>
        <v>52.946089560000004</v>
      </c>
      <c r="O38" s="13">
        <f t="shared" si="28"/>
        <v>1584.3519694527797</v>
      </c>
      <c r="P38" s="300">
        <f>'30'!I38</f>
        <v>50.936999999999998</v>
      </c>
      <c r="Q38" s="13">
        <f t="shared" si="29"/>
        <v>1506.0089999999998</v>
      </c>
      <c r="R38" s="15">
        <f>'30'!I40</f>
        <v>49.741</v>
      </c>
      <c r="S38" s="301">
        <f t="shared" si="30"/>
        <v>1468.2629999999999</v>
      </c>
      <c r="T38" s="7">
        <f t="shared" si="1"/>
        <v>0.97652001492039187</v>
      </c>
      <c r="U38" s="7">
        <f t="shared" si="2"/>
        <v>0.97493640476252141</v>
      </c>
      <c r="V38" s="302">
        <f t="shared" si="3"/>
        <v>0.90387639014321897</v>
      </c>
      <c r="W38" s="303">
        <f t="shared" si="4"/>
        <v>0.89671048774219353</v>
      </c>
      <c r="X38" s="301"/>
      <c r="Y38" s="301"/>
      <c r="Z38" s="6"/>
      <c r="AA38" s="301"/>
      <c r="AB38" s="96">
        <f>+[2]Report1!AY38</f>
        <v>4985.3484513274334</v>
      </c>
      <c r="AC38" s="13">
        <f t="shared" si="31"/>
        <v>151411.70786228101</v>
      </c>
      <c r="AD38" s="299">
        <f t="shared" si="5"/>
        <v>97.872832152019825</v>
      </c>
      <c r="AE38" s="299">
        <f t="shared" si="6"/>
        <v>100.53838181729394</v>
      </c>
      <c r="AF38" s="305">
        <f t="shared" si="7"/>
        <v>100.22614043399678</v>
      </c>
      <c r="AG38" s="299">
        <f t="shared" si="8"/>
        <v>103.12301533327545</v>
      </c>
      <c r="AH38" s="550">
        <v>66.7</v>
      </c>
      <c r="AI38" s="301">
        <f t="shared" si="32"/>
        <v>2015.3000000000002</v>
      </c>
      <c r="AJ38" s="307">
        <f t="shared" si="9"/>
        <v>1.3094607063627619</v>
      </c>
      <c r="AK38" s="307">
        <f t="shared" si="10"/>
        <v>1.3381726138422814</v>
      </c>
      <c r="AL38" s="304">
        <f t="shared" si="11"/>
        <v>1.3409461008021553</v>
      </c>
      <c r="AM38" s="307">
        <f t="shared" si="12"/>
        <v>1.3725742595161767</v>
      </c>
      <c r="AN38" s="96">
        <v>9.8000000000000007</v>
      </c>
      <c r="AO38" s="301">
        <f t="shared" si="33"/>
        <v>297.3</v>
      </c>
      <c r="AP38" s="307">
        <f t="shared" si="34"/>
        <v>0.19239452657203998</v>
      </c>
      <c r="AQ38" s="307">
        <f t="shared" si="35"/>
        <v>0.19740917882960862</v>
      </c>
      <c r="AR38" s="304">
        <f t="shared" si="36"/>
        <v>0.1970205665346495</v>
      </c>
      <c r="AS38" s="307">
        <f t="shared" si="37"/>
        <v>0.20248415985419507</v>
      </c>
      <c r="AT38" s="306">
        <f>'30'!I46</f>
        <v>44026.60000000002</v>
      </c>
      <c r="AU38" s="301">
        <f t="shared" si="38"/>
        <v>1208538.1399999999</v>
      </c>
      <c r="AV38" s="307">
        <f t="shared" si="13"/>
        <v>864.33437383434477</v>
      </c>
      <c r="AW38" s="307">
        <f t="shared" si="14"/>
        <v>802.4773689931468</v>
      </c>
      <c r="AX38" s="307">
        <f t="shared" si="15"/>
        <v>885.1169055708574</v>
      </c>
      <c r="AY38" s="307">
        <f t="shared" si="16"/>
        <v>823.10739969610347</v>
      </c>
      <c r="AZ38" s="306">
        <f>+Listrik!S37</f>
        <v>23744.557200000509</v>
      </c>
      <c r="BA38" s="301">
        <f t="shared" si="39"/>
        <v>722447.82440000027</v>
      </c>
      <c r="BB38" s="307">
        <f t="shared" si="17"/>
        <v>466.1553919547776</v>
      </c>
      <c r="BC38" s="307">
        <f t="shared" si="40"/>
        <v>479.71016401628435</v>
      </c>
      <c r="BD38" s="307">
        <f t="shared" si="18"/>
        <v>477.36388894474396</v>
      </c>
      <c r="BE38" s="307">
        <f t="shared" si="19"/>
        <v>492.04251854061584</v>
      </c>
      <c r="BF38" s="585">
        <f>+Listrik!V37</f>
        <v>315.0800000000454</v>
      </c>
      <c r="BG38" s="587">
        <f t="shared" si="41"/>
        <v>9288.8000000000175</v>
      </c>
      <c r="BH38" s="586">
        <f t="shared" si="44"/>
        <v>6.1856803502374582</v>
      </c>
      <c r="BI38" s="586">
        <f t="shared" si="44"/>
        <v>6.1678250262780763</v>
      </c>
      <c r="BJ38" s="586">
        <f t="shared" si="42"/>
        <v>6.3344122554843167</v>
      </c>
      <c r="BK38" s="586">
        <f t="shared" si="42"/>
        <v>6.3263870301165506</v>
      </c>
      <c r="BL38" s="535">
        <f>+SUM(Efficiency2!K158:K159)</f>
        <v>55.030754805000001</v>
      </c>
      <c r="BM38" s="536">
        <f t="shared" si="43"/>
        <v>1637.3880088063931</v>
      </c>
      <c r="BN38" s="537">
        <f t="shared" si="20"/>
        <v>0.90387639014321897</v>
      </c>
      <c r="BO38" s="537">
        <f t="shared" si="21"/>
        <v>0.89671048774219353</v>
      </c>
    </row>
    <row r="39" spans="1:67">
      <c r="A39" s="17">
        <f>A38+1</f>
        <v>45992</v>
      </c>
      <c r="B39" s="432"/>
      <c r="C39" s="432"/>
      <c r="D39" s="437">
        <f>+'31'!F42</f>
        <v>0</v>
      </c>
      <c r="E39" s="437">
        <f>+'31'!G42</f>
        <v>0</v>
      </c>
      <c r="F39" s="47" t="e">
        <f t="shared" si="0"/>
        <v>#DIV/0!</v>
      </c>
      <c r="G39" s="442" t="e">
        <f t="shared" si="23"/>
        <v>#DIV/0!</v>
      </c>
      <c r="H39" s="440" t="e">
        <f t="shared" si="24"/>
        <v>#DIV/0!</v>
      </c>
      <c r="I39" s="440" t="e">
        <f t="shared" si="25"/>
        <v>#DIV/0!</v>
      </c>
      <c r="J39" s="444" t="e">
        <f t="shared" si="26"/>
        <v>#DIV/0!</v>
      </c>
      <c r="K39" s="444">
        <f t="shared" si="27"/>
        <v>0.89671048774219353</v>
      </c>
      <c r="L39" s="304"/>
      <c r="M39" s="13">
        <f>M38+L39</f>
        <v>1637.3880088063931</v>
      </c>
      <c r="N39" s="13"/>
      <c r="O39" s="13">
        <f>O38+N39</f>
        <v>1584.3519694527797</v>
      </c>
      <c r="P39" s="300">
        <f>'31'!I38</f>
        <v>0</v>
      </c>
      <c r="Q39" s="13">
        <f>Q38+P39</f>
        <v>1506.0089999999998</v>
      </c>
      <c r="R39" s="15">
        <f>'31'!I40</f>
        <v>0</v>
      </c>
      <c r="S39" s="301">
        <f>S38+R39</f>
        <v>1468.2629999999999</v>
      </c>
      <c r="T39" s="7" t="e">
        <f>R39/P39</f>
        <v>#DIV/0!</v>
      </c>
      <c r="U39" s="7">
        <f>S39/Q39</f>
        <v>0.97493640476252141</v>
      </c>
      <c r="V39" s="302" t="e">
        <f>R39/L39</f>
        <v>#DIV/0!</v>
      </c>
      <c r="W39" s="303">
        <f>S39/M39</f>
        <v>0.89671048774219353</v>
      </c>
      <c r="X39" s="301"/>
      <c r="Y39" s="301"/>
      <c r="Z39" s="6"/>
      <c r="AA39" s="301"/>
      <c r="AB39" s="96"/>
      <c r="AC39" s="13">
        <f>AB39+AC38</f>
        <v>151411.70786228101</v>
      </c>
      <c r="AD39" s="299" t="e">
        <f t="shared" si="5"/>
        <v>#DIV/0!</v>
      </c>
      <c r="AE39" s="299">
        <f t="shared" si="6"/>
        <v>100.53838181729394</v>
      </c>
      <c r="AF39" s="305">
        <f t="shared" si="7"/>
        <v>0</v>
      </c>
      <c r="AG39" s="299">
        <f t="shared" si="8"/>
        <v>103.12301533327545</v>
      </c>
      <c r="AH39" s="550"/>
      <c r="AI39" s="301">
        <f>AH39+AI38</f>
        <v>2015.3000000000002</v>
      </c>
      <c r="AJ39" s="307" t="e">
        <f t="shared" si="9"/>
        <v>#DIV/0!</v>
      </c>
      <c r="AK39" s="307">
        <f t="shared" si="10"/>
        <v>1.3381726138422814</v>
      </c>
      <c r="AL39" s="304">
        <f t="shared" si="11"/>
        <v>0</v>
      </c>
      <c r="AM39" s="307">
        <f t="shared" si="12"/>
        <v>1.3725742595161767</v>
      </c>
      <c r="AN39" s="96"/>
      <c r="AO39" s="301">
        <f>AN39+AO38</f>
        <v>297.3</v>
      </c>
      <c r="AP39" s="307" t="e">
        <f t="shared" si="34"/>
        <v>#DIV/0!</v>
      </c>
      <c r="AQ39" s="307">
        <f t="shared" si="35"/>
        <v>0.19740917882960862</v>
      </c>
      <c r="AR39" s="304">
        <f t="shared" si="36"/>
        <v>0</v>
      </c>
      <c r="AS39" s="307">
        <f t="shared" si="37"/>
        <v>0.20248415985419507</v>
      </c>
      <c r="AT39" s="306">
        <f>'31'!I46</f>
        <v>0</v>
      </c>
      <c r="AU39" s="301">
        <f>AT39+AU38</f>
        <v>1208538.1399999999</v>
      </c>
      <c r="AV39" s="307">
        <f t="shared" si="13"/>
        <v>0</v>
      </c>
      <c r="AW39" s="307">
        <f t="shared" si="14"/>
        <v>802.4773689931468</v>
      </c>
      <c r="AX39" s="307">
        <f t="shared" si="15"/>
        <v>0</v>
      </c>
      <c r="AY39" s="307">
        <f t="shared" si="16"/>
        <v>823.10739969610347</v>
      </c>
      <c r="AZ39" s="306">
        <f>+Listrik!S38</f>
        <v>0</v>
      </c>
      <c r="BA39" s="301">
        <f>AZ39+BA38</f>
        <v>722447.82440000027</v>
      </c>
      <c r="BB39" s="307">
        <f t="shared" si="17"/>
        <v>0</v>
      </c>
      <c r="BC39" s="307">
        <f t="shared" si="40"/>
        <v>479.71016401628435</v>
      </c>
      <c r="BD39" s="307">
        <f t="shared" si="18"/>
        <v>0</v>
      </c>
      <c r="BE39" s="307">
        <f t="shared" si="19"/>
        <v>492.04251854061584</v>
      </c>
      <c r="BF39" s="585">
        <f>+Listrik!V38</f>
        <v>0</v>
      </c>
      <c r="BG39" s="587">
        <f t="shared" si="41"/>
        <v>9288.8000000000175</v>
      </c>
      <c r="BH39" s="586">
        <f t="shared" si="44"/>
        <v>0</v>
      </c>
      <c r="BI39" s="586">
        <f t="shared" si="44"/>
        <v>6.1678250262780763</v>
      </c>
      <c r="BJ39" s="586">
        <f t="shared" ref="BJ39:BK39" si="45">IF(AND(R39&gt;0,BF39&gt;0),(BF39/(R39*1000)*1000),0)</f>
        <v>0</v>
      </c>
      <c r="BK39" s="586">
        <f t="shared" si="45"/>
        <v>6.3263870301165506</v>
      </c>
      <c r="BL39" s="535"/>
      <c r="BM39" s="536">
        <f>BM38+BL39</f>
        <v>1637.3880088063931</v>
      </c>
      <c r="BN39" s="537" t="e">
        <f t="shared" si="20"/>
        <v>#DIV/0!</v>
      </c>
      <c r="BO39" s="537">
        <f t="shared" si="21"/>
        <v>0.89671048774219353</v>
      </c>
    </row>
    <row r="40" spans="1:67" ht="13.5" thickBot="1">
      <c r="A40" s="17"/>
      <c r="B40" s="308"/>
      <c r="C40" s="308"/>
      <c r="D40" s="438"/>
      <c r="E40" s="438"/>
      <c r="F40" s="308"/>
      <c r="G40" s="442"/>
      <c r="H40" s="440"/>
      <c r="I40" s="440"/>
      <c r="J40" s="444" t="e">
        <f t="shared" si="26"/>
        <v>#DIV/0!</v>
      </c>
      <c r="K40" s="444" t="e">
        <f t="shared" si="27"/>
        <v>#DIV/0!</v>
      </c>
      <c r="L40" s="316"/>
      <c r="M40" s="309"/>
      <c r="N40" s="309"/>
      <c r="O40" s="309"/>
      <c r="P40" s="310"/>
      <c r="Q40" s="309"/>
      <c r="R40" s="311"/>
      <c r="S40" s="312"/>
      <c r="T40" s="313"/>
      <c r="U40" s="313"/>
      <c r="V40" s="314"/>
      <c r="W40" s="315"/>
      <c r="X40" s="312"/>
      <c r="Y40" s="312"/>
      <c r="Z40" s="317"/>
      <c r="AA40" s="312"/>
      <c r="AB40" s="312"/>
      <c r="AC40" s="309"/>
      <c r="AD40" s="318"/>
      <c r="AE40" s="318"/>
      <c r="AF40" s="319"/>
      <c r="AG40" s="318"/>
      <c r="AH40" s="312"/>
      <c r="AI40" s="312"/>
      <c r="AJ40" s="307"/>
      <c r="AK40" s="320"/>
      <c r="AL40" s="316"/>
      <c r="AM40" s="320"/>
      <c r="AN40" s="312"/>
      <c r="AO40" s="312"/>
      <c r="AP40" s="320"/>
      <c r="AQ40" s="320"/>
      <c r="AR40" s="316"/>
      <c r="AS40" s="320"/>
      <c r="AT40" s="312"/>
      <c r="AU40" s="312"/>
      <c r="AV40" s="320"/>
      <c r="AW40" s="320"/>
      <c r="AX40" s="320"/>
      <c r="AY40" s="320"/>
      <c r="AZ40" s="312"/>
      <c r="BA40" s="312"/>
      <c r="BB40" s="320"/>
      <c r="BC40" s="320"/>
      <c r="BD40" s="320"/>
      <c r="BE40" s="320"/>
      <c r="BF40" s="588"/>
      <c r="BG40" s="588"/>
      <c r="BH40" s="589"/>
      <c r="BI40" s="589"/>
      <c r="BJ40" s="589"/>
      <c r="BK40" s="589"/>
      <c r="BL40" s="538"/>
      <c r="BM40" s="539"/>
      <c r="BN40" s="537"/>
      <c r="BO40" s="540"/>
    </row>
    <row r="41" spans="1:67" ht="14.25" thickTop="1" thickBot="1">
      <c r="A41" s="321"/>
      <c r="B41" s="322"/>
      <c r="C41" s="322"/>
      <c r="D41" s="439"/>
      <c r="E41" s="439"/>
      <c r="F41" s="322"/>
      <c r="G41" s="442">
        <f t="shared" si="23"/>
        <v>0.95055204211988398</v>
      </c>
      <c r="H41" s="440">
        <f>+P41/L41</f>
        <v>0.91976305670995795</v>
      </c>
      <c r="I41" s="440">
        <f t="shared" si="25"/>
        <v>0.97493640476252141</v>
      </c>
      <c r="J41" s="444">
        <f t="shared" si="26"/>
        <v>0.89671048774219353</v>
      </c>
      <c r="K41" s="451"/>
      <c r="L41" s="329">
        <f>SUM(L9:L39)</f>
        <v>1637.3880088063931</v>
      </c>
      <c r="M41" s="323"/>
      <c r="N41" s="329">
        <f>SUM(N9:N39)</f>
        <v>1584.3519694527797</v>
      </c>
      <c r="O41" s="323"/>
      <c r="P41" s="323">
        <f>SUM(P9:P39)</f>
        <v>1506.0089999999998</v>
      </c>
      <c r="Q41" s="323"/>
      <c r="R41" s="323">
        <f>SUM(R9:R39)</f>
        <v>1468.2629999999999</v>
      </c>
      <c r="S41" s="323"/>
      <c r="T41" s="324">
        <f>R41/P41</f>
        <v>0.97493640476252141</v>
      </c>
      <c r="U41" s="325"/>
      <c r="V41" s="326">
        <f>(R41/L41)</f>
        <v>0.89671048774219353</v>
      </c>
      <c r="W41" s="327"/>
      <c r="X41" s="325"/>
      <c r="Y41" s="325">
        <f>Y38+X41</f>
        <v>0</v>
      </c>
      <c r="Z41" s="328">
        <f>IF(AND(R41&gt;0,X41&gt;0),X41/R41*1000,0)</f>
        <v>0</v>
      </c>
      <c r="AA41" s="325">
        <f>IF(AND(S41&gt;0,Y41&gt;0),Y41/S41*1000,0)</f>
        <v>0</v>
      </c>
      <c r="AB41" s="329">
        <f>SUM(AB9:AB39)</f>
        <v>151411.70786228101</v>
      </c>
      <c r="AC41" s="329"/>
      <c r="AD41" s="330">
        <f>AB41/P41</f>
        <v>100.53838181729394</v>
      </c>
      <c r="AE41" s="330"/>
      <c r="AF41" s="331">
        <f>AB41/R41</f>
        <v>103.12301533327545</v>
      </c>
      <c r="AG41" s="330"/>
      <c r="AH41" s="325">
        <f>SUM(AH9:AH40)</f>
        <v>2015.3000000000002</v>
      </c>
      <c r="AI41" s="325"/>
      <c r="AJ41" s="332">
        <f>AH41/P41</f>
        <v>1.3381726138422814</v>
      </c>
      <c r="AK41" s="332"/>
      <c r="AL41" s="333">
        <f>AH41/R41</f>
        <v>1.3725742595161767</v>
      </c>
      <c r="AM41" s="332"/>
      <c r="AN41" s="325">
        <f>SUM(AN9:AN40)</f>
        <v>297.3</v>
      </c>
      <c r="AO41" s="325"/>
      <c r="AP41" s="332">
        <f>AN41/P41</f>
        <v>0.19740917882960862</v>
      </c>
      <c r="AQ41" s="332"/>
      <c r="AR41" s="333">
        <f>AN41/R41</f>
        <v>0.20248415985419507</v>
      </c>
      <c r="AS41" s="332"/>
      <c r="AT41" s="325">
        <f>SUM(AT9:AT39)</f>
        <v>1208538.1399999999</v>
      </c>
      <c r="AU41" s="325"/>
      <c r="AV41" s="332">
        <f>AT41/P41</f>
        <v>802.4773689931468</v>
      </c>
      <c r="AW41" s="332"/>
      <c r="AX41" s="332">
        <f>AT41/R41</f>
        <v>823.10739969610347</v>
      </c>
      <c r="AY41" s="332"/>
      <c r="AZ41" s="325">
        <f>SUM(AZ9:AZ39)</f>
        <v>722447.82440000027</v>
      </c>
      <c r="BA41" s="325"/>
      <c r="BB41" s="332">
        <f>AZ41/V41</f>
        <v>805664.5196813019</v>
      </c>
      <c r="BC41" s="332"/>
      <c r="BD41" s="332">
        <f>AZ41/R41</f>
        <v>492.0425185406159</v>
      </c>
      <c r="BE41" s="332"/>
      <c r="BF41" s="590">
        <f>SUM(BF9:BF39)</f>
        <v>9288.8000000000175</v>
      </c>
      <c r="BG41" s="590"/>
      <c r="BH41" s="591">
        <f>BF41/AP41</f>
        <v>47053.536492431966</v>
      </c>
      <c r="BI41" s="591"/>
      <c r="BJ41" s="591">
        <f>BF41/AR41</f>
        <v>45874.205699293729</v>
      </c>
      <c r="BK41" s="591"/>
      <c r="BL41" s="541">
        <f>SUM(BL9:BL39)</f>
        <v>1637.3880088063931</v>
      </c>
      <c r="BM41" s="542"/>
      <c r="BN41" s="537">
        <f>+R41/BL41</f>
        <v>0.89671048774219353</v>
      </c>
      <c r="BO41" s="540"/>
    </row>
    <row r="42" spans="1:67" ht="13.5" thickTop="1">
      <c r="S42" s="284"/>
      <c r="T42" s="284"/>
      <c r="U42" s="284"/>
      <c r="X42" s="284"/>
      <c r="Z42" s="284"/>
      <c r="AA42" s="284"/>
      <c r="AH42" s="284"/>
      <c r="AI42" s="284"/>
      <c r="AL42" s="284"/>
      <c r="AT42" s="284"/>
      <c r="AU42" s="284"/>
      <c r="BF42" s="284"/>
      <c r="BG42" s="284"/>
    </row>
    <row r="43" spans="1:67">
      <c r="S43" s="284"/>
      <c r="T43" s="284"/>
      <c r="U43" s="284"/>
      <c r="X43" s="284"/>
      <c r="Z43" s="284"/>
      <c r="AA43" s="284"/>
      <c r="AH43" s="284"/>
      <c r="AI43" s="284"/>
      <c r="AL43" s="284"/>
      <c r="AT43" s="284"/>
      <c r="AU43" s="284"/>
      <c r="BF43" s="284"/>
      <c r="BG43" s="284"/>
    </row>
    <row r="44" spans="1:67">
      <c r="S44" s="284"/>
      <c r="T44" s="284"/>
      <c r="U44" s="284"/>
      <c r="X44" s="284"/>
      <c r="Z44" s="284"/>
      <c r="AA44" s="284"/>
      <c r="AG44" s="334"/>
      <c r="AH44" s="284"/>
      <c r="AI44" s="284"/>
      <c r="AL44" s="284"/>
      <c r="AT44" s="284"/>
      <c r="AU44" s="284"/>
      <c r="BF44" s="284"/>
      <c r="BG44" s="284"/>
    </row>
    <row r="45" spans="1:67">
      <c r="R45" s="335"/>
      <c r="S45" s="336"/>
      <c r="T45" s="336"/>
      <c r="U45" s="336"/>
      <c r="V45" s="337"/>
      <c r="W45" s="338"/>
      <c r="AG45" s="334"/>
    </row>
    <row r="46" spans="1:67">
      <c r="R46" s="339"/>
      <c r="AG46" s="334"/>
    </row>
    <row r="47" spans="1:67">
      <c r="R47" s="339"/>
      <c r="AG47" s="334"/>
    </row>
    <row r="48" spans="1:67">
      <c r="R48" s="339"/>
      <c r="AG48" s="334"/>
    </row>
    <row r="49" spans="18:67">
      <c r="R49" s="339"/>
      <c r="AG49" s="334"/>
      <c r="BN49"/>
      <c r="BO49"/>
    </row>
    <row r="50" spans="18:67">
      <c r="R50" s="339"/>
      <c r="AG50" s="334"/>
      <c r="BN50"/>
      <c r="BO50"/>
    </row>
    <row r="51" spans="18:67">
      <c r="R51" s="339"/>
      <c r="AG51" s="334"/>
      <c r="BN51"/>
      <c r="BO51"/>
    </row>
    <row r="52" spans="18:67">
      <c r="R52" s="339"/>
      <c r="AG52" s="334"/>
      <c r="BN52"/>
      <c r="BO52"/>
    </row>
    <row r="53" spans="18:67">
      <c r="R53" s="339"/>
      <c r="AG53" s="334"/>
      <c r="BN53"/>
      <c r="BO53"/>
    </row>
    <row r="54" spans="18:67">
      <c r="R54" s="339"/>
      <c r="BN54"/>
      <c r="BO54"/>
    </row>
    <row r="55" spans="18:67">
      <c r="R55" s="339"/>
      <c r="BN55"/>
      <c r="BO55"/>
    </row>
    <row r="56" spans="18:67">
      <c r="R56" s="339"/>
      <c r="BN56"/>
      <c r="BO56"/>
    </row>
    <row r="57" spans="18:67">
      <c r="R57" s="339"/>
      <c r="BN57"/>
      <c r="BO57"/>
    </row>
    <row r="58" spans="18:67">
      <c r="R58" s="339"/>
      <c r="BN58"/>
      <c r="BO58"/>
    </row>
    <row r="59" spans="18:67">
      <c r="R59" s="339"/>
      <c r="BN59"/>
      <c r="BO59"/>
    </row>
    <row r="60" spans="18:67">
      <c r="BN60"/>
      <c r="BO60"/>
    </row>
    <row r="65536" spans="3:65">
      <c r="C65536" s="340"/>
      <c r="BL65536"/>
      <c r="BM65536"/>
    </row>
  </sheetData>
  <mergeCells count="45">
    <mergeCell ref="AP7:AQ7"/>
    <mergeCell ref="AJ7:AK7"/>
    <mergeCell ref="L6:M7"/>
    <mergeCell ref="A6:A8"/>
    <mergeCell ref="B6:B8"/>
    <mergeCell ref="C6:C8"/>
    <mergeCell ref="D6:D8"/>
    <mergeCell ref="J6:K7"/>
    <mergeCell ref="E6:E8"/>
    <mergeCell ref="F6:F8"/>
    <mergeCell ref="G6:G8"/>
    <mergeCell ref="H6:H8"/>
    <mergeCell ref="I6:I8"/>
    <mergeCell ref="BN6:BO7"/>
    <mergeCell ref="N6:O7"/>
    <mergeCell ref="AH6:AM6"/>
    <mergeCell ref="BB7:BC7"/>
    <mergeCell ref="BD7:BE7"/>
    <mergeCell ref="AB6:AG6"/>
    <mergeCell ref="AR7:AS7"/>
    <mergeCell ref="AZ6:BE6"/>
    <mergeCell ref="AZ7:BA7"/>
    <mergeCell ref="AD7:AE7"/>
    <mergeCell ref="AT6:AY6"/>
    <mergeCell ref="AF7:AG7"/>
    <mergeCell ref="AX7:AY7"/>
    <mergeCell ref="AT7:AU7"/>
    <mergeCell ref="AL7:AM7"/>
    <mergeCell ref="AN7:AO7"/>
    <mergeCell ref="BL6:BM7"/>
    <mergeCell ref="P6:Q7"/>
    <mergeCell ref="R6:S7"/>
    <mergeCell ref="X7:Y7"/>
    <mergeCell ref="AB7:AC7"/>
    <mergeCell ref="T6:U7"/>
    <mergeCell ref="V6:W7"/>
    <mergeCell ref="X6:AA6"/>
    <mergeCell ref="Z7:AA7"/>
    <mergeCell ref="BF6:BK6"/>
    <mergeCell ref="BF7:BG7"/>
    <mergeCell ref="BH7:BI7"/>
    <mergeCell ref="BJ7:BK7"/>
    <mergeCell ref="AN6:AS6"/>
    <mergeCell ref="AV7:AW7"/>
    <mergeCell ref="AH7:AI7"/>
  </mergeCells>
  <phoneticPr fontId="30"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D7" activePane="bottomRight" state="frozen"/>
      <selection pane="topRight" activeCell="D1" sqref="D1"/>
      <selection pane="bottomLeft" activeCell="A7" sqref="A7"/>
      <selection pane="bottomRight" activeCell="F24" sqref="F24"/>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4" width="10.85546875" customWidth="1"/>
  </cols>
  <sheetData>
    <row r="2" spans="1:26" ht="24.75" customHeight="1">
      <c r="A2" s="617" t="s">
        <v>22</v>
      </c>
      <c r="B2" s="617"/>
      <c r="C2" s="617"/>
      <c r="D2" s="617"/>
      <c r="E2" s="617"/>
      <c r="F2" s="617"/>
      <c r="G2" s="617"/>
      <c r="H2" s="617"/>
      <c r="I2" s="617"/>
      <c r="J2" s="617"/>
      <c r="K2" s="617"/>
      <c r="L2" s="617"/>
      <c r="M2" s="617"/>
      <c r="N2" s="617"/>
      <c r="O2" s="617"/>
      <c r="P2" s="617"/>
      <c r="Q2" s="341"/>
      <c r="R2" s="341"/>
      <c r="S2" s="341"/>
      <c r="T2" s="341"/>
      <c r="U2" s="341"/>
      <c r="V2" s="341"/>
      <c r="W2" s="341"/>
      <c r="X2" s="341"/>
    </row>
    <row r="3" spans="1:26" ht="12.75" customHeight="1">
      <c r="A3" s="563"/>
      <c r="B3" s="563"/>
      <c r="C3" s="563"/>
      <c r="D3" s="564"/>
      <c r="E3" s="564"/>
      <c r="F3" s="564"/>
      <c r="G3" s="565"/>
      <c r="H3" s="564"/>
      <c r="I3" s="566"/>
      <c r="J3" s="566"/>
      <c r="K3" s="566"/>
      <c r="L3" s="564"/>
      <c r="M3" s="566"/>
      <c r="N3" s="344"/>
      <c r="O3" s="344"/>
      <c r="P3" s="344"/>
      <c r="Q3" s="5"/>
      <c r="R3" s="5"/>
    </row>
    <row r="4" spans="1:26">
      <c r="A4" s="632" t="s">
        <v>9</v>
      </c>
      <c r="B4" s="635" t="s">
        <v>23</v>
      </c>
      <c r="C4" s="635" t="s">
        <v>24</v>
      </c>
      <c r="D4" s="618"/>
      <c r="E4" s="619"/>
      <c r="F4" s="619"/>
      <c r="G4" s="619"/>
      <c r="H4" s="619"/>
      <c r="I4" s="619"/>
      <c r="J4" s="619"/>
      <c r="K4" s="619"/>
      <c r="L4" s="619"/>
      <c r="M4" s="619"/>
      <c r="N4" s="619"/>
      <c r="O4" s="619"/>
      <c r="P4" s="620" t="s">
        <v>382</v>
      </c>
      <c r="Q4" s="621"/>
      <c r="R4" s="622"/>
      <c r="S4" s="611" t="s">
        <v>392</v>
      </c>
      <c r="T4" s="612"/>
      <c r="U4" s="613"/>
      <c r="V4" s="611" t="s">
        <v>439</v>
      </c>
      <c r="W4" s="612"/>
      <c r="X4" s="613"/>
    </row>
    <row r="5" spans="1:26" ht="14.25" customHeight="1">
      <c r="A5" s="633"/>
      <c r="B5" s="636"/>
      <c r="C5" s="636"/>
      <c r="D5" s="638" t="s">
        <v>393</v>
      </c>
      <c r="E5" s="639"/>
      <c r="F5" s="639"/>
      <c r="G5" s="640"/>
      <c r="H5" s="626" t="s">
        <v>394</v>
      </c>
      <c r="I5" s="627"/>
      <c r="J5" s="627"/>
      <c r="K5" s="628"/>
      <c r="L5" s="629" t="s">
        <v>395</v>
      </c>
      <c r="M5" s="630"/>
      <c r="N5" s="630"/>
      <c r="O5" s="631"/>
      <c r="P5" s="623"/>
      <c r="Q5" s="624"/>
      <c r="R5" s="625"/>
      <c r="S5" s="614"/>
      <c r="T5" s="615"/>
      <c r="U5" s="616"/>
      <c r="V5" s="614"/>
      <c r="W5" s="615"/>
      <c r="X5" s="616"/>
    </row>
    <row r="6" spans="1:26" ht="14.25" customHeight="1">
      <c r="A6" s="634"/>
      <c r="B6" s="637"/>
      <c r="C6" s="637"/>
      <c r="D6" s="561" t="s">
        <v>25</v>
      </c>
      <c r="E6" s="411" t="s">
        <v>26</v>
      </c>
      <c r="F6" s="412" t="s">
        <v>27</v>
      </c>
      <c r="G6" s="412" t="s">
        <v>28</v>
      </c>
      <c r="H6" s="562" t="s">
        <v>25</v>
      </c>
      <c r="I6" s="413" t="s">
        <v>26</v>
      </c>
      <c r="J6" s="414" t="s">
        <v>27</v>
      </c>
      <c r="K6" s="414" t="s">
        <v>28</v>
      </c>
      <c r="L6" s="560" t="s">
        <v>25</v>
      </c>
      <c r="M6" s="415" t="s">
        <v>26</v>
      </c>
      <c r="N6" s="416" t="s">
        <v>27</v>
      </c>
      <c r="O6" s="416" t="s">
        <v>28</v>
      </c>
      <c r="P6" s="417" t="s">
        <v>26</v>
      </c>
      <c r="Q6" s="418" t="s">
        <v>27</v>
      </c>
      <c r="R6" s="418" t="s">
        <v>28</v>
      </c>
      <c r="S6" s="567" t="s">
        <v>26</v>
      </c>
      <c r="T6" s="567" t="s">
        <v>27</v>
      </c>
      <c r="U6" s="567" t="s">
        <v>28</v>
      </c>
      <c r="V6" s="567" t="s">
        <v>26</v>
      </c>
      <c r="W6" s="567" t="s">
        <v>27</v>
      </c>
      <c r="X6" s="567" t="s">
        <v>28</v>
      </c>
    </row>
    <row r="7" spans="1:26">
      <c r="A7" s="346">
        <v>45960</v>
      </c>
      <c r="B7" s="347">
        <v>0</v>
      </c>
      <c r="C7" s="347">
        <v>0</v>
      </c>
      <c r="D7" s="99"/>
      <c r="E7" s="99"/>
      <c r="F7" s="99"/>
      <c r="G7" s="99"/>
      <c r="H7" s="99"/>
      <c r="I7" s="99"/>
      <c r="J7" s="99"/>
      <c r="K7" s="99"/>
      <c r="L7" s="99"/>
      <c r="M7" s="99"/>
      <c r="N7" s="99"/>
      <c r="O7" s="99"/>
      <c r="P7" s="349"/>
      <c r="Q7" s="99"/>
      <c r="R7" s="99"/>
      <c r="S7" s="99"/>
      <c r="T7" s="99"/>
      <c r="U7" s="99"/>
      <c r="V7" s="99"/>
      <c r="W7" s="99"/>
      <c r="X7" s="99"/>
    </row>
    <row r="8" spans="1:26" ht="15">
      <c r="A8" s="346">
        <f>+Report1!A9</f>
        <v>45962</v>
      </c>
      <c r="B8" s="352">
        <f>+Report1!P9</f>
        <v>42.54</v>
      </c>
      <c r="C8" s="352">
        <f>+Report1!R9</f>
        <v>39.835000000000001</v>
      </c>
      <c r="D8" s="353">
        <f t="shared" ref="D8:D38" si="0">+D7+E8</f>
        <v>26590.65</v>
      </c>
      <c r="E8" s="353">
        <f>+[3]DailyNov!AL7</f>
        <v>26590.65</v>
      </c>
      <c r="F8" s="353">
        <f t="shared" ref="F8:F38" si="1">E8/B8</f>
        <v>625.07404795486605</v>
      </c>
      <c r="G8" s="353">
        <f t="shared" ref="G8:G38" si="2">E8/C8</f>
        <v>667.51976904732021</v>
      </c>
      <c r="H8" s="353">
        <f t="shared" ref="H8:H38" si="3">+H7+I8</f>
        <v>9430.65</v>
      </c>
      <c r="I8" s="353">
        <f>+[3]DailyNov!AM7</f>
        <v>9430.65</v>
      </c>
      <c r="J8" s="353">
        <f t="shared" ref="J8:J38" si="4">I8/B8</f>
        <v>221.68899858956277</v>
      </c>
      <c r="K8" s="353">
        <f t="shared" ref="K8:K38" si="5">I8/C8</f>
        <v>236.74281410819628</v>
      </c>
      <c r="L8" s="353">
        <f t="shared" ref="L8:L38" si="6">+L7+M8</f>
        <v>370.00000000000455</v>
      </c>
      <c r="M8" s="353">
        <f>+[3]DailyNov!AN7</f>
        <v>370.00000000000455</v>
      </c>
      <c r="N8" s="353">
        <f t="shared" ref="N8:N38" si="7">M8/B8</f>
        <v>8.6976962858487195</v>
      </c>
      <c r="O8" s="353">
        <f t="shared" ref="O8:O38" si="8">M8/C8</f>
        <v>9.2883142964730645</v>
      </c>
      <c r="P8" s="353">
        <f t="shared" ref="P8:P38" si="9">+E8+I8+M8</f>
        <v>36391.30000000001</v>
      </c>
      <c r="Q8" s="6">
        <f t="shared" ref="Q8:Q38" si="10">P8/B8</f>
        <v>855.4607428302777</v>
      </c>
      <c r="R8" s="351">
        <f t="shared" ref="R8:R38" si="11">P8/C8</f>
        <v>913.55089745198973</v>
      </c>
      <c r="S8" s="353">
        <f>+[3]DailyNov!BM7</f>
        <v>22450.48</v>
      </c>
      <c r="T8" s="6">
        <f t="shared" ref="T8:T40" si="12">S8/B8</f>
        <v>527.74988246356372</v>
      </c>
      <c r="U8" s="5">
        <f t="shared" ref="U8:U40" si="13">S8/C8</f>
        <v>563.58679553156765</v>
      </c>
      <c r="V8" s="353">
        <f>+[3]DailyNov!BQ7</f>
        <v>312</v>
      </c>
      <c r="W8" s="6">
        <f>V8/E8</f>
        <v>1.1733447659233603E-2</v>
      </c>
      <c r="X8" s="5">
        <f t="shared" ref="X8:X38" si="14">V8/F8</f>
        <v>0.49914086342379743</v>
      </c>
      <c r="Y8" s="420" t="s">
        <v>183</v>
      </c>
      <c r="Z8" s="420" t="s">
        <v>184</v>
      </c>
    </row>
    <row r="9" spans="1:26" ht="15">
      <c r="A9" s="346">
        <f>+A8+1</f>
        <v>45963</v>
      </c>
      <c r="B9" s="352">
        <f>+Report1!P10</f>
        <v>48.241</v>
      </c>
      <c r="C9" s="352">
        <f>+Report1!R10</f>
        <v>49.100999999999999</v>
      </c>
      <c r="D9" s="353">
        <f t="shared" ref="D9" si="15">+D8+E9</f>
        <v>58630.54</v>
      </c>
      <c r="E9" s="353">
        <f>+[3]DailyNov!AL8</f>
        <v>32039.89</v>
      </c>
      <c r="F9" s="353">
        <f t="shared" ref="F9" si="16">E9/B9</f>
        <v>664.16305632138642</v>
      </c>
      <c r="G9" s="353">
        <f t="shared" ref="G9" si="17">E9/C9</f>
        <v>652.53029469868227</v>
      </c>
      <c r="H9" s="353">
        <f t="shared" ref="H9" si="18">+H8+I9</f>
        <v>21310.54</v>
      </c>
      <c r="I9" s="353">
        <f>+[3]DailyNov!AM8</f>
        <v>11879.89</v>
      </c>
      <c r="J9" s="353">
        <f t="shared" ref="J9" si="19">I9/B9</f>
        <v>246.26127153251383</v>
      </c>
      <c r="K9" s="353">
        <f t="shared" ref="K9" si="20">I9/C9</f>
        <v>241.94802549846236</v>
      </c>
      <c r="L9" s="353">
        <f t="shared" ref="L9" si="21">+L8+M9</f>
        <v>889.99999999998636</v>
      </c>
      <c r="M9" s="353">
        <f>+[3]DailyNov!AN8</f>
        <v>519.99999999998181</v>
      </c>
      <c r="N9" s="353">
        <f t="shared" ref="N9" si="22">M9/B9</f>
        <v>10.779212702887209</v>
      </c>
      <c r="O9" s="353">
        <f t="shared" ref="O9" si="23">M9/C9</f>
        <v>10.590415673814826</v>
      </c>
      <c r="P9" s="353">
        <f t="shared" ref="P9" si="24">+E9+I9+M9</f>
        <v>44439.779999999984</v>
      </c>
      <c r="Q9" s="6">
        <f t="shared" ref="Q9" si="25">P9/B9</f>
        <v>921.20354055678752</v>
      </c>
      <c r="R9" s="351">
        <f t="shared" ref="R9" si="26">P9/C9</f>
        <v>905.06873587095959</v>
      </c>
      <c r="S9" s="353">
        <f>+[3]DailyNov!BM8</f>
        <v>24059.699999999997</v>
      </c>
      <c r="T9" s="6">
        <f t="shared" ref="T9" si="27">S9/B9</f>
        <v>498.73966128397001</v>
      </c>
      <c r="U9" s="5">
        <f t="shared" ref="U9" si="28">S9/C9</f>
        <v>490.00427689863744</v>
      </c>
      <c r="V9" s="353">
        <f>+[3]DailyNov!BQ8</f>
        <v>228</v>
      </c>
      <c r="W9" s="6">
        <f t="shared" ref="W9:W38" si="29">V9/E9</f>
        <v>7.1161293000693822E-3</v>
      </c>
      <c r="X9" s="5">
        <f t="shared" si="14"/>
        <v>0.34328919356464704</v>
      </c>
      <c r="Y9" s="420" t="s">
        <v>183</v>
      </c>
      <c r="Z9" s="420" t="s">
        <v>184</v>
      </c>
    </row>
    <row r="10" spans="1:26" ht="15">
      <c r="A10" s="346">
        <f t="shared" ref="A10:A38" si="30">+A9+1</f>
        <v>45964</v>
      </c>
      <c r="B10" s="352">
        <f>+Report1!P11</f>
        <v>49.679000000000002</v>
      </c>
      <c r="C10" s="352">
        <f>+Report1!R11</f>
        <v>48.119</v>
      </c>
      <c r="D10" s="353">
        <f t="shared" ref="D10" si="31">+D9+E10</f>
        <v>90764.08</v>
      </c>
      <c r="E10" s="353">
        <f>+[3]DailyNov!AL9</f>
        <v>32133.54</v>
      </c>
      <c r="F10" s="353">
        <f t="shared" ref="F10" si="32">E10/B10</f>
        <v>646.82340626824214</v>
      </c>
      <c r="G10" s="353">
        <f t="shared" ref="G10" si="33">E10/C10</f>
        <v>667.79317940938097</v>
      </c>
      <c r="H10" s="353">
        <f t="shared" ref="H10" si="34">+H9+I10</f>
        <v>32284.080000000002</v>
      </c>
      <c r="I10" s="353">
        <f>+[3]DailyNov!AM9</f>
        <v>10973.54</v>
      </c>
      <c r="J10" s="353">
        <f t="shared" ref="J10" si="35">I10/B10</f>
        <v>220.88890678153749</v>
      </c>
      <c r="K10" s="353">
        <f t="shared" ref="K10" si="36">I10/C10</f>
        <v>228.05004260271411</v>
      </c>
      <c r="L10" s="353">
        <f t="shared" ref="L10" si="37">+L9+M10</f>
        <v>1389.9999999999864</v>
      </c>
      <c r="M10" s="353">
        <f>+[3]DailyNov!AN9</f>
        <v>500</v>
      </c>
      <c r="N10" s="353">
        <f t="shared" ref="N10" si="38">M10/B10</f>
        <v>10.064614827190564</v>
      </c>
      <c r="O10" s="353">
        <f t="shared" ref="O10" si="39">M10/C10</f>
        <v>10.390905879174547</v>
      </c>
      <c r="P10" s="353">
        <f t="shared" ref="P10" si="40">+E10+I10+M10</f>
        <v>43607.08</v>
      </c>
      <c r="Q10" s="6">
        <f t="shared" ref="Q10" si="41">P10/B10</f>
        <v>877.77692787697015</v>
      </c>
      <c r="R10" s="351">
        <f t="shared" ref="R10" si="42">P10/C10</f>
        <v>906.23412789126962</v>
      </c>
      <c r="S10" s="353">
        <f>+[3]DailyNov!BM9</f>
        <v>20908.800000000017</v>
      </c>
      <c r="T10" s="6">
        <f t="shared" ref="T10" si="43">S10/B10</f>
        <v>420.87803699752442</v>
      </c>
      <c r="U10" s="5">
        <f t="shared" ref="U10" si="44">S10/C10</f>
        <v>434.52274569296986</v>
      </c>
      <c r="V10" s="353">
        <f>+[3]DailyNov!BQ9</f>
        <v>289.10000000003492</v>
      </c>
      <c r="W10" s="6">
        <f t="shared" si="29"/>
        <v>8.9968301033759406E-3</v>
      </c>
      <c r="X10" s="5">
        <f t="shared" si="14"/>
        <v>0.44695352270561334</v>
      </c>
      <c r="Y10" s="420" t="s">
        <v>183</v>
      </c>
      <c r="Z10" s="420" t="s">
        <v>184</v>
      </c>
    </row>
    <row r="11" spans="1:26" ht="15">
      <c r="A11" s="346">
        <f t="shared" si="30"/>
        <v>45965</v>
      </c>
      <c r="B11" s="352">
        <f>+Report1!P12</f>
        <v>51.656999999999996</v>
      </c>
      <c r="C11" s="352">
        <f>+Report1!R12</f>
        <v>50.56</v>
      </c>
      <c r="D11" s="353">
        <f t="shared" ref="D11" si="45">+D10+E11</f>
        <v>120864.95</v>
      </c>
      <c r="E11" s="353">
        <f>+[3]DailyNov!AL10</f>
        <v>30100.87</v>
      </c>
      <c r="F11" s="353">
        <f t="shared" ref="F11" si="46">E11/B11</f>
        <v>582.70650637861274</v>
      </c>
      <c r="G11" s="353">
        <f t="shared" ref="G11" si="47">E11/C11</f>
        <v>595.34948575949363</v>
      </c>
      <c r="H11" s="353">
        <f t="shared" ref="H11" si="48">+H10+I11</f>
        <v>42224.950000000004</v>
      </c>
      <c r="I11" s="353">
        <f>+[3]DailyNov!AM10</f>
        <v>9940.8700000000008</v>
      </c>
      <c r="J11" s="353">
        <f t="shared" ref="J11" si="49">I11/B11</f>
        <v>192.43994037594135</v>
      </c>
      <c r="K11" s="353">
        <f t="shared" ref="K11" si="50">I11/C11</f>
        <v>196.61530854430382</v>
      </c>
      <c r="L11" s="353">
        <f t="shared" ref="L11" si="51">+L10+M11</f>
        <v>1860.0000000000136</v>
      </c>
      <c r="M11" s="353">
        <f>+[3]DailyNov!AN10</f>
        <v>470.00000000002728</v>
      </c>
      <c r="N11" s="353">
        <f t="shared" ref="N11" si="52">M11/B11</f>
        <v>9.0984764891501122</v>
      </c>
      <c r="O11" s="353">
        <f t="shared" ref="O11" si="53">M11/C11</f>
        <v>9.2958860759499071</v>
      </c>
      <c r="P11" s="353">
        <f t="shared" ref="P11" si="54">+E11+I11+M11</f>
        <v>40511.740000000027</v>
      </c>
      <c r="Q11" s="6">
        <f t="shared" ref="Q11" si="55">P11/B11</f>
        <v>784.24492324370419</v>
      </c>
      <c r="R11" s="351">
        <f t="shared" ref="R11" si="56">P11/C11</f>
        <v>801.26068037974733</v>
      </c>
      <c r="S11" s="353">
        <f>+[3]DailyNov!BM10</f>
        <v>25540.800000000054</v>
      </c>
      <c r="T11" s="6">
        <f t="shared" ref="T11" si="57">S11/B11</f>
        <v>494.4305708810046</v>
      </c>
      <c r="U11" s="5">
        <f t="shared" ref="U11" si="58">S11/C11</f>
        <v>505.15822784810229</v>
      </c>
      <c r="V11" s="353">
        <f>+[3]DailyNov!BQ10</f>
        <v>323</v>
      </c>
      <c r="W11" s="6">
        <f t="shared" si="29"/>
        <v>1.0730586856791848E-2</v>
      </c>
      <c r="X11" s="5">
        <f t="shared" si="14"/>
        <v>0.55430992526129641</v>
      </c>
      <c r="Y11" s="420" t="s">
        <v>183</v>
      </c>
      <c r="Z11" s="420" t="s">
        <v>184</v>
      </c>
    </row>
    <row r="12" spans="1:26" ht="15">
      <c r="A12" s="346">
        <f t="shared" si="30"/>
        <v>45966</v>
      </c>
      <c r="B12" s="352">
        <f>+Report1!P13</f>
        <v>30.387999999999998</v>
      </c>
      <c r="C12" s="352">
        <f>+Report1!R13</f>
        <v>28.984999999999999</v>
      </c>
      <c r="D12" s="353">
        <f t="shared" ref="D12" si="59">+D11+E12</f>
        <v>135757.23000000001</v>
      </c>
      <c r="E12" s="353">
        <f>+[3]DailyNov!AL11</f>
        <v>14892.28</v>
      </c>
      <c r="F12" s="353">
        <f t="shared" ref="F12" si="60">E12/B12</f>
        <v>490.071080689746</v>
      </c>
      <c r="G12" s="353">
        <f t="shared" ref="G12" si="61">E12/C12</f>
        <v>513.79265137139907</v>
      </c>
      <c r="H12" s="353">
        <f t="shared" ref="H12" si="62">+H11+I12</f>
        <v>49957.23</v>
      </c>
      <c r="I12" s="353">
        <f>+[3]DailyNov!AM11</f>
        <v>7732.28</v>
      </c>
      <c r="J12" s="353">
        <f t="shared" ref="J12" si="63">I12/B12</f>
        <v>254.45175727260761</v>
      </c>
      <c r="K12" s="353">
        <f t="shared" ref="K12" si="64">I12/C12</f>
        <v>266.76832844574778</v>
      </c>
      <c r="L12" s="353">
        <f t="shared" ref="L12" si="65">+L11+M12</f>
        <v>2220.0000000000273</v>
      </c>
      <c r="M12" s="353">
        <f>+[3]DailyNov!AN11</f>
        <v>360.00000000001364</v>
      </c>
      <c r="N12" s="353">
        <f t="shared" ref="N12" si="66">M12/B12</f>
        <v>11.846781624325841</v>
      </c>
      <c r="O12" s="353">
        <f t="shared" ref="O12" si="67">M12/C12</f>
        <v>12.420217353804162</v>
      </c>
      <c r="P12" s="353">
        <f t="shared" ref="P12" si="68">+E12+I12+M12</f>
        <v>22984.560000000016</v>
      </c>
      <c r="Q12" s="6">
        <f t="shared" ref="Q12" si="69">P12/B12</f>
        <v>756.36961958667951</v>
      </c>
      <c r="R12" s="351">
        <f t="shared" ref="R12" si="70">P12/C12</f>
        <v>792.98119717095108</v>
      </c>
      <c r="S12" s="353">
        <f>+[3]DailyNov!BM11</f>
        <v>13904.05799999997</v>
      </c>
      <c r="T12" s="6">
        <f t="shared" ref="T12" si="71">S12/B12</f>
        <v>457.55094116098365</v>
      </c>
      <c r="U12" s="5">
        <f t="shared" ref="U12" si="72">S12/C12</f>
        <v>479.6983957219241</v>
      </c>
      <c r="V12" s="353">
        <f>+[3]DailyNov!BQ11</f>
        <v>215.59999999997672</v>
      </c>
      <c r="W12" s="6">
        <f t="shared" si="29"/>
        <v>1.4477299647869682E-2</v>
      </c>
      <c r="X12" s="5">
        <f t="shared" si="14"/>
        <v>0.43993618169946386</v>
      </c>
      <c r="Y12" s="420" t="s">
        <v>183</v>
      </c>
      <c r="Z12" s="420" t="s">
        <v>184</v>
      </c>
    </row>
    <row r="13" spans="1:26" ht="15">
      <c r="A13" s="346">
        <f t="shared" si="30"/>
        <v>45967</v>
      </c>
      <c r="B13" s="352">
        <f>+Report1!P14</f>
        <v>58.853999999999999</v>
      </c>
      <c r="C13" s="352">
        <f>+Report1!R14</f>
        <v>56.119</v>
      </c>
      <c r="D13" s="353">
        <f t="shared" ref="D13" si="73">+D12+E13</f>
        <v>162112.12</v>
      </c>
      <c r="E13" s="353">
        <f>+[3]DailyNov!AL12</f>
        <v>26354.89</v>
      </c>
      <c r="F13" s="353">
        <f t="shared" ref="F13" si="74">E13/B13</f>
        <v>447.80116899446085</v>
      </c>
      <c r="G13" s="353">
        <f t="shared" ref="G13" si="75">E13/C13</f>
        <v>469.6250824141556</v>
      </c>
      <c r="H13" s="353">
        <f t="shared" ref="H13" si="76">+H12+I13</f>
        <v>61152.12</v>
      </c>
      <c r="I13" s="353">
        <f>+[3]DailyNov!AM12</f>
        <v>11194.89</v>
      </c>
      <c r="J13" s="353">
        <f t="shared" ref="J13" si="77">I13/B13</f>
        <v>190.21459883780201</v>
      </c>
      <c r="K13" s="353">
        <f t="shared" ref="K13" si="78">I13/C13</f>
        <v>199.48484470500185</v>
      </c>
      <c r="L13" s="353">
        <f t="shared" ref="L13" si="79">+L12+M13</f>
        <v>2929.99999999995</v>
      </c>
      <c r="M13" s="353">
        <f>+[3]DailyNov!AN12</f>
        <v>709.99999999992269</v>
      </c>
      <c r="N13" s="353">
        <f t="shared" ref="N13" si="80">M13/B13</f>
        <v>12.063750976992603</v>
      </c>
      <c r="O13" s="353">
        <f t="shared" ref="O13" si="81">M13/C13</f>
        <v>12.651686594556615</v>
      </c>
      <c r="P13" s="353">
        <f t="shared" ref="P13" si="82">+E13+I13+M13</f>
        <v>38259.779999999919</v>
      </c>
      <c r="Q13" s="6">
        <f t="shared" ref="Q13" si="83">P13/B13</f>
        <v>650.07951880925543</v>
      </c>
      <c r="R13" s="351">
        <f t="shared" ref="R13" si="84">P13/C13</f>
        <v>681.76161371371404</v>
      </c>
      <c r="S13" s="353">
        <f>+[3]DailyNov!BM12</f>
        <v>26617.533999999574</v>
      </c>
      <c r="T13" s="6">
        <f t="shared" ref="T13" si="85">S13/B13</f>
        <v>452.26380534882207</v>
      </c>
      <c r="U13" s="5">
        <f t="shared" ref="U13" si="86">S13/C13</f>
        <v>474.30520857462847</v>
      </c>
      <c r="V13" s="353">
        <f>+[3]DailyNov!BQ12</f>
        <v>301.79999999995925</v>
      </c>
      <c r="W13" s="6">
        <f t="shared" si="29"/>
        <v>1.1451385302688011E-2</v>
      </c>
      <c r="X13" s="5">
        <f t="shared" si="14"/>
        <v>0.67395983060440023</v>
      </c>
      <c r="Y13" s="420" t="s">
        <v>183</v>
      </c>
      <c r="Z13" s="420" t="s">
        <v>184</v>
      </c>
    </row>
    <row r="14" spans="1:26" ht="15">
      <c r="A14" s="346">
        <f t="shared" si="30"/>
        <v>45968</v>
      </c>
      <c r="B14" s="352">
        <f>+Report1!P15</f>
        <v>58.433000000000007</v>
      </c>
      <c r="C14" s="352">
        <f>+Report1!R15</f>
        <v>56.67</v>
      </c>
      <c r="D14" s="353">
        <f t="shared" si="0"/>
        <v>188755.16999999998</v>
      </c>
      <c r="E14" s="353">
        <f>+[3]DailyNov!AL13</f>
        <v>26643.05</v>
      </c>
      <c r="F14" s="353">
        <f t="shared" si="1"/>
        <v>455.95896154570187</v>
      </c>
      <c r="G14" s="353">
        <f t="shared" si="2"/>
        <v>470.14381506970176</v>
      </c>
      <c r="H14" s="353">
        <f t="shared" si="3"/>
        <v>71635.17</v>
      </c>
      <c r="I14" s="353">
        <f>+[3]DailyNov!AM13</f>
        <v>10483.049999999999</v>
      </c>
      <c r="J14" s="353">
        <f t="shared" si="4"/>
        <v>179.4029058922184</v>
      </c>
      <c r="K14" s="353">
        <f t="shared" si="5"/>
        <v>184.98411858125991</v>
      </c>
      <c r="L14" s="353">
        <f t="shared" si="6"/>
        <v>3649.9999999999773</v>
      </c>
      <c r="M14" s="353">
        <f>+[3]DailyNov!AN13</f>
        <v>720.00000000002728</v>
      </c>
      <c r="N14" s="353">
        <f t="shared" si="7"/>
        <v>12.321804459809135</v>
      </c>
      <c r="O14" s="353">
        <f t="shared" si="8"/>
        <v>12.705134992059772</v>
      </c>
      <c r="P14" s="353">
        <f t="shared" si="9"/>
        <v>37846.100000000028</v>
      </c>
      <c r="Q14" s="6">
        <f t="shared" si="10"/>
        <v>647.68367189772937</v>
      </c>
      <c r="R14" s="351">
        <f t="shared" si="11"/>
        <v>667.83306864302142</v>
      </c>
      <c r="S14" s="353">
        <f>+[3]DailyNov!BM13</f>
        <v>26562.96500000075</v>
      </c>
      <c r="T14" s="6">
        <f t="shared" si="12"/>
        <v>454.58841750382055</v>
      </c>
      <c r="U14" s="5">
        <f t="shared" si="13"/>
        <v>468.73063349216073</v>
      </c>
      <c r="V14" s="353">
        <f>+[3]DailyNov!BQ13</f>
        <v>327</v>
      </c>
      <c r="W14" s="6">
        <f t="shared" si="29"/>
        <v>1.2273369602954618E-2</v>
      </c>
      <c r="X14" s="5">
        <f t="shared" si="14"/>
        <v>0.71716980600944724</v>
      </c>
      <c r="Y14" s="420" t="s">
        <v>183</v>
      </c>
      <c r="Z14" s="420" t="s">
        <v>184</v>
      </c>
    </row>
    <row r="15" spans="1:26" ht="15">
      <c r="A15" s="346">
        <f t="shared" si="30"/>
        <v>45969</v>
      </c>
      <c r="B15" s="352">
        <f>+Report1!P16</f>
        <v>53.438000000000002</v>
      </c>
      <c r="C15" s="352">
        <f>+Report1!R16</f>
        <v>51.448</v>
      </c>
      <c r="D15" s="353">
        <f t="shared" si="0"/>
        <v>216899.41999999998</v>
      </c>
      <c r="E15" s="353">
        <f>+[3]DailyNov!AL14</f>
        <v>28144.25</v>
      </c>
      <c r="F15" s="353">
        <f t="shared" si="1"/>
        <v>526.67109547513007</v>
      </c>
      <c r="G15" s="353">
        <f t="shared" si="2"/>
        <v>547.0426450007775</v>
      </c>
      <c r="H15" s="353">
        <f t="shared" si="3"/>
        <v>84619.42</v>
      </c>
      <c r="I15" s="353">
        <f>+[3]DailyNov!AM14</f>
        <v>12984.25</v>
      </c>
      <c r="J15" s="353">
        <f t="shared" si="4"/>
        <v>242.97784348216624</v>
      </c>
      <c r="K15" s="353">
        <f t="shared" si="5"/>
        <v>252.37618566319389</v>
      </c>
      <c r="L15" s="353">
        <f t="shared" si="6"/>
        <v>4259.9999999999909</v>
      </c>
      <c r="M15" s="353">
        <f>+[3]DailyNov!AN14</f>
        <v>610.00000000001364</v>
      </c>
      <c r="N15" s="353">
        <f t="shared" si="7"/>
        <v>11.415097870429538</v>
      </c>
      <c r="O15" s="353">
        <f t="shared" si="8"/>
        <v>11.856631939045515</v>
      </c>
      <c r="P15" s="353">
        <f t="shared" si="9"/>
        <v>41738.500000000015</v>
      </c>
      <c r="Q15" s="6">
        <f t="shared" si="10"/>
        <v>781.06403682772577</v>
      </c>
      <c r="R15" s="351">
        <f t="shared" si="11"/>
        <v>811.27546260301688</v>
      </c>
      <c r="S15" s="353">
        <f>+[3]DailyNov!BM14</f>
        <v>27933.702999999685</v>
      </c>
      <c r="T15" s="6">
        <f t="shared" si="12"/>
        <v>522.73107152213186</v>
      </c>
      <c r="U15" s="5">
        <f t="shared" si="13"/>
        <v>542.95022158295137</v>
      </c>
      <c r="V15" s="353">
        <f>+[3]DailyNov!BQ14</f>
        <v>297.10000000003492</v>
      </c>
      <c r="W15" s="6">
        <f t="shared" si="29"/>
        <v>1.0556330333906036E-2</v>
      </c>
      <c r="X15" s="5">
        <f t="shared" si="14"/>
        <v>0.56410918038327063</v>
      </c>
      <c r="Y15" s="420" t="s">
        <v>183</v>
      </c>
      <c r="Z15" s="420" t="s">
        <v>184</v>
      </c>
    </row>
    <row r="16" spans="1:26" ht="14.25" customHeight="1">
      <c r="A16" s="346">
        <f t="shared" si="30"/>
        <v>45970</v>
      </c>
      <c r="B16" s="352">
        <f>+Report1!P17</f>
        <v>49.893000000000001</v>
      </c>
      <c r="C16" s="352">
        <f>+Report1!R17</f>
        <v>50.395000000000003</v>
      </c>
      <c r="D16" s="353">
        <f t="shared" si="0"/>
        <v>245318.38999999998</v>
      </c>
      <c r="E16" s="353">
        <f>+[3]DailyNov!AL15</f>
        <v>28418.97</v>
      </c>
      <c r="F16" s="353">
        <f t="shared" si="1"/>
        <v>569.59834044855995</v>
      </c>
      <c r="G16" s="353">
        <f t="shared" si="2"/>
        <v>563.92439726163309</v>
      </c>
      <c r="H16" s="353">
        <f t="shared" si="3"/>
        <v>94878.39</v>
      </c>
      <c r="I16" s="353">
        <f>+[3]DailyNov!AM15</f>
        <v>10258.969999999999</v>
      </c>
      <c r="J16" s="353">
        <f t="shared" si="4"/>
        <v>205.61942557072132</v>
      </c>
      <c r="K16" s="353">
        <f t="shared" si="5"/>
        <v>203.57118761781919</v>
      </c>
      <c r="L16" s="353">
        <f t="shared" si="6"/>
        <v>4779.9999999999727</v>
      </c>
      <c r="M16" s="353">
        <f>+[3]DailyNov!AN15</f>
        <v>519.99999999998181</v>
      </c>
      <c r="N16" s="353">
        <f t="shared" si="7"/>
        <v>10.422303729981797</v>
      </c>
      <c r="O16" s="353">
        <f t="shared" si="8"/>
        <v>10.318483976584616</v>
      </c>
      <c r="P16" s="353">
        <f t="shared" si="9"/>
        <v>39197.939999999988</v>
      </c>
      <c r="Q16" s="6">
        <f t="shared" si="10"/>
        <v>785.64006974926315</v>
      </c>
      <c r="R16" s="351">
        <f t="shared" si="11"/>
        <v>777.81406885603701</v>
      </c>
      <c r="S16" s="353">
        <f>+[3]DailyNov!BM15</f>
        <v>25080.699999999928</v>
      </c>
      <c r="T16" s="6">
        <f t="shared" si="12"/>
        <v>502.68975607800547</v>
      </c>
      <c r="U16" s="5">
        <f t="shared" si="13"/>
        <v>497.68230975295023</v>
      </c>
      <c r="V16" s="353">
        <f>+[3]DailyNov!BQ15</f>
        <v>296.39999999999418</v>
      </c>
      <c r="W16" s="6">
        <f t="shared" si="29"/>
        <v>1.042965315069456E-2</v>
      </c>
      <c r="X16" s="5">
        <f t="shared" si="14"/>
        <v>0.52036668464760361</v>
      </c>
      <c r="Y16" s="420" t="s">
        <v>183</v>
      </c>
      <c r="Z16" s="420" t="s">
        <v>184</v>
      </c>
    </row>
    <row r="17" spans="1:26" ht="14.25" customHeight="1">
      <c r="A17" s="346">
        <f t="shared" si="30"/>
        <v>45971</v>
      </c>
      <c r="B17" s="352">
        <f>+Report1!P18</f>
        <v>51.384</v>
      </c>
      <c r="C17" s="352">
        <f>+Report1!R18</f>
        <v>51.182000000000002</v>
      </c>
      <c r="D17" s="353">
        <f t="shared" si="0"/>
        <v>277649.51</v>
      </c>
      <c r="E17" s="353">
        <f>+[3]DailyNov!AL16</f>
        <v>32331.119999999999</v>
      </c>
      <c r="F17" s="353">
        <f t="shared" si="1"/>
        <v>629.20597851471268</v>
      </c>
      <c r="G17" s="353">
        <f t="shared" si="2"/>
        <v>631.68926575749288</v>
      </c>
      <c r="H17" s="353">
        <f t="shared" si="3"/>
        <v>105049.51</v>
      </c>
      <c r="I17" s="353">
        <f>+[3]DailyNov!AM16</f>
        <v>10171.120000000001</v>
      </c>
      <c r="J17" s="353">
        <f t="shared" si="4"/>
        <v>197.94332866261874</v>
      </c>
      <c r="K17" s="353">
        <f t="shared" si="5"/>
        <v>198.72455160017194</v>
      </c>
      <c r="L17" s="353">
        <f t="shared" si="6"/>
        <v>5189.9999999999409</v>
      </c>
      <c r="M17" s="353">
        <f>+[3]DailyNov!AN16</f>
        <v>409.99999999996817</v>
      </c>
      <c r="N17" s="353">
        <f t="shared" si="7"/>
        <v>7.9791374746996766</v>
      </c>
      <c r="O17" s="353">
        <f t="shared" si="8"/>
        <v>8.0106287366646107</v>
      </c>
      <c r="P17" s="353">
        <f t="shared" si="9"/>
        <v>42912.239999999969</v>
      </c>
      <c r="Q17" s="6">
        <f t="shared" si="10"/>
        <v>835.12844465203113</v>
      </c>
      <c r="R17" s="351">
        <f t="shared" si="11"/>
        <v>838.42444609432937</v>
      </c>
      <c r="S17" s="353">
        <f>+[3]DailyNov!BM16</f>
        <v>24949.200000000004</v>
      </c>
      <c r="T17" s="6">
        <f t="shared" si="12"/>
        <v>485.54413825315282</v>
      </c>
      <c r="U17" s="5">
        <f t="shared" si="13"/>
        <v>487.46043530928847</v>
      </c>
      <c r="V17" s="353">
        <f>+[3]DailyNov!BQ16</f>
        <v>310.10000000000582</v>
      </c>
      <c r="W17" s="6">
        <f t="shared" si="29"/>
        <v>9.5913782139315264E-3</v>
      </c>
      <c r="X17" s="5">
        <f t="shared" si="14"/>
        <v>0.49284337814465756</v>
      </c>
      <c r="Y17" s="420" t="s">
        <v>183</v>
      </c>
      <c r="Z17" s="420" t="s">
        <v>184</v>
      </c>
    </row>
    <row r="18" spans="1:26" ht="14.25" customHeight="1">
      <c r="A18" s="346">
        <f t="shared" si="30"/>
        <v>45972</v>
      </c>
      <c r="B18" s="352">
        <f>+Report1!P19</f>
        <v>52.558000000000007</v>
      </c>
      <c r="C18" s="352">
        <f>+Report1!R19</f>
        <v>50.652999999999999</v>
      </c>
      <c r="D18" s="353">
        <f t="shared" si="0"/>
        <v>311112.38</v>
      </c>
      <c r="E18" s="353">
        <f>+[3]DailyNov!AL17</f>
        <v>33462.869999999995</v>
      </c>
      <c r="F18" s="353">
        <f t="shared" si="1"/>
        <v>636.68461509189831</v>
      </c>
      <c r="G18" s="353">
        <f t="shared" si="2"/>
        <v>660.62957771504148</v>
      </c>
      <c r="H18" s="353">
        <f t="shared" si="3"/>
        <v>115352.37999999999</v>
      </c>
      <c r="I18" s="353">
        <f>+[3]DailyNov!AM17</f>
        <v>10302.870000000001</v>
      </c>
      <c r="J18" s="353">
        <f t="shared" si="4"/>
        <v>196.02857795197684</v>
      </c>
      <c r="K18" s="353">
        <f t="shared" si="5"/>
        <v>203.40098315993131</v>
      </c>
      <c r="L18" s="353">
        <f t="shared" si="6"/>
        <v>5669.9999999999591</v>
      </c>
      <c r="M18" s="353">
        <f>+[3]DailyNov!AN17</f>
        <v>480.00000000001819</v>
      </c>
      <c r="N18" s="353">
        <f t="shared" si="7"/>
        <v>9.1327676091178915</v>
      </c>
      <c r="O18" s="353">
        <f t="shared" si="8"/>
        <v>9.4762403016606758</v>
      </c>
      <c r="P18" s="353">
        <f t="shared" si="9"/>
        <v>44245.74000000002</v>
      </c>
      <c r="Q18" s="6">
        <f t="shared" si="10"/>
        <v>841.8459606529932</v>
      </c>
      <c r="R18" s="351">
        <f t="shared" si="11"/>
        <v>873.50680117663353</v>
      </c>
      <c r="S18" s="353">
        <f>+[3]DailyNov!BM17</f>
        <v>22984.000000000004</v>
      </c>
      <c r="T18" s="6">
        <f t="shared" si="12"/>
        <v>437.30735568324519</v>
      </c>
      <c r="U18" s="5">
        <f t="shared" si="13"/>
        <v>453.75397311116825</v>
      </c>
      <c r="V18" s="353">
        <f>+[3]DailyNov!BQ17</f>
        <v>339.89999999999418</v>
      </c>
      <c r="W18" s="6">
        <f t="shared" si="29"/>
        <v>1.0157526834966464E-2</v>
      </c>
      <c r="X18" s="5">
        <f t="shared" si="14"/>
        <v>0.53385929539216748</v>
      </c>
      <c r="Y18" s="420" t="s">
        <v>183</v>
      </c>
      <c r="Z18" s="420" t="s">
        <v>184</v>
      </c>
    </row>
    <row r="19" spans="1:26" ht="14.25" customHeight="1">
      <c r="A19" s="346">
        <f t="shared" si="30"/>
        <v>45973</v>
      </c>
      <c r="B19" s="352">
        <f>+Report1!P20</f>
        <v>50.789000000000001</v>
      </c>
      <c r="C19" s="352">
        <f>+Report1!R20</f>
        <v>49.13</v>
      </c>
      <c r="D19" s="353">
        <f t="shared" si="0"/>
        <v>344429.31</v>
      </c>
      <c r="E19" s="353">
        <f>+[3]DailyNov!AL18</f>
        <v>33316.93</v>
      </c>
      <c r="F19" s="353">
        <f t="shared" si="1"/>
        <v>655.98712319596757</v>
      </c>
      <c r="G19" s="353">
        <f t="shared" si="2"/>
        <v>678.13820476287401</v>
      </c>
      <c r="H19" s="353">
        <f t="shared" si="3"/>
        <v>124509.31</v>
      </c>
      <c r="I19" s="353">
        <f>+[3]DailyNov!AM18</f>
        <v>9156.93</v>
      </c>
      <c r="J19" s="353">
        <f t="shared" si="4"/>
        <v>180.29356750477464</v>
      </c>
      <c r="K19" s="353">
        <f t="shared" si="5"/>
        <v>186.38164054549154</v>
      </c>
      <c r="L19" s="353">
        <f t="shared" si="6"/>
        <v>5970.0000000000273</v>
      </c>
      <c r="M19" s="353">
        <f>+[3]DailyNov!AN18</f>
        <v>300.00000000006821</v>
      </c>
      <c r="N19" s="353">
        <f t="shared" si="7"/>
        <v>5.9067908405376794</v>
      </c>
      <c r="O19" s="353">
        <f t="shared" si="8"/>
        <v>6.1062487278662365</v>
      </c>
      <c r="P19" s="353">
        <f t="shared" si="9"/>
        <v>42773.860000000066</v>
      </c>
      <c r="Q19" s="6">
        <f t="shared" si="10"/>
        <v>842.18748154127991</v>
      </c>
      <c r="R19" s="351">
        <f t="shared" si="11"/>
        <v>870.62609403623173</v>
      </c>
      <c r="S19" s="353">
        <f>+[3]DailyNov!BM18</f>
        <v>23558.400000000001</v>
      </c>
      <c r="T19" s="6">
        <f t="shared" si="12"/>
        <v>463.84847112563745</v>
      </c>
      <c r="U19" s="5">
        <f t="shared" si="13"/>
        <v>479.51150010177082</v>
      </c>
      <c r="V19" s="353">
        <f>+[3]DailyNov!BQ18</f>
        <v>340.10000000000582</v>
      </c>
      <c r="W19" s="6">
        <f t="shared" si="29"/>
        <v>1.0208023368299715E-2</v>
      </c>
      <c r="X19" s="5">
        <f t="shared" si="14"/>
        <v>0.51845529885257424</v>
      </c>
      <c r="Y19" s="420" t="s">
        <v>183</v>
      </c>
      <c r="Z19" s="420" t="s">
        <v>184</v>
      </c>
    </row>
    <row r="20" spans="1:26" ht="14.25" customHeight="1">
      <c r="A20" s="346">
        <f t="shared" si="30"/>
        <v>45974</v>
      </c>
      <c r="B20" s="352">
        <f>+Report1!P21</f>
        <v>38.309000000000005</v>
      </c>
      <c r="C20" s="352">
        <f>+Report1!R21</f>
        <v>29.459</v>
      </c>
      <c r="D20" s="353">
        <f t="shared" si="0"/>
        <v>370998.96</v>
      </c>
      <c r="E20" s="353">
        <f>+[3]DailyNov!AL19</f>
        <v>26569.65</v>
      </c>
      <c r="F20" s="353">
        <f t="shared" si="1"/>
        <v>693.56156516745409</v>
      </c>
      <c r="G20" s="353">
        <f t="shared" si="2"/>
        <v>901.91961709494558</v>
      </c>
      <c r="H20" s="353">
        <f t="shared" si="3"/>
        <v>134918.96</v>
      </c>
      <c r="I20" s="353">
        <f>+[3]DailyNov!AM19</f>
        <v>10409.65</v>
      </c>
      <c r="J20" s="353">
        <f t="shared" si="4"/>
        <v>271.72857553055411</v>
      </c>
      <c r="K20" s="353">
        <f t="shared" si="5"/>
        <v>353.36060287178788</v>
      </c>
      <c r="L20" s="353">
        <f t="shared" si="6"/>
        <v>6370.0000000000045</v>
      </c>
      <c r="M20" s="353">
        <f>+[3]DailyNov!AN19</f>
        <v>399.99999999997726</v>
      </c>
      <c r="N20" s="353">
        <f t="shared" si="7"/>
        <v>10.441410634576137</v>
      </c>
      <c r="O20" s="353">
        <f t="shared" si="8"/>
        <v>13.578193421364515</v>
      </c>
      <c r="P20" s="353">
        <f t="shared" si="9"/>
        <v>37379.299999999981</v>
      </c>
      <c r="Q20" s="6">
        <f t="shared" si="10"/>
        <v>975.73155133258444</v>
      </c>
      <c r="R20" s="351">
        <f t="shared" si="11"/>
        <v>1268.8584133880981</v>
      </c>
      <c r="S20" s="353">
        <f>+[3]DailyNov!BM19</f>
        <v>19986.300000000007</v>
      </c>
      <c r="T20" s="6">
        <f t="shared" si="12"/>
        <v>521.71291341460244</v>
      </c>
      <c r="U20" s="5">
        <f t="shared" si="13"/>
        <v>678.44461794358278</v>
      </c>
      <c r="V20" s="353">
        <f>+[3]DailyNov!BQ19</f>
        <v>230.10000000000582</v>
      </c>
      <c r="W20" s="6">
        <f t="shared" si="29"/>
        <v>8.660257097854349E-3</v>
      </c>
      <c r="X20" s="5">
        <f t="shared" si="14"/>
        <v>0.3317657891617023</v>
      </c>
      <c r="Y20" s="420" t="s">
        <v>183</v>
      </c>
      <c r="Z20" s="420" t="s">
        <v>184</v>
      </c>
    </row>
    <row r="21" spans="1:26" ht="14.25" customHeight="1">
      <c r="A21" s="346">
        <f t="shared" si="30"/>
        <v>45975</v>
      </c>
      <c r="B21" s="352">
        <f>+Report1!P22</f>
        <v>48.929000000000002</v>
      </c>
      <c r="C21" s="352">
        <f>+Report1!R22</f>
        <v>53.488999999999997</v>
      </c>
      <c r="D21" s="353">
        <f t="shared" si="0"/>
        <v>398813.65</v>
      </c>
      <c r="E21" s="353">
        <f>+[3]DailyNov!AL20</f>
        <v>27814.69</v>
      </c>
      <c r="F21" s="353">
        <f t="shared" si="1"/>
        <v>568.47043675529846</v>
      </c>
      <c r="G21" s="353">
        <f t="shared" si="2"/>
        <v>520.00766512740938</v>
      </c>
      <c r="H21" s="353">
        <f t="shared" si="3"/>
        <v>144573.65</v>
      </c>
      <c r="I21" s="353">
        <f>+[3]DailyNov!AM20</f>
        <v>9654.69</v>
      </c>
      <c r="J21" s="353">
        <f t="shared" si="4"/>
        <v>197.32040303296614</v>
      </c>
      <c r="K21" s="353">
        <f t="shared" si="5"/>
        <v>180.49860719026344</v>
      </c>
      <c r="L21" s="353">
        <f t="shared" si="6"/>
        <v>6980.0000000000182</v>
      </c>
      <c r="M21" s="353">
        <f>+[3]DailyNov!AN20</f>
        <v>610.00000000001364</v>
      </c>
      <c r="N21" s="353">
        <f t="shared" si="7"/>
        <v>12.467044084285671</v>
      </c>
      <c r="O21" s="353">
        <f t="shared" si="8"/>
        <v>11.40421395053214</v>
      </c>
      <c r="P21" s="353">
        <f t="shared" si="9"/>
        <v>38079.380000000012</v>
      </c>
      <c r="Q21" s="6">
        <f t="shared" si="10"/>
        <v>778.25788387255022</v>
      </c>
      <c r="R21" s="351">
        <f t="shared" si="11"/>
        <v>711.91048626820498</v>
      </c>
      <c r="S21" s="353">
        <f>+[3]DailyNov!BM20</f>
        <v>23431.799999999959</v>
      </c>
      <c r="T21" s="6">
        <f t="shared" si="12"/>
        <v>478.89390749861957</v>
      </c>
      <c r="U21" s="5">
        <f t="shared" si="13"/>
        <v>438.0676400755288</v>
      </c>
      <c r="V21" s="353">
        <f>+[3]DailyNov!BQ20</f>
        <v>319.79999999998836</v>
      </c>
      <c r="W21" s="6">
        <f t="shared" si="29"/>
        <v>1.1497521633352317E-2</v>
      </c>
      <c r="X21" s="5">
        <f t="shared" si="14"/>
        <v>0.56256223599829558</v>
      </c>
      <c r="Y21" s="420" t="s">
        <v>183</v>
      </c>
      <c r="Z21" s="420" t="s">
        <v>184</v>
      </c>
    </row>
    <row r="22" spans="1:26" ht="14.25" customHeight="1">
      <c r="A22" s="346">
        <f t="shared" si="30"/>
        <v>45976</v>
      </c>
      <c r="B22" s="352">
        <f>+Report1!P23</f>
        <v>51.454999999999998</v>
      </c>
      <c r="C22" s="352">
        <f>+Report1!R23</f>
        <v>50.347999999999999</v>
      </c>
      <c r="D22" s="353">
        <f t="shared" si="0"/>
        <v>428008.41000000003</v>
      </c>
      <c r="E22" s="353">
        <f>+[3]DailyNov!AL21</f>
        <v>29194.76</v>
      </c>
      <c r="F22" s="353">
        <f t="shared" si="1"/>
        <v>567.38431639296471</v>
      </c>
      <c r="G22" s="353">
        <f t="shared" si="2"/>
        <v>579.85937872408033</v>
      </c>
      <c r="H22" s="353">
        <f t="shared" si="3"/>
        <v>151608.41</v>
      </c>
      <c r="I22" s="353">
        <f>+[3]DailyNov!AM21</f>
        <v>7034.76</v>
      </c>
      <c r="J22" s="353">
        <f t="shared" si="4"/>
        <v>136.71674278495775</v>
      </c>
      <c r="K22" s="353">
        <f t="shared" si="5"/>
        <v>139.72272980058793</v>
      </c>
      <c r="L22" s="353">
        <f t="shared" si="6"/>
        <v>7559.9999999999454</v>
      </c>
      <c r="M22" s="353">
        <f>+[3]DailyNov!AN21</f>
        <v>579.99999999992724</v>
      </c>
      <c r="N22" s="353">
        <f t="shared" si="7"/>
        <v>11.271985229811044</v>
      </c>
      <c r="O22" s="353">
        <f t="shared" si="8"/>
        <v>11.519822038609821</v>
      </c>
      <c r="P22" s="353">
        <f t="shared" si="9"/>
        <v>36809.519999999924</v>
      </c>
      <c r="Q22" s="6">
        <f t="shared" si="10"/>
        <v>715.37304440773346</v>
      </c>
      <c r="R22" s="351">
        <f t="shared" si="11"/>
        <v>731.10193056327807</v>
      </c>
      <c r="S22" s="353">
        <f>+[3]DailyNov!BM21</f>
        <v>26779.450000000088</v>
      </c>
      <c r="T22" s="6">
        <f t="shared" si="12"/>
        <v>520.44407734914171</v>
      </c>
      <c r="U22" s="5">
        <f t="shared" si="13"/>
        <v>531.88706602049911</v>
      </c>
      <c r="V22" s="353">
        <f>+[3]DailyNov!BQ21</f>
        <v>330.10000000000582</v>
      </c>
      <c r="W22" s="6">
        <f t="shared" si="29"/>
        <v>1.1306823553267979E-2</v>
      </c>
      <c r="X22" s="5">
        <f t="shared" si="14"/>
        <v>0.58179260593340376</v>
      </c>
      <c r="Y22" s="420" t="s">
        <v>183</v>
      </c>
      <c r="Z22" s="420" t="s">
        <v>184</v>
      </c>
    </row>
    <row r="23" spans="1:26" ht="15" customHeight="1">
      <c r="A23" s="346">
        <f t="shared" si="30"/>
        <v>45977</v>
      </c>
      <c r="B23" s="352">
        <f>+Report1!P24</f>
        <v>54.106999999999999</v>
      </c>
      <c r="C23" s="352">
        <f>+Report1!R24</f>
        <v>52.406999999999996</v>
      </c>
      <c r="D23" s="353">
        <f t="shared" si="0"/>
        <v>457230.82</v>
      </c>
      <c r="E23" s="353">
        <f>+[3]DailyNov!AL22</f>
        <v>29222.41</v>
      </c>
      <c r="F23" s="353">
        <f t="shared" si="1"/>
        <v>540.08557118302622</v>
      </c>
      <c r="G23" s="353">
        <f t="shared" si="2"/>
        <v>557.60509092296832</v>
      </c>
      <c r="H23" s="353">
        <f t="shared" si="3"/>
        <v>165670.82</v>
      </c>
      <c r="I23" s="353">
        <f>+[3]DailyNov!AM22</f>
        <v>14062.41</v>
      </c>
      <c r="J23" s="353">
        <f t="shared" si="4"/>
        <v>259.90001293732792</v>
      </c>
      <c r="K23" s="353">
        <f t="shared" si="5"/>
        <v>268.33075734157654</v>
      </c>
      <c r="L23" s="353">
        <f t="shared" si="6"/>
        <v>8100.0000000000227</v>
      </c>
      <c r="M23" s="353">
        <f>+[3]DailyNov!AN22</f>
        <v>540.00000000007731</v>
      </c>
      <c r="N23" s="353">
        <f t="shared" si="7"/>
        <v>9.9802243702307898</v>
      </c>
      <c r="O23" s="353">
        <f t="shared" si="8"/>
        <v>10.303967027306989</v>
      </c>
      <c r="P23" s="353">
        <f t="shared" si="9"/>
        <v>43824.82000000008</v>
      </c>
      <c r="Q23" s="6">
        <f t="shared" si="10"/>
        <v>809.965808490585</v>
      </c>
      <c r="R23" s="351">
        <f t="shared" si="11"/>
        <v>836.23981529185187</v>
      </c>
      <c r="S23" s="353">
        <f>+[3]DailyNov!BM22</f>
        <v>29148.448000000011</v>
      </c>
      <c r="T23" s="6">
        <f t="shared" si="12"/>
        <v>538.71861311845066</v>
      </c>
      <c r="U23" s="5">
        <f t="shared" si="13"/>
        <v>556.19379090579525</v>
      </c>
      <c r="V23" s="353">
        <f>+[3]DailyNov!BQ22</f>
        <v>270.10000000000582</v>
      </c>
      <c r="W23" s="6">
        <f t="shared" si="29"/>
        <v>9.2429063858869218E-3</v>
      </c>
      <c r="X23" s="5">
        <f t="shared" si="14"/>
        <v>0.50010593582118368</v>
      </c>
      <c r="Y23" s="420" t="s">
        <v>183</v>
      </c>
      <c r="Z23" s="420" t="s">
        <v>184</v>
      </c>
    </row>
    <row r="24" spans="1:26" ht="15" customHeight="1">
      <c r="A24" s="346">
        <f t="shared" si="30"/>
        <v>45978</v>
      </c>
      <c r="B24" s="352">
        <f>+Report1!P25</f>
        <v>53.837000000000003</v>
      </c>
      <c r="C24" s="352">
        <f>+Report1!R25</f>
        <v>52.018000000000001</v>
      </c>
      <c r="D24" s="353">
        <f t="shared" si="0"/>
        <v>487030.35</v>
      </c>
      <c r="E24" s="353">
        <f>+[3]DailyNov!AL23</f>
        <v>29799.53</v>
      </c>
      <c r="F24" s="353">
        <f t="shared" si="1"/>
        <v>553.51394022698139</v>
      </c>
      <c r="G24" s="353">
        <f t="shared" si="2"/>
        <v>572.86958360567496</v>
      </c>
      <c r="H24" s="353">
        <f t="shared" si="3"/>
        <v>176310.35</v>
      </c>
      <c r="I24" s="353">
        <f>+[3]DailyNov!AM23</f>
        <v>10639.53</v>
      </c>
      <c r="J24" s="353">
        <f t="shared" si="4"/>
        <v>197.62486765607295</v>
      </c>
      <c r="K24" s="353">
        <f t="shared" si="5"/>
        <v>204.53554538813489</v>
      </c>
      <c r="L24" s="353">
        <f t="shared" si="6"/>
        <v>8800.9999999999309</v>
      </c>
      <c r="M24" s="353">
        <f>+[3]DailyNov!AN23</f>
        <v>700.99999999990814</v>
      </c>
      <c r="N24" s="353">
        <f t="shared" si="7"/>
        <v>13.020784962013265</v>
      </c>
      <c r="O24" s="353">
        <f t="shared" si="8"/>
        <v>13.476104425389444</v>
      </c>
      <c r="P24" s="353">
        <f t="shared" si="9"/>
        <v>41140.059999999903</v>
      </c>
      <c r="Q24" s="6">
        <f t="shared" si="10"/>
        <v>764.15959284506755</v>
      </c>
      <c r="R24" s="351">
        <f t="shared" si="11"/>
        <v>790.88123341919913</v>
      </c>
      <c r="S24" s="353">
        <f>+[3]DailyNov!BM23</f>
        <v>28612.683000000296</v>
      </c>
      <c r="T24" s="6">
        <f t="shared" si="12"/>
        <v>531.46874825863802</v>
      </c>
      <c r="U24" s="5">
        <f t="shared" si="13"/>
        <v>550.05350071129794</v>
      </c>
      <c r="V24" s="353">
        <f>+[3]DailyNov!BQ23</f>
        <v>342.09999999997672</v>
      </c>
      <c r="W24" s="6">
        <f t="shared" si="29"/>
        <v>1.1480046832952624E-2</v>
      </c>
      <c r="X24" s="5">
        <f t="shared" si="14"/>
        <v>0.61805128134567044</v>
      </c>
      <c r="Y24" s="420" t="s">
        <v>183</v>
      </c>
      <c r="Z24" s="420" t="s">
        <v>184</v>
      </c>
    </row>
    <row r="25" spans="1:26" ht="15" customHeight="1">
      <c r="A25" s="346">
        <f t="shared" si="30"/>
        <v>45979</v>
      </c>
      <c r="B25" s="352">
        <f>+Report1!P26</f>
        <v>45.822000000000003</v>
      </c>
      <c r="C25" s="352">
        <f>+Report1!R26</f>
        <v>46.14</v>
      </c>
      <c r="D25" s="353">
        <f t="shared" si="0"/>
        <v>514057.29</v>
      </c>
      <c r="E25" s="353">
        <f>+[3]DailyNov!AL24</f>
        <v>27026.94</v>
      </c>
      <c r="F25" s="353">
        <f t="shared" si="1"/>
        <v>589.82453843132112</v>
      </c>
      <c r="G25" s="353">
        <f t="shared" si="2"/>
        <v>585.75942782834852</v>
      </c>
      <c r="H25" s="353">
        <f t="shared" si="3"/>
        <v>186177.29</v>
      </c>
      <c r="I25" s="353">
        <f>+[3]DailyNov!AM24</f>
        <v>9866.94</v>
      </c>
      <c r="J25" s="353">
        <f t="shared" si="4"/>
        <v>215.33193662432893</v>
      </c>
      <c r="K25" s="353">
        <f t="shared" si="5"/>
        <v>213.8478543563069</v>
      </c>
      <c r="L25" s="353">
        <f t="shared" si="6"/>
        <v>9329.9999999999272</v>
      </c>
      <c r="M25" s="353">
        <f>+[3]DailyNov!AN24</f>
        <v>528.99999999999636</v>
      </c>
      <c r="N25" s="353">
        <f t="shared" si="7"/>
        <v>11.544672864562793</v>
      </c>
      <c r="O25" s="353">
        <f t="shared" si="8"/>
        <v>11.465106198526145</v>
      </c>
      <c r="P25" s="353">
        <f t="shared" si="9"/>
        <v>37422.87999999999</v>
      </c>
      <c r="Q25" s="6">
        <f t="shared" si="10"/>
        <v>816.70114792021275</v>
      </c>
      <c r="R25" s="351">
        <f t="shared" si="11"/>
        <v>811.07238838318142</v>
      </c>
      <c r="S25" s="353">
        <f>+[3]DailyNov!BM24</f>
        <v>20612.789999999659</v>
      </c>
      <c r="T25" s="6">
        <f t="shared" si="12"/>
        <v>449.84483435903405</v>
      </c>
      <c r="U25" s="5">
        <f t="shared" si="13"/>
        <v>446.74447334199522</v>
      </c>
      <c r="V25" s="353">
        <f>+[3]DailyNov!BQ24</f>
        <v>307.70000000001164</v>
      </c>
      <c r="W25" s="6">
        <f t="shared" si="29"/>
        <v>1.1384936659496475E-2</v>
      </c>
      <c r="X25" s="5">
        <f t="shared" si="14"/>
        <v>0.52168056761144754</v>
      </c>
      <c r="Y25" s="420" t="s">
        <v>183</v>
      </c>
      <c r="Z25" s="420" t="s">
        <v>184</v>
      </c>
    </row>
    <row r="26" spans="1:26" ht="15" customHeight="1">
      <c r="A26" s="346">
        <f t="shared" si="30"/>
        <v>45980</v>
      </c>
      <c r="B26" s="352">
        <f>+Report1!P27</f>
        <v>51.887</v>
      </c>
      <c r="C26" s="352">
        <f>+Report1!R27</f>
        <v>50.061</v>
      </c>
      <c r="D26" s="353">
        <f t="shared" si="0"/>
        <v>543225.29</v>
      </c>
      <c r="E26" s="353">
        <f>+[3]DailyNov!AL25</f>
        <v>29168</v>
      </c>
      <c r="F26" s="353">
        <f t="shared" si="1"/>
        <v>562.14466051226702</v>
      </c>
      <c r="G26" s="353">
        <f t="shared" si="2"/>
        <v>582.6491680150217</v>
      </c>
      <c r="H26" s="353">
        <f t="shared" si="3"/>
        <v>197185.29</v>
      </c>
      <c r="I26" s="353">
        <f>+[3]DailyNov!AM25</f>
        <v>11008</v>
      </c>
      <c r="J26" s="353">
        <f t="shared" si="4"/>
        <v>212.15333320484899</v>
      </c>
      <c r="K26" s="353">
        <f t="shared" si="5"/>
        <v>219.89173208685403</v>
      </c>
      <c r="L26" s="353">
        <f t="shared" si="6"/>
        <v>10059.999999999945</v>
      </c>
      <c r="M26" s="353">
        <f>+[3]DailyNov!AN25</f>
        <v>730.00000000001819</v>
      </c>
      <c r="N26" s="353">
        <f t="shared" si="7"/>
        <v>14.069034632952727</v>
      </c>
      <c r="O26" s="353">
        <f t="shared" si="8"/>
        <v>14.582209704161286</v>
      </c>
      <c r="P26" s="353">
        <f t="shared" si="9"/>
        <v>40906.000000000015</v>
      </c>
      <c r="Q26" s="6">
        <f t="shared" si="10"/>
        <v>788.36702835006872</v>
      </c>
      <c r="R26" s="351">
        <f t="shared" si="11"/>
        <v>817.12310980603695</v>
      </c>
      <c r="S26" s="353">
        <f>+[3]DailyNov!BM25</f>
        <v>27698.000000000051</v>
      </c>
      <c r="T26" s="6">
        <f t="shared" si="12"/>
        <v>533.813864744542</v>
      </c>
      <c r="U26" s="5">
        <f t="shared" si="13"/>
        <v>553.2849923093836</v>
      </c>
      <c r="V26" s="353">
        <f>+[3]DailyNov!BQ25</f>
        <v>320.10000000000582</v>
      </c>
      <c r="W26" s="6">
        <f t="shared" si="29"/>
        <v>1.0974355458036404E-2</v>
      </c>
      <c r="X26" s="5">
        <f t="shared" si="14"/>
        <v>0.56942638165113491</v>
      </c>
      <c r="Y26" s="420" t="s">
        <v>183</v>
      </c>
      <c r="Z26" s="420" t="s">
        <v>184</v>
      </c>
    </row>
    <row r="27" spans="1:26" ht="15" customHeight="1">
      <c r="A27" s="346">
        <f t="shared" si="30"/>
        <v>45981</v>
      </c>
      <c r="B27" s="352">
        <f>+Report1!P28</f>
        <v>55.744999999999997</v>
      </c>
      <c r="C27" s="352">
        <f>+Report1!R28</f>
        <v>53.6</v>
      </c>
      <c r="D27" s="353">
        <f t="shared" si="0"/>
        <v>570479.82000000007</v>
      </c>
      <c r="E27" s="353">
        <f>+[3]DailyNov!AL26</f>
        <v>27254.53</v>
      </c>
      <c r="F27" s="353">
        <f t="shared" si="1"/>
        <v>488.9143420934613</v>
      </c>
      <c r="G27" s="353">
        <f t="shared" si="2"/>
        <v>508.48003731343277</v>
      </c>
      <c r="H27" s="353">
        <f t="shared" si="3"/>
        <v>207279.82</v>
      </c>
      <c r="I27" s="353">
        <f>+[3]DailyNov!AM26</f>
        <v>10094.530000000001</v>
      </c>
      <c r="J27" s="353">
        <f t="shared" si="4"/>
        <v>181.08404341196521</v>
      </c>
      <c r="K27" s="353">
        <f t="shared" si="5"/>
        <v>188.33078358208957</v>
      </c>
      <c r="L27" s="353">
        <f t="shared" si="6"/>
        <v>10730.000000000018</v>
      </c>
      <c r="M27" s="353">
        <f>+[3]DailyNov!AN26</f>
        <v>670.00000000007276</v>
      </c>
      <c r="N27" s="353">
        <f t="shared" si="7"/>
        <v>12.019015158311468</v>
      </c>
      <c r="O27" s="353">
        <f t="shared" si="8"/>
        <v>12.500000000001357</v>
      </c>
      <c r="P27" s="353">
        <f t="shared" si="9"/>
        <v>38019.06000000007</v>
      </c>
      <c r="Q27" s="6">
        <f t="shared" si="10"/>
        <v>682.01740066373793</v>
      </c>
      <c r="R27" s="351">
        <f t="shared" si="11"/>
        <v>709.31082089552365</v>
      </c>
      <c r="S27" s="353">
        <f>+[3]DailyNov!BM26</f>
        <v>25682.800000000003</v>
      </c>
      <c r="T27" s="6">
        <f t="shared" si="12"/>
        <v>460.71934702663924</v>
      </c>
      <c r="U27" s="5">
        <f t="shared" si="13"/>
        <v>479.1567164179105</v>
      </c>
      <c r="V27" s="353">
        <f>+[3]DailyNov!BQ26</f>
        <v>330.10000000000582</v>
      </c>
      <c r="W27" s="6">
        <f t="shared" si="29"/>
        <v>1.2111748028676548E-2</v>
      </c>
      <c r="X27" s="5">
        <f t="shared" si="14"/>
        <v>0.67516939385857411</v>
      </c>
      <c r="Y27" s="420" t="s">
        <v>183</v>
      </c>
      <c r="Z27" s="420" t="s">
        <v>184</v>
      </c>
    </row>
    <row r="28" spans="1:26" ht="15" customHeight="1">
      <c r="A28" s="346">
        <f t="shared" si="30"/>
        <v>45982</v>
      </c>
      <c r="B28" s="352">
        <f>+Report1!P29</f>
        <v>55.605000000000004</v>
      </c>
      <c r="C28" s="352">
        <f>+Report1!R29</f>
        <v>53.741</v>
      </c>
      <c r="D28" s="353">
        <f t="shared" si="0"/>
        <v>596722.83000000007</v>
      </c>
      <c r="E28" s="353">
        <f>+[3]DailyNov!AL27</f>
        <v>26243.01</v>
      </c>
      <c r="F28" s="353">
        <f t="shared" si="1"/>
        <v>471.95414081467487</v>
      </c>
      <c r="G28" s="353">
        <f t="shared" si="2"/>
        <v>488.32381235927875</v>
      </c>
      <c r="H28" s="353">
        <f t="shared" si="3"/>
        <v>218362.83000000002</v>
      </c>
      <c r="I28" s="353">
        <f>+[3]DailyNov!AM27</f>
        <v>11083.01</v>
      </c>
      <c r="J28" s="353">
        <f t="shared" si="4"/>
        <v>199.31678805862782</v>
      </c>
      <c r="K28" s="353">
        <f t="shared" si="5"/>
        <v>206.23006642972777</v>
      </c>
      <c r="L28" s="353">
        <f t="shared" si="6"/>
        <v>11539.999999999964</v>
      </c>
      <c r="M28" s="353">
        <f>+[3]DailyNov!AN27</f>
        <v>809.99999999994543</v>
      </c>
      <c r="N28" s="353">
        <f t="shared" si="7"/>
        <v>14.56703533854771</v>
      </c>
      <c r="O28" s="353">
        <f t="shared" si="8"/>
        <v>15.072291174335152</v>
      </c>
      <c r="P28" s="353">
        <f t="shared" si="9"/>
        <v>38136.019999999946</v>
      </c>
      <c r="Q28" s="6">
        <f t="shared" si="10"/>
        <v>685.83796421185048</v>
      </c>
      <c r="R28" s="351">
        <f t="shared" si="11"/>
        <v>709.62616996334168</v>
      </c>
      <c r="S28" s="353">
        <f>+[3]DailyNov!BM27</f>
        <v>24315.000000000004</v>
      </c>
      <c r="T28" s="6">
        <f t="shared" si="12"/>
        <v>437.28082007013762</v>
      </c>
      <c r="U28" s="5">
        <f t="shared" si="13"/>
        <v>452.44785173331354</v>
      </c>
      <c r="V28" s="353">
        <f>+[3]DailyNov!BQ27</f>
        <v>349.79999999998836</v>
      </c>
      <c r="W28" s="6">
        <f t="shared" si="29"/>
        <v>1.3329263678213299E-2</v>
      </c>
      <c r="X28" s="5">
        <f t="shared" si="14"/>
        <v>0.74117370682705053</v>
      </c>
      <c r="Y28" s="420" t="s">
        <v>183</v>
      </c>
      <c r="Z28" s="420" t="s">
        <v>184</v>
      </c>
    </row>
    <row r="29" spans="1:26" ht="15" customHeight="1">
      <c r="A29" s="346">
        <f t="shared" si="30"/>
        <v>45983</v>
      </c>
      <c r="B29" s="352">
        <f>+Report1!P30</f>
        <v>49.744000000000007</v>
      </c>
      <c r="C29" s="352">
        <f>+Report1!R30</f>
        <v>51.213999999999999</v>
      </c>
      <c r="D29" s="353">
        <f t="shared" si="0"/>
        <v>625128.68000000005</v>
      </c>
      <c r="E29" s="353">
        <f>+[3]DailyNov!AL28</f>
        <v>28405.85</v>
      </c>
      <c r="F29" s="353">
        <f t="shared" si="1"/>
        <v>571.04072853007392</v>
      </c>
      <c r="G29" s="353">
        <f t="shared" si="2"/>
        <v>554.65009567696336</v>
      </c>
      <c r="H29" s="353">
        <f t="shared" si="3"/>
        <v>228608.68000000002</v>
      </c>
      <c r="I29" s="353">
        <f>+[3]DailyNov!AM28</f>
        <v>10245.85</v>
      </c>
      <c r="J29" s="353">
        <f t="shared" si="4"/>
        <v>205.97157446124154</v>
      </c>
      <c r="K29" s="353">
        <f t="shared" si="5"/>
        <v>200.05955402819544</v>
      </c>
      <c r="L29" s="353">
        <f t="shared" si="6"/>
        <v>12100.000000000022</v>
      </c>
      <c r="M29" s="353">
        <f>+[3]DailyNov!AN28</f>
        <v>560.00000000005912</v>
      </c>
      <c r="N29" s="353">
        <f t="shared" si="7"/>
        <v>11.257639112255932</v>
      </c>
      <c r="O29" s="353">
        <f t="shared" si="8"/>
        <v>10.934510094897082</v>
      </c>
      <c r="P29" s="353">
        <f t="shared" si="9"/>
        <v>39211.700000000055</v>
      </c>
      <c r="Q29" s="6">
        <f t="shared" si="10"/>
        <v>788.26994210357134</v>
      </c>
      <c r="R29" s="351">
        <f t="shared" si="11"/>
        <v>765.64415980005572</v>
      </c>
      <c r="S29" s="353">
        <f>+[3]DailyNov!BM28</f>
        <v>24598.000000000004</v>
      </c>
      <c r="T29" s="6">
        <f t="shared" si="12"/>
        <v>494.49179800578963</v>
      </c>
      <c r="U29" s="5">
        <f t="shared" si="13"/>
        <v>480.29835591830368</v>
      </c>
      <c r="V29" s="353">
        <f>+[3]DailyNov!BQ28</f>
        <v>340.10000000000582</v>
      </c>
      <c r="W29" s="6">
        <f t="shared" si="29"/>
        <v>1.1972885866819893E-2</v>
      </c>
      <c r="X29" s="5">
        <f t="shared" si="14"/>
        <v>0.59557923455908879</v>
      </c>
      <c r="Y29" s="420" t="s">
        <v>183</v>
      </c>
      <c r="Z29" s="420" t="s">
        <v>184</v>
      </c>
    </row>
    <row r="30" spans="1:26" ht="15" customHeight="1">
      <c r="A30" s="346">
        <f t="shared" si="30"/>
        <v>45984</v>
      </c>
      <c r="B30" s="352">
        <f>+Report1!P31</f>
        <v>49.149000000000001</v>
      </c>
      <c r="C30" s="352">
        <f>+Report1!R31</f>
        <v>48.63</v>
      </c>
      <c r="D30" s="353">
        <f t="shared" si="0"/>
        <v>655889.4800000001</v>
      </c>
      <c r="E30" s="353">
        <f>+[3]DailyNov!AL29</f>
        <v>30760.799999999999</v>
      </c>
      <c r="F30" s="353">
        <f t="shared" si="1"/>
        <v>625.86827809314536</v>
      </c>
      <c r="G30" s="353">
        <f t="shared" si="2"/>
        <v>632.54780999383092</v>
      </c>
      <c r="H30" s="353">
        <f t="shared" si="3"/>
        <v>239209.48</v>
      </c>
      <c r="I30" s="353">
        <f>+[3]DailyNov!AM29</f>
        <v>10600.8</v>
      </c>
      <c r="J30" s="353">
        <f t="shared" si="4"/>
        <v>215.68699261429529</v>
      </c>
      <c r="K30" s="353">
        <f t="shared" si="5"/>
        <v>217.98889574336826</v>
      </c>
      <c r="L30" s="353">
        <f t="shared" si="6"/>
        <v>12590.000000000031</v>
      </c>
      <c r="M30" s="353">
        <f>+[3]DailyNov!AN29</f>
        <v>490.00000000000909</v>
      </c>
      <c r="N30" s="353">
        <f t="shared" si="7"/>
        <v>9.9696840220555671</v>
      </c>
      <c r="O30" s="353">
        <f t="shared" si="8"/>
        <v>10.076084721365598</v>
      </c>
      <c r="P30" s="353">
        <f t="shared" si="9"/>
        <v>41851.600000000006</v>
      </c>
      <c r="Q30" s="6">
        <f t="shared" si="10"/>
        <v>851.52495472949613</v>
      </c>
      <c r="R30" s="351">
        <f t="shared" si="11"/>
        <v>860.61279045856475</v>
      </c>
      <c r="S30" s="353">
        <f>+[3]DailyNov!BM29</f>
        <v>22710.500000000004</v>
      </c>
      <c r="T30" s="6">
        <f t="shared" si="12"/>
        <v>462.07450812834446</v>
      </c>
      <c r="U30" s="5">
        <f t="shared" si="13"/>
        <v>467.00596339708005</v>
      </c>
      <c r="V30" s="353">
        <f>+[3]DailyNov!BQ29</f>
        <v>280.10000000000582</v>
      </c>
      <c r="W30" s="6">
        <f t="shared" si="29"/>
        <v>9.1057449741230988E-3</v>
      </c>
      <c r="X30" s="5">
        <f t="shared" si="14"/>
        <v>0.44753825973317618</v>
      </c>
      <c r="Y30" s="420" t="s">
        <v>183</v>
      </c>
      <c r="Z30" s="420" t="s">
        <v>184</v>
      </c>
    </row>
    <row r="31" spans="1:26" ht="15" customHeight="1">
      <c r="A31" s="346">
        <f t="shared" si="30"/>
        <v>45985</v>
      </c>
      <c r="B31" s="352">
        <f>+Report1!P32</f>
        <v>52.41</v>
      </c>
      <c r="C31" s="352">
        <f>+Report1!R32</f>
        <v>51.286999999999999</v>
      </c>
      <c r="D31" s="353">
        <f t="shared" si="0"/>
        <v>685745.32000000007</v>
      </c>
      <c r="E31" s="353">
        <f>+[3]DailyNov!AL30</f>
        <v>29855.84</v>
      </c>
      <c r="F31" s="353">
        <f t="shared" si="1"/>
        <v>569.65922533867581</v>
      </c>
      <c r="G31" s="353">
        <f t="shared" si="2"/>
        <v>582.13270419404523</v>
      </c>
      <c r="H31" s="353">
        <f t="shared" si="3"/>
        <v>249905.32</v>
      </c>
      <c r="I31" s="353">
        <f>+[3]DailyNov!AM30</f>
        <v>10695.84</v>
      </c>
      <c r="J31" s="353">
        <f t="shared" si="4"/>
        <v>204.08013737836293</v>
      </c>
      <c r="K31" s="353">
        <f t="shared" si="5"/>
        <v>208.54875504513817</v>
      </c>
      <c r="L31" s="353">
        <f t="shared" si="6"/>
        <v>12980.000000000018</v>
      </c>
      <c r="M31" s="353">
        <f>+[3]DailyNov!AN30</f>
        <v>389.99999999998636</v>
      </c>
      <c r="N31" s="353">
        <f t="shared" si="7"/>
        <v>7.4413279908411827</v>
      </c>
      <c r="O31" s="353">
        <f t="shared" si="8"/>
        <v>7.604266188312562</v>
      </c>
      <c r="P31" s="353">
        <f t="shared" si="9"/>
        <v>40941.679999999986</v>
      </c>
      <c r="Q31" s="6">
        <f t="shared" si="10"/>
        <v>781.18069070787999</v>
      </c>
      <c r="R31" s="351">
        <f t="shared" si="11"/>
        <v>798.285725427496</v>
      </c>
      <c r="S31" s="353">
        <f>+[3]DailyNov!BM30</f>
        <v>25592.700000000004</v>
      </c>
      <c r="T31" s="6">
        <f t="shared" si="12"/>
        <v>488.31711505437903</v>
      </c>
      <c r="U31" s="5">
        <f t="shared" si="13"/>
        <v>499.00949558367626</v>
      </c>
      <c r="V31" s="353">
        <f>+[3]DailyNov!BQ30</f>
        <v>320.04999999998836</v>
      </c>
      <c r="W31" s="6">
        <f t="shared" si="29"/>
        <v>1.0719845765518182E-2</v>
      </c>
      <c r="X31" s="5">
        <f t="shared" si="14"/>
        <v>0.56182711657080797</v>
      </c>
      <c r="Y31" s="420" t="s">
        <v>183</v>
      </c>
      <c r="Z31" s="420" t="s">
        <v>184</v>
      </c>
    </row>
    <row r="32" spans="1:26" ht="15.75" customHeight="1">
      <c r="A32" s="346">
        <f t="shared" si="30"/>
        <v>45986</v>
      </c>
      <c r="B32" s="352">
        <f>+Report1!P33</f>
        <v>49.207999999999998</v>
      </c>
      <c r="C32" s="352">
        <f>+Report1!R33</f>
        <v>48.874000000000002</v>
      </c>
      <c r="D32" s="353">
        <f t="shared" si="0"/>
        <v>716588.64</v>
      </c>
      <c r="E32" s="353">
        <f>+[3]DailyNov!AL31</f>
        <v>30843.32</v>
      </c>
      <c r="F32" s="353">
        <f t="shared" si="1"/>
        <v>626.79483010892534</v>
      </c>
      <c r="G32" s="353">
        <f t="shared" si="2"/>
        <v>631.07828293162004</v>
      </c>
      <c r="H32" s="353">
        <f t="shared" si="3"/>
        <v>259588.64</v>
      </c>
      <c r="I32" s="353">
        <f>+[3]DailyNov!AM31</f>
        <v>9683.32</v>
      </c>
      <c r="J32" s="353">
        <f t="shared" si="4"/>
        <v>196.78344984555358</v>
      </c>
      <c r="K32" s="353">
        <f t="shared" si="5"/>
        <v>198.12824814829969</v>
      </c>
      <c r="L32" s="353">
        <f t="shared" si="6"/>
        <v>13439.999999999942</v>
      </c>
      <c r="M32" s="353">
        <f>+[3]DailyNov!AN31</f>
        <v>459.99999999992269</v>
      </c>
      <c r="N32" s="353">
        <f t="shared" si="7"/>
        <v>9.3480734839847734</v>
      </c>
      <c r="O32" s="353">
        <f t="shared" si="8"/>
        <v>9.4119572778966862</v>
      </c>
      <c r="P32" s="353">
        <f t="shared" si="9"/>
        <v>40986.639999999919</v>
      </c>
      <c r="Q32" s="6">
        <f t="shared" si="10"/>
        <v>832.92635343846371</v>
      </c>
      <c r="R32" s="351">
        <f t="shared" si="11"/>
        <v>838.61848835781632</v>
      </c>
      <c r="S32" s="353">
        <f>+[3]DailyNov!BM31</f>
        <v>26406.099999999824</v>
      </c>
      <c r="T32" s="6">
        <f t="shared" si="12"/>
        <v>536.62209396845685</v>
      </c>
      <c r="U32" s="5">
        <f t="shared" si="13"/>
        <v>540.28931538240829</v>
      </c>
      <c r="V32" s="353">
        <f>+[3]DailyNov!BQ31</f>
        <v>340.04999999998836</v>
      </c>
      <c r="W32" s="6">
        <f t="shared" si="29"/>
        <v>1.1025077715368784E-2</v>
      </c>
      <c r="X32" s="5">
        <f t="shared" si="14"/>
        <v>0.54252202421786722</v>
      </c>
      <c r="Y32" s="420" t="s">
        <v>183</v>
      </c>
      <c r="Z32" s="420" t="s">
        <v>184</v>
      </c>
    </row>
    <row r="33" spans="1:26" ht="15">
      <c r="A33" s="346">
        <f t="shared" si="30"/>
        <v>45987</v>
      </c>
      <c r="B33" s="352">
        <f>+Report1!P34</f>
        <v>49.229000000000006</v>
      </c>
      <c r="C33" s="352">
        <f>+Report1!R34</f>
        <v>48.337000000000003</v>
      </c>
      <c r="D33" s="353">
        <f t="shared" si="0"/>
        <v>750315.87</v>
      </c>
      <c r="E33" s="353">
        <f>+[3]DailyNov!AL32</f>
        <v>33727.229999999996</v>
      </c>
      <c r="F33" s="353">
        <f t="shared" si="1"/>
        <v>685.10898047898581</v>
      </c>
      <c r="G33" s="353">
        <f t="shared" si="2"/>
        <v>697.75182572356562</v>
      </c>
      <c r="H33" s="353">
        <f t="shared" si="3"/>
        <v>270155.87</v>
      </c>
      <c r="I33" s="353">
        <f>+[3]DailyNov!AM32</f>
        <v>10567.23</v>
      </c>
      <c r="J33" s="353">
        <f t="shared" si="4"/>
        <v>214.65457352373596</v>
      </c>
      <c r="K33" s="353">
        <f t="shared" si="5"/>
        <v>218.61576018371017</v>
      </c>
      <c r="L33" s="353">
        <f t="shared" si="6"/>
        <v>13990.000000000011</v>
      </c>
      <c r="M33" s="353">
        <f>+[3]DailyNov!AN32</f>
        <v>550.00000000006821</v>
      </c>
      <c r="N33" s="353">
        <f t="shared" si="7"/>
        <v>11.172276503688236</v>
      </c>
      <c r="O33" s="353">
        <f t="shared" si="8"/>
        <v>11.378447152286409</v>
      </c>
      <c r="P33" s="353">
        <f t="shared" si="9"/>
        <v>44844.460000000057</v>
      </c>
      <c r="Q33" s="6">
        <f t="shared" si="10"/>
        <v>910.93583050640984</v>
      </c>
      <c r="R33" s="351">
        <f t="shared" si="11"/>
        <v>927.74603305956214</v>
      </c>
      <c r="S33" s="353">
        <f>+[3]DailyNov!BM32</f>
        <v>21645.500000000073</v>
      </c>
      <c r="T33" s="6">
        <f t="shared" si="12"/>
        <v>439.69002011009911</v>
      </c>
      <c r="U33" s="5">
        <f t="shared" si="13"/>
        <v>447.80395969961046</v>
      </c>
      <c r="V33" s="353">
        <f>+[3]DailyNov!BQ32</f>
        <v>289.70000000001164</v>
      </c>
      <c r="W33" s="6">
        <f t="shared" si="29"/>
        <v>8.5894987521955308E-3</v>
      </c>
      <c r="X33" s="5">
        <f t="shared" si="14"/>
        <v>0.42285243407183382</v>
      </c>
      <c r="Y33" s="420" t="s">
        <v>183</v>
      </c>
      <c r="Z33" s="420" t="s">
        <v>184</v>
      </c>
    </row>
    <row r="34" spans="1:26">
      <c r="A34" s="346">
        <f t="shared" si="30"/>
        <v>45988</v>
      </c>
      <c r="B34" s="352">
        <f>+Report1!P35</f>
        <v>43.781000000000006</v>
      </c>
      <c r="C34" s="352">
        <f>+Report1!R35</f>
        <v>40.588000000000001</v>
      </c>
      <c r="D34" s="353">
        <f t="shared" si="0"/>
        <v>779994.76</v>
      </c>
      <c r="E34" s="353">
        <f>+[3]DailyNov!AL33</f>
        <v>29678.89</v>
      </c>
      <c r="F34" s="348">
        <f t="shared" si="1"/>
        <v>677.89429204449414</v>
      </c>
      <c r="G34" s="348">
        <f t="shared" si="2"/>
        <v>731.22326796097366</v>
      </c>
      <c r="H34" s="353">
        <f t="shared" si="3"/>
        <v>280674.76</v>
      </c>
      <c r="I34" s="353">
        <f>+[3]DailyNov!AM33</f>
        <v>10518.89</v>
      </c>
      <c r="J34" s="348">
        <f t="shared" si="4"/>
        <v>240.2615289737557</v>
      </c>
      <c r="K34" s="348">
        <f t="shared" si="5"/>
        <v>259.16256036266873</v>
      </c>
      <c r="L34" s="353">
        <f t="shared" si="6"/>
        <v>14389.999999999989</v>
      </c>
      <c r="M34" s="353">
        <f>+[3]DailyNov!AN33</f>
        <v>399.99999999997726</v>
      </c>
      <c r="N34" s="348">
        <f t="shared" si="7"/>
        <v>9.1363833626453754</v>
      </c>
      <c r="O34" s="348">
        <f t="shared" si="8"/>
        <v>9.8551295949536133</v>
      </c>
      <c r="P34" s="353">
        <f t="shared" si="9"/>
        <v>40597.779999999977</v>
      </c>
      <c r="Q34" s="350">
        <f t="shared" si="10"/>
        <v>927.29220438089521</v>
      </c>
      <c r="R34" s="351">
        <f t="shared" si="11"/>
        <v>1000.240957918596</v>
      </c>
      <c r="S34" s="353">
        <f>+[3]DailyNov!BM33</f>
        <v>17920.357999999818</v>
      </c>
      <c r="T34" s="6">
        <f t="shared" si="12"/>
        <v>409.31815170964154</v>
      </c>
      <c r="U34" s="5">
        <f t="shared" si="13"/>
        <v>441.51862619492999</v>
      </c>
      <c r="V34" s="353">
        <f>+[3]DailyNov!BQ33</f>
        <v>282.0000000000291</v>
      </c>
      <c r="W34" s="6">
        <f t="shared" si="29"/>
        <v>9.5017030623459672E-3</v>
      </c>
      <c r="X34" s="5">
        <f t="shared" si="14"/>
        <v>0.41599406177256881</v>
      </c>
    </row>
    <row r="35" spans="1:26">
      <c r="A35" s="346">
        <f t="shared" si="30"/>
        <v>45989</v>
      </c>
      <c r="B35" s="352">
        <f>+Report1!P36</f>
        <v>54.042000000000002</v>
      </c>
      <c r="C35" s="352">
        <f>+Report1!R36</f>
        <v>55.177</v>
      </c>
      <c r="D35" s="353">
        <f t="shared" si="0"/>
        <v>813205.16</v>
      </c>
      <c r="E35" s="353">
        <f>+[3]DailyNov!AL34</f>
        <v>33210.400000000001</v>
      </c>
      <c r="F35" s="348">
        <f t="shared" si="1"/>
        <v>614.52944006513451</v>
      </c>
      <c r="G35" s="348">
        <f t="shared" si="2"/>
        <v>601.88846802109583</v>
      </c>
      <c r="H35" s="353">
        <f t="shared" si="3"/>
        <v>290725.16000000003</v>
      </c>
      <c r="I35" s="353">
        <f>+[3]DailyNov!AM34</f>
        <v>10050.4</v>
      </c>
      <c r="J35" s="348">
        <f t="shared" si="4"/>
        <v>185.97387217349467</v>
      </c>
      <c r="K35" s="348">
        <f t="shared" si="5"/>
        <v>182.14835891766495</v>
      </c>
      <c r="L35" s="353">
        <f t="shared" si="6"/>
        <v>14699.999999999935</v>
      </c>
      <c r="M35" s="353">
        <f>+[3]DailyNov!AN34</f>
        <v>309.99999999994543</v>
      </c>
      <c r="N35" s="348">
        <f t="shared" si="7"/>
        <v>5.7362791902584176</v>
      </c>
      <c r="O35" s="348">
        <f t="shared" si="8"/>
        <v>5.6182829802262795</v>
      </c>
      <c r="P35" s="353">
        <f t="shared" si="9"/>
        <v>43570.799999999945</v>
      </c>
      <c r="Q35" s="350">
        <f t="shared" si="10"/>
        <v>806.23959142888759</v>
      </c>
      <c r="R35" s="351">
        <f t="shared" si="11"/>
        <v>789.65510991898702</v>
      </c>
      <c r="S35" s="353">
        <f>+[3]DailyNov!BM34</f>
        <v>24886.071000000244</v>
      </c>
      <c r="T35" s="6">
        <f t="shared" si="12"/>
        <v>460.49500388587103</v>
      </c>
      <c r="U35" s="5">
        <f t="shared" si="13"/>
        <v>451.02254562589928</v>
      </c>
      <c r="V35" s="353">
        <f>+[3]DailyNov!BQ34</f>
        <v>404.19999999998254</v>
      </c>
      <c r="W35" s="6">
        <f t="shared" si="29"/>
        <v>1.2170886228409851E-2</v>
      </c>
      <c r="X35" s="5">
        <f t="shared" si="14"/>
        <v>0.65773903355572527</v>
      </c>
    </row>
    <row r="36" spans="1:26">
      <c r="A36" s="346">
        <f t="shared" si="30"/>
        <v>45990</v>
      </c>
      <c r="B36" s="352">
        <f>+Report1!P37</f>
        <v>53.959000000000003</v>
      </c>
      <c r="C36" s="352">
        <f>+Report1!R37</f>
        <v>50.954999999999998</v>
      </c>
      <c r="D36" s="353">
        <f t="shared" si="0"/>
        <v>847640.77</v>
      </c>
      <c r="E36" s="353">
        <f>+[3]DailyNov!AL35</f>
        <v>34435.61</v>
      </c>
      <c r="F36" s="348">
        <f t="shared" si="1"/>
        <v>638.18102633480976</v>
      </c>
      <c r="G36" s="348">
        <f t="shared" si="2"/>
        <v>675.80433716023947</v>
      </c>
      <c r="H36" s="353">
        <f t="shared" si="3"/>
        <v>302000.77</v>
      </c>
      <c r="I36" s="353">
        <f>+[3]DailyNov!AM35</f>
        <v>11275.61</v>
      </c>
      <c r="J36" s="348">
        <f t="shared" si="4"/>
        <v>208.96625215441352</v>
      </c>
      <c r="K36" s="348">
        <f t="shared" si="5"/>
        <v>221.28564419585911</v>
      </c>
      <c r="L36" s="353">
        <f t="shared" si="6"/>
        <v>14870.000000000007</v>
      </c>
      <c r="M36" s="353">
        <f>+[3]DailyNov!AN35</f>
        <v>170.00000000007276</v>
      </c>
      <c r="N36" s="348">
        <f t="shared" si="7"/>
        <v>3.1505402249869854</v>
      </c>
      <c r="O36" s="348">
        <f t="shared" si="8"/>
        <v>3.3362771072529243</v>
      </c>
      <c r="P36" s="353">
        <f t="shared" si="9"/>
        <v>45881.220000000074</v>
      </c>
      <c r="Q36" s="350">
        <f t="shared" si="10"/>
        <v>850.29781871421028</v>
      </c>
      <c r="R36" s="351">
        <f t="shared" si="11"/>
        <v>900.42625846335147</v>
      </c>
      <c r="S36" s="353">
        <f>+[3]DailyNov!BM35</f>
        <v>24126.427199999751</v>
      </c>
      <c r="T36" s="6">
        <f t="shared" si="12"/>
        <v>447.12517281639299</v>
      </c>
      <c r="U36" s="5">
        <f t="shared" si="13"/>
        <v>473.48498086546465</v>
      </c>
      <c r="V36" s="353">
        <f>+[3]DailyNov!BQ35</f>
        <v>337.51999999996042</v>
      </c>
      <c r="W36" s="6">
        <f t="shared" si="29"/>
        <v>9.8014816638927089E-3</v>
      </c>
      <c r="X36" s="5">
        <f t="shared" si="14"/>
        <v>0.52887814910198672</v>
      </c>
    </row>
    <row r="37" spans="1:26">
      <c r="A37" s="346">
        <f t="shared" si="30"/>
        <v>45991</v>
      </c>
      <c r="B37" s="352">
        <f>+Report1!P38</f>
        <v>50.936999999999998</v>
      </c>
      <c r="C37" s="352">
        <f>+Report1!R38</f>
        <v>49.741</v>
      </c>
      <c r="D37" s="353">
        <f t="shared" si="0"/>
        <v>881179.07000000007</v>
      </c>
      <c r="E37" s="353">
        <f>+[3]DailyNov!AL36</f>
        <v>33538.300000000003</v>
      </c>
      <c r="F37" s="348">
        <f t="shared" si="1"/>
        <v>658.42707658480094</v>
      </c>
      <c r="G37" s="348">
        <f t="shared" si="2"/>
        <v>674.25865985806479</v>
      </c>
      <c r="H37" s="353">
        <f t="shared" si="3"/>
        <v>312379.07</v>
      </c>
      <c r="I37" s="353">
        <f>+[3]DailyNov!AM36</f>
        <v>10378.299999999999</v>
      </c>
      <c r="J37" s="348">
        <f t="shared" si="4"/>
        <v>203.74776684924515</v>
      </c>
      <c r="K37" s="348">
        <f t="shared" si="5"/>
        <v>208.64679037413802</v>
      </c>
      <c r="L37" s="353">
        <f t="shared" si="6"/>
        <v>14980.000000000022</v>
      </c>
      <c r="M37" s="353">
        <f>+[3]DailyNov!AN36</f>
        <v>110.00000000001364</v>
      </c>
      <c r="N37" s="348">
        <f t="shared" si="7"/>
        <v>2.1595304002986757</v>
      </c>
      <c r="O37" s="348">
        <f t="shared" si="8"/>
        <v>2.2114553386545031</v>
      </c>
      <c r="P37" s="353">
        <f t="shared" si="9"/>
        <v>44026.60000000002</v>
      </c>
      <c r="Q37" s="350">
        <f t="shared" si="10"/>
        <v>864.33437383434477</v>
      </c>
      <c r="R37" s="351">
        <f t="shared" si="11"/>
        <v>885.11690557085751</v>
      </c>
      <c r="S37" s="353">
        <f>+[3]DailyNov!BM36</f>
        <v>23744.557200000509</v>
      </c>
      <c r="T37" s="6">
        <f t="shared" si="12"/>
        <v>466.15539195477766</v>
      </c>
      <c r="U37" s="5">
        <f t="shared" si="13"/>
        <v>477.36388894474396</v>
      </c>
      <c r="V37" s="353">
        <f>+[3]DailyNov!BQ36</f>
        <v>315.0800000000454</v>
      </c>
      <c r="W37" s="6">
        <f t="shared" si="29"/>
        <v>9.3946324053409205E-3</v>
      </c>
      <c r="X37" s="5">
        <f t="shared" si="14"/>
        <v>0.47853439083085042</v>
      </c>
    </row>
    <row r="38" spans="1:26">
      <c r="A38" s="346">
        <f t="shared" si="30"/>
        <v>45992</v>
      </c>
      <c r="B38" s="352">
        <f>+Report1!P39</f>
        <v>0</v>
      </c>
      <c r="C38" s="352">
        <f>+Report1!R39</f>
        <v>0</v>
      </c>
      <c r="D38" s="353">
        <f t="shared" si="0"/>
        <v>881179.07000000007</v>
      </c>
      <c r="E38" s="353">
        <f>+[3]DailyNov!AL37</f>
        <v>0</v>
      </c>
      <c r="F38" s="348" t="e">
        <f t="shared" si="1"/>
        <v>#DIV/0!</v>
      </c>
      <c r="G38" s="348" t="e">
        <f t="shared" si="2"/>
        <v>#DIV/0!</v>
      </c>
      <c r="H38" s="353">
        <f t="shared" si="3"/>
        <v>312379.07</v>
      </c>
      <c r="I38" s="353">
        <f>+[3]DailyNov!AM37</f>
        <v>0</v>
      </c>
      <c r="J38" s="348" t="e">
        <f t="shared" si="4"/>
        <v>#DIV/0!</v>
      </c>
      <c r="K38" s="348" t="e">
        <f t="shared" si="5"/>
        <v>#DIV/0!</v>
      </c>
      <c r="L38" s="353">
        <f t="shared" si="6"/>
        <v>14980.000000000022</v>
      </c>
      <c r="M38" s="353">
        <f>+[3]DailyNov!AN37</f>
        <v>0</v>
      </c>
      <c r="N38" s="348" t="e">
        <f t="shared" si="7"/>
        <v>#DIV/0!</v>
      </c>
      <c r="O38" s="348" t="e">
        <f t="shared" si="8"/>
        <v>#DIV/0!</v>
      </c>
      <c r="P38" s="353">
        <f t="shared" si="9"/>
        <v>0</v>
      </c>
      <c r="Q38" s="350" t="e">
        <f t="shared" si="10"/>
        <v>#DIV/0!</v>
      </c>
      <c r="R38" s="351" t="e">
        <f t="shared" si="11"/>
        <v>#DIV/0!</v>
      </c>
      <c r="S38" s="353">
        <f>+[3]DailyNov!BM37</f>
        <v>0</v>
      </c>
      <c r="T38" s="6" t="e">
        <f t="shared" si="12"/>
        <v>#DIV/0!</v>
      </c>
      <c r="U38" s="5" t="e">
        <f t="shared" si="13"/>
        <v>#DIV/0!</v>
      </c>
      <c r="V38" s="353">
        <f>+[3]DailyNov!BQ37</f>
        <v>0</v>
      </c>
      <c r="W38" s="6" t="e">
        <f t="shared" si="29"/>
        <v>#DIV/0!</v>
      </c>
      <c r="X38" s="5" t="e">
        <f t="shared" si="14"/>
        <v>#DIV/0!</v>
      </c>
    </row>
    <row r="39" spans="1:26">
      <c r="A39" s="346"/>
      <c r="B39" s="352"/>
      <c r="C39" s="352"/>
      <c r="D39" s="342"/>
      <c r="E39" s="353"/>
      <c r="F39" s="348"/>
      <c r="G39" s="348"/>
      <c r="H39" s="343"/>
      <c r="I39" s="353"/>
      <c r="J39" s="348"/>
      <c r="K39" s="348"/>
      <c r="L39" s="345"/>
      <c r="M39" s="353"/>
      <c r="N39" s="348"/>
      <c r="O39" s="348"/>
      <c r="P39" s="349"/>
      <c r="Q39" s="350"/>
      <c r="R39" s="351"/>
      <c r="S39" s="351"/>
      <c r="T39" s="6"/>
      <c r="U39" s="5"/>
      <c r="V39" s="351"/>
      <c r="W39" s="6"/>
      <c r="X39" s="5"/>
    </row>
    <row r="40" spans="1:26">
      <c r="A40" s="354" t="s">
        <v>29</v>
      </c>
      <c r="B40" s="355">
        <f>SUM(B8:B38)</f>
        <v>1506.0089999999998</v>
      </c>
      <c r="C40" s="355">
        <f>SUM(C8:C38)</f>
        <v>1468.2629999999999</v>
      </c>
      <c r="D40" s="349"/>
      <c r="E40" s="353">
        <f>SUM(E8:E39)</f>
        <v>881179.07000000007</v>
      </c>
      <c r="F40" s="356">
        <f>E40/B40</f>
        <v>585.10876761028669</v>
      </c>
      <c r="G40" s="356">
        <f>E40/C40</f>
        <v>600.1507018837907</v>
      </c>
      <c r="H40" s="357"/>
      <c r="I40" s="353">
        <f>SUM(I8:I39)</f>
        <v>312379.07</v>
      </c>
      <c r="J40" s="356">
        <f>I40/B40</f>
        <v>207.42178167593954</v>
      </c>
      <c r="K40" s="356">
        <f>I40/C40</f>
        <v>212.75416597707633</v>
      </c>
      <c r="L40" s="358"/>
      <c r="M40" s="353">
        <f>SUM(M8:M39)</f>
        <v>14980.000000000022</v>
      </c>
      <c r="N40" s="356">
        <f>M40/B40</f>
        <v>9.946819706920758</v>
      </c>
      <c r="O40" s="356">
        <f>M40/C40</f>
        <v>10.202531835236618</v>
      </c>
      <c r="P40" s="353">
        <f t="shared" ref="P40" si="87">+E40+I40+M40</f>
        <v>1208538.1400000001</v>
      </c>
      <c r="Q40" s="568">
        <f>P40/B40</f>
        <v>802.47736899314702</v>
      </c>
      <c r="R40" s="358">
        <f>P40/C40</f>
        <v>823.10739969610358</v>
      </c>
      <c r="S40" s="349">
        <f>+SUM(S8:S38)</f>
        <v>722447.82440000027</v>
      </c>
      <c r="T40" s="6">
        <f t="shared" si="12"/>
        <v>479.71016401628435</v>
      </c>
      <c r="U40" s="5">
        <f t="shared" si="13"/>
        <v>492.0425185406159</v>
      </c>
      <c r="V40" s="349">
        <f>+SUM(V8:V38)</f>
        <v>9288.8000000000175</v>
      </c>
      <c r="W40" s="6">
        <f t="shared" ref="W40" si="88">V40/E40</f>
        <v>1.054133071953243E-2</v>
      </c>
      <c r="X40" s="5">
        <f t="shared" ref="X40" si="89">V40/F40</f>
        <v>15.87533893559231</v>
      </c>
    </row>
    <row r="42" spans="1:26">
      <c r="P42" s="4">
        <v>-1413750.8400000005</v>
      </c>
      <c r="S42" s="4">
        <v>-457460.9152000001</v>
      </c>
      <c r="V42" s="4">
        <v>-457460.9152000001</v>
      </c>
    </row>
    <row r="43" spans="1:26">
      <c r="G43" s="359"/>
      <c r="H43" s="360"/>
    </row>
    <row r="44" spans="1:26">
      <c r="G44" s="359"/>
      <c r="I44" s="359"/>
      <c r="L44" s="359"/>
    </row>
    <row r="45" spans="1:26">
      <c r="E45" t="s">
        <v>0</v>
      </c>
      <c r="G45" s="359"/>
    </row>
  </sheetData>
  <mergeCells count="11">
    <mergeCell ref="V4:X5"/>
    <mergeCell ref="A2:P2"/>
    <mergeCell ref="D4:O4"/>
    <mergeCell ref="P4:R5"/>
    <mergeCell ref="S4:U5"/>
    <mergeCell ref="H5:K5"/>
    <mergeCell ref="L5:O5"/>
    <mergeCell ref="A4:A6"/>
    <mergeCell ref="B4:B6"/>
    <mergeCell ref="C4:C6"/>
    <mergeCell ref="D5:G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94"/>
  <sheetViews>
    <sheetView topLeftCell="A58" zoomScaleNormal="100" workbookViewId="0">
      <selection activeCell="D77" sqref="D77:D78"/>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2" t="s">
        <v>384</v>
      </c>
      <c r="B1" s="365">
        <f>+Report1!A9</f>
        <v>45962</v>
      </c>
      <c r="C1" s="93"/>
      <c r="G1" s="94"/>
      <c r="H1" s="95"/>
    </row>
    <row r="2" spans="1:9" ht="13.5" thickBot="1">
      <c r="A2" s="92"/>
      <c r="B2" s="93"/>
      <c r="C2" s="93"/>
      <c r="G2" s="94"/>
      <c r="H2" s="95"/>
    </row>
    <row r="3" spans="1:9" ht="26.25" thickBot="1">
      <c r="A3" s="419" t="s">
        <v>134</v>
      </c>
      <c r="B3" s="405" t="s">
        <v>10</v>
      </c>
      <c r="C3" s="405" t="s">
        <v>107</v>
      </c>
      <c r="D3" s="405" t="s">
        <v>135</v>
      </c>
      <c r="E3" s="405" t="s">
        <v>136</v>
      </c>
      <c r="F3" s="405" t="s">
        <v>137</v>
      </c>
      <c r="G3" s="406" t="s">
        <v>138</v>
      </c>
      <c r="H3" s="449" t="s">
        <v>139</v>
      </c>
      <c r="I3" s="581" t="s">
        <v>402</v>
      </c>
    </row>
    <row r="4" spans="1:9">
      <c r="A4" s="369">
        <f>+B1</f>
        <v>45962</v>
      </c>
      <c r="B4" s="434" t="s">
        <v>441</v>
      </c>
      <c r="C4" s="370">
        <v>2</v>
      </c>
      <c r="D4" s="404" t="s">
        <v>442</v>
      </c>
      <c r="E4" s="404">
        <f>274*1</f>
        <v>274</v>
      </c>
      <c r="F4" s="371">
        <f>5+7+11+5+23</f>
        <v>51</v>
      </c>
      <c r="G4" s="370">
        <f>+E4*F4</f>
        <v>13974</v>
      </c>
      <c r="H4" s="436">
        <f>+G4/F4</f>
        <v>274</v>
      </c>
      <c r="I4" s="582">
        <f>+'1'!I38</f>
        <v>42.54</v>
      </c>
    </row>
    <row r="5" spans="1:9">
      <c r="A5" s="545"/>
      <c r="B5" s="546" t="s">
        <v>416</v>
      </c>
      <c r="C5" s="547">
        <v>2</v>
      </c>
      <c r="D5" s="548" t="s">
        <v>442</v>
      </c>
      <c r="E5" s="548">
        <f>274*1</f>
        <v>274</v>
      </c>
      <c r="F5" s="549">
        <v>10</v>
      </c>
      <c r="G5" s="547">
        <f>+E5*F5</f>
        <v>2740</v>
      </c>
      <c r="H5" s="436">
        <f>+G5/F5</f>
        <v>274</v>
      </c>
      <c r="I5" s="582"/>
    </row>
    <row r="6" spans="1:9" ht="13.5" thickBot="1">
      <c r="A6" s="407"/>
      <c r="B6" s="408"/>
      <c r="C6" s="409"/>
      <c r="D6" s="410"/>
      <c r="E6" s="409"/>
      <c r="F6" s="409"/>
      <c r="G6" s="409"/>
      <c r="H6" s="435"/>
      <c r="I6" s="435"/>
    </row>
    <row r="7" spans="1:9">
      <c r="A7" s="369">
        <v>45963</v>
      </c>
      <c r="B7" s="434" t="s">
        <v>441</v>
      </c>
      <c r="C7" s="370">
        <v>2</v>
      </c>
      <c r="D7" s="404" t="s">
        <v>442</v>
      </c>
      <c r="E7" s="404">
        <f>274*1</f>
        <v>274</v>
      </c>
      <c r="F7" s="404">
        <f>23+23</f>
        <v>46</v>
      </c>
      <c r="G7" s="370">
        <f>+E7*F7</f>
        <v>12604</v>
      </c>
      <c r="H7" s="436">
        <f>+G7/F7</f>
        <v>274</v>
      </c>
      <c r="I7" s="582">
        <f>+'2'!I38</f>
        <v>48.241</v>
      </c>
    </row>
    <row r="8" spans="1:9">
      <c r="A8" s="545"/>
      <c r="B8" s="546" t="s">
        <v>416</v>
      </c>
      <c r="C8" s="547">
        <v>2</v>
      </c>
      <c r="D8" s="548" t="s">
        <v>443</v>
      </c>
      <c r="E8" s="548">
        <f>137*2</f>
        <v>274</v>
      </c>
      <c r="F8" s="548">
        <f>60/2</f>
        <v>30</v>
      </c>
      <c r="G8" s="547">
        <f>+E8*F8</f>
        <v>8220</v>
      </c>
      <c r="H8" s="436">
        <f>+G8/F8</f>
        <v>274</v>
      </c>
      <c r="I8" s="582"/>
    </row>
    <row r="9" spans="1:9" ht="13.5" thickBot="1">
      <c r="A9" s="407"/>
      <c r="B9" s="408"/>
      <c r="C9" s="409"/>
      <c r="D9" s="410"/>
      <c r="E9" s="409"/>
      <c r="F9" s="409"/>
      <c r="G9" s="409"/>
      <c r="H9" s="435"/>
      <c r="I9" s="435"/>
    </row>
    <row r="10" spans="1:9">
      <c r="A10" s="592">
        <v>45964</v>
      </c>
      <c r="B10" s="546" t="s">
        <v>416</v>
      </c>
      <c r="C10" s="547">
        <v>2</v>
      </c>
      <c r="D10" s="548" t="s">
        <v>443</v>
      </c>
      <c r="E10" s="548">
        <f>137*2</f>
        <v>274</v>
      </c>
      <c r="F10" s="548">
        <v>22</v>
      </c>
      <c r="G10" s="547">
        <f>+E10*F10</f>
        <v>6028</v>
      </c>
      <c r="H10" s="436">
        <f>+SUM(G10:G11)/SUM(F10:F11)</f>
        <v>271.94285714285712</v>
      </c>
      <c r="I10" s="582">
        <f>+'3'!I38</f>
        <v>49.679000000000002</v>
      </c>
    </row>
    <row r="11" spans="1:9">
      <c r="A11" s="592"/>
      <c r="B11" s="546" t="s">
        <v>416</v>
      </c>
      <c r="C11" s="593">
        <v>2</v>
      </c>
      <c r="D11" s="594" t="s">
        <v>466</v>
      </c>
      <c r="E11" s="548">
        <f>271*1</f>
        <v>271</v>
      </c>
      <c r="F11" s="548">
        <f>2+23+23</f>
        <v>48</v>
      </c>
      <c r="G11" s="547">
        <f>+E11*F11</f>
        <v>13008</v>
      </c>
      <c r="H11" s="436"/>
      <c r="I11" s="582"/>
    </row>
    <row r="12" spans="1:9" ht="13.5" thickBot="1">
      <c r="A12" s="407"/>
      <c r="B12" s="408"/>
      <c r="C12" s="409"/>
      <c r="D12" s="410"/>
      <c r="E12" s="409"/>
      <c r="F12" s="409"/>
      <c r="G12" s="409"/>
      <c r="H12" s="435"/>
      <c r="I12" s="435"/>
    </row>
    <row r="13" spans="1:9">
      <c r="A13" s="369">
        <v>45965</v>
      </c>
      <c r="B13" s="434" t="s">
        <v>416</v>
      </c>
      <c r="C13" s="370">
        <v>2</v>
      </c>
      <c r="D13" s="404" t="s">
        <v>466</v>
      </c>
      <c r="E13" s="404">
        <f>271*1</f>
        <v>271</v>
      </c>
      <c r="F13" s="404">
        <f>24+8</f>
        <v>32</v>
      </c>
      <c r="G13" s="370">
        <f>+E13*F13</f>
        <v>8672</v>
      </c>
      <c r="H13" s="436">
        <f>+G13/F13</f>
        <v>271</v>
      </c>
      <c r="I13" s="582">
        <f>+'4'!I38</f>
        <v>51.656999999999996</v>
      </c>
    </row>
    <row r="14" spans="1:9">
      <c r="A14" s="545"/>
      <c r="B14" s="546" t="s">
        <v>469</v>
      </c>
      <c r="C14" s="547">
        <v>2</v>
      </c>
      <c r="D14" s="548" t="s">
        <v>442</v>
      </c>
      <c r="E14" s="548">
        <f>274*1</f>
        <v>274</v>
      </c>
      <c r="F14" s="548">
        <f>17+23</f>
        <v>40</v>
      </c>
      <c r="G14" s="547">
        <f>+E14*F14</f>
        <v>10960</v>
      </c>
      <c r="H14" s="436">
        <f>+G14/F14</f>
        <v>274</v>
      </c>
      <c r="I14" s="582"/>
    </row>
    <row r="15" spans="1:9" ht="13.5" thickBot="1">
      <c r="A15" s="407"/>
      <c r="B15" s="408"/>
      <c r="C15" s="409"/>
      <c r="D15" s="410"/>
      <c r="E15" s="409"/>
      <c r="F15" s="409"/>
      <c r="G15" s="409"/>
      <c r="H15" s="435"/>
      <c r="I15" s="435"/>
    </row>
    <row r="16" spans="1:9">
      <c r="A16" s="369">
        <v>45966</v>
      </c>
      <c r="B16" s="546" t="s">
        <v>469</v>
      </c>
      <c r="C16" s="547">
        <v>2</v>
      </c>
      <c r="D16" s="548" t="s">
        <v>442</v>
      </c>
      <c r="E16" s="548">
        <f>274*1</f>
        <v>274</v>
      </c>
      <c r="F16" s="548">
        <v>8</v>
      </c>
      <c r="G16" s="547">
        <f>+E16*F16</f>
        <v>2192</v>
      </c>
      <c r="H16" s="436">
        <f>+G16/F16</f>
        <v>274</v>
      </c>
      <c r="I16" s="582">
        <f>+'5'!I38</f>
        <v>30.387999999999998</v>
      </c>
    </row>
    <row r="17" spans="1:10">
      <c r="A17" s="545"/>
      <c r="B17" s="546" t="s">
        <v>415</v>
      </c>
      <c r="C17" s="547">
        <v>2</v>
      </c>
      <c r="D17" s="548" t="s">
        <v>442</v>
      </c>
      <c r="E17" s="548">
        <f>274*1</f>
        <v>274</v>
      </c>
      <c r="F17" s="548">
        <v>2</v>
      </c>
      <c r="G17" s="547">
        <f>+E17*F17</f>
        <v>548</v>
      </c>
      <c r="H17" s="436">
        <f>+G17/F17</f>
        <v>274</v>
      </c>
      <c r="I17" s="582"/>
    </row>
    <row r="18" spans="1:10">
      <c r="A18" s="545"/>
      <c r="B18" s="546" t="s">
        <v>487</v>
      </c>
      <c r="C18" s="593">
        <v>2</v>
      </c>
      <c r="D18" s="594" t="s">
        <v>501</v>
      </c>
      <c r="E18" s="548">
        <f>256.5*1</f>
        <v>256.5</v>
      </c>
      <c r="F18" s="548">
        <v>18</v>
      </c>
      <c r="G18" s="547">
        <f>+E18*F18</f>
        <v>4617</v>
      </c>
      <c r="H18" s="436">
        <f>+G18/F18</f>
        <v>256.5</v>
      </c>
      <c r="I18" s="582"/>
      <c r="J18" t="s">
        <v>500</v>
      </c>
    </row>
    <row r="19" spans="1:10">
      <c r="A19" s="545"/>
      <c r="B19" s="546" t="s">
        <v>488</v>
      </c>
      <c r="C19" s="593">
        <v>2</v>
      </c>
      <c r="D19" s="594" t="s">
        <v>501</v>
      </c>
      <c r="E19" s="548">
        <f>256.5*1</f>
        <v>256.5</v>
      </c>
      <c r="F19" s="548">
        <v>0</v>
      </c>
      <c r="G19" s="547">
        <f>+E19*F19</f>
        <v>0</v>
      </c>
      <c r="H19" s="436">
        <f>+E19</f>
        <v>256.5</v>
      </c>
      <c r="I19" s="582"/>
    </row>
    <row r="20" spans="1:10" ht="13.5" thickBot="1">
      <c r="A20" s="407"/>
      <c r="B20" s="408"/>
      <c r="C20" s="409"/>
      <c r="D20" s="410"/>
      <c r="E20" s="409"/>
      <c r="F20" s="409"/>
      <c r="G20" s="409"/>
      <c r="H20" s="435"/>
      <c r="I20" s="435"/>
    </row>
    <row r="21" spans="1:10">
      <c r="A21" s="545">
        <v>45967</v>
      </c>
      <c r="B21" s="546" t="s">
        <v>488</v>
      </c>
      <c r="C21" s="593">
        <v>2</v>
      </c>
      <c r="D21" s="594" t="s">
        <v>501</v>
      </c>
      <c r="E21" s="548">
        <f>256.5*1</f>
        <v>256.5</v>
      </c>
      <c r="F21" s="548">
        <f>52-16</f>
        <v>36</v>
      </c>
      <c r="G21" s="547">
        <f>+E21*F21</f>
        <v>9234</v>
      </c>
      <c r="H21" s="436">
        <f>+SUM(G21:G22)/SUM(F21:F22)</f>
        <v>260.65384615384613</v>
      </c>
      <c r="I21" s="582">
        <f>+'6'!I38</f>
        <v>58.853999999999999</v>
      </c>
    </row>
    <row r="22" spans="1:10">
      <c r="A22" s="545"/>
      <c r="B22" s="546" t="s">
        <v>488</v>
      </c>
      <c r="C22" s="593">
        <v>2</v>
      </c>
      <c r="D22" s="594" t="s">
        <v>514</v>
      </c>
      <c r="E22" s="548">
        <f>270*1</f>
        <v>270</v>
      </c>
      <c r="F22" s="548">
        <v>16</v>
      </c>
      <c r="G22" s="547">
        <f>+E22*F22</f>
        <v>4320</v>
      </c>
      <c r="H22" s="436"/>
      <c r="I22" s="582"/>
    </row>
    <row r="23" spans="1:10" ht="13.5" thickBot="1">
      <c r="A23" s="407"/>
      <c r="B23" s="408"/>
      <c r="C23" s="409"/>
      <c r="D23" s="410"/>
      <c r="E23" s="409"/>
      <c r="F23" s="409"/>
      <c r="G23" s="409"/>
      <c r="H23" s="435"/>
      <c r="I23" s="435"/>
    </row>
    <row r="24" spans="1:10">
      <c r="A24" s="545">
        <v>45968</v>
      </c>
      <c r="B24" s="546" t="s">
        <v>488</v>
      </c>
      <c r="C24" s="593">
        <v>2</v>
      </c>
      <c r="D24" s="594" t="s">
        <v>514</v>
      </c>
      <c r="E24" s="548">
        <f>270*1</f>
        <v>270</v>
      </c>
      <c r="F24" s="548">
        <f>18+20+10</f>
        <v>48</v>
      </c>
      <c r="G24" s="547">
        <f>+E24*F24</f>
        <v>12960</v>
      </c>
      <c r="H24" s="436">
        <f>+G24/F24</f>
        <v>270</v>
      </c>
      <c r="I24" s="582">
        <f>+'7'!I38</f>
        <v>58.433000000000007</v>
      </c>
    </row>
    <row r="25" spans="1:10">
      <c r="A25" s="545"/>
      <c r="B25" s="546" t="s">
        <v>522</v>
      </c>
      <c r="C25" s="593">
        <v>2</v>
      </c>
      <c r="D25" s="594" t="s">
        <v>527</v>
      </c>
      <c r="E25" s="548">
        <f>126*2+16</f>
        <v>268</v>
      </c>
      <c r="F25" s="548">
        <v>9</v>
      </c>
      <c r="G25" s="547">
        <f>+E25*F25</f>
        <v>2412</v>
      </c>
      <c r="H25" s="436">
        <f>+G25/F25</f>
        <v>268</v>
      </c>
      <c r="I25" s="582"/>
    </row>
    <row r="26" spans="1:10" ht="13.5" thickBot="1">
      <c r="A26" s="407"/>
      <c r="B26" s="408"/>
      <c r="C26" s="409"/>
      <c r="D26" s="410"/>
      <c r="E26" s="409"/>
      <c r="F26" s="409"/>
      <c r="G26" s="409"/>
      <c r="H26" s="435"/>
      <c r="I26" s="435"/>
    </row>
    <row r="27" spans="1:10">
      <c r="A27" s="545">
        <v>45969</v>
      </c>
      <c r="B27" s="546" t="s">
        <v>522</v>
      </c>
      <c r="C27" s="593">
        <v>2</v>
      </c>
      <c r="D27" s="594" t="s">
        <v>527</v>
      </c>
      <c r="E27" s="548">
        <f>126*2+16</f>
        <v>268</v>
      </c>
      <c r="F27" s="548">
        <v>11</v>
      </c>
      <c r="G27" s="547">
        <f>+E27*F27</f>
        <v>2948</v>
      </c>
      <c r="H27" s="436">
        <f>+G27/F27</f>
        <v>268</v>
      </c>
      <c r="I27" s="582">
        <f>+'8'!I38</f>
        <v>53.438000000000002</v>
      </c>
    </row>
    <row r="28" spans="1:10">
      <c r="A28" s="545"/>
      <c r="B28" s="546" t="s">
        <v>539</v>
      </c>
      <c r="C28" s="593">
        <v>2</v>
      </c>
      <c r="D28" s="594" t="s">
        <v>553</v>
      </c>
      <c r="E28" s="548">
        <f>127*2</f>
        <v>254</v>
      </c>
      <c r="F28" s="548">
        <v>24</v>
      </c>
      <c r="G28" s="547">
        <f>+E28*F28</f>
        <v>6096</v>
      </c>
      <c r="H28" s="436">
        <f>+SUM(G28:G29)/SUM(F28:F29)</f>
        <v>263.09090909090907</v>
      </c>
      <c r="I28" s="582"/>
    </row>
    <row r="29" spans="1:10">
      <c r="A29" s="545"/>
      <c r="B29" s="546" t="s">
        <v>539</v>
      </c>
      <c r="C29" s="593">
        <v>2</v>
      </c>
      <c r="D29" s="594" t="s">
        <v>442</v>
      </c>
      <c r="E29" s="548">
        <f>274*1</f>
        <v>274</v>
      </c>
      <c r="F29" s="548">
        <f>4+8+8</f>
        <v>20</v>
      </c>
      <c r="G29" s="547">
        <f>+E29*F29</f>
        <v>5480</v>
      </c>
      <c r="H29" s="436"/>
      <c r="I29" s="582"/>
    </row>
    <row r="30" spans="1:10" ht="13.5" thickBot="1">
      <c r="A30" s="407"/>
      <c r="B30" s="408"/>
      <c r="C30" s="409"/>
      <c r="D30" s="410"/>
      <c r="E30" s="409"/>
      <c r="F30" s="409"/>
      <c r="G30" s="409"/>
      <c r="H30" s="435"/>
      <c r="I30" s="435"/>
    </row>
    <row r="31" spans="1:10">
      <c r="A31" s="545">
        <v>45970</v>
      </c>
      <c r="B31" s="546" t="s">
        <v>539</v>
      </c>
      <c r="C31" s="593">
        <v>2</v>
      </c>
      <c r="D31" s="594" t="s">
        <v>553</v>
      </c>
      <c r="E31" s="548">
        <f>127*2</f>
        <v>254</v>
      </c>
      <c r="F31" s="548">
        <f>32/2</f>
        <v>16</v>
      </c>
      <c r="G31" s="547">
        <f>+E31*F31</f>
        <v>4064</v>
      </c>
      <c r="H31" s="436">
        <f>+SUM(G31:G32)/SUM(F31:F32)</f>
        <v>262.9655172413793</v>
      </c>
      <c r="I31" s="582">
        <f>+'9'!I38</f>
        <v>49.893000000000001</v>
      </c>
    </row>
    <row r="32" spans="1:10">
      <c r="A32" s="545"/>
      <c r="B32" s="546" t="s">
        <v>539</v>
      </c>
      <c r="C32" s="593">
        <v>2</v>
      </c>
      <c r="D32" s="594" t="s">
        <v>442</v>
      </c>
      <c r="E32" s="548">
        <f>274*1</f>
        <v>274</v>
      </c>
      <c r="F32" s="548">
        <v>13</v>
      </c>
      <c r="G32" s="547">
        <f>+E32*F32</f>
        <v>3562</v>
      </c>
      <c r="H32" s="436"/>
      <c r="I32" s="582"/>
    </row>
    <row r="33" spans="1:9">
      <c r="A33" s="545"/>
      <c r="B33" s="546" t="s">
        <v>543</v>
      </c>
      <c r="C33" s="593">
        <v>2</v>
      </c>
      <c r="D33" s="594" t="s">
        <v>554</v>
      </c>
      <c r="E33" s="548">
        <f>133*2</f>
        <v>266</v>
      </c>
      <c r="F33" s="548">
        <f>32/2</f>
        <v>16</v>
      </c>
      <c r="G33" s="547">
        <f>+E33*F33</f>
        <v>4256</v>
      </c>
      <c r="H33" s="436">
        <f>+G33/F33</f>
        <v>266</v>
      </c>
      <c r="I33" s="582"/>
    </row>
    <row r="34" spans="1:9">
      <c r="A34" s="545"/>
      <c r="B34" s="546" t="s">
        <v>544</v>
      </c>
      <c r="C34" s="593">
        <v>2</v>
      </c>
      <c r="D34" s="594" t="s">
        <v>555</v>
      </c>
      <c r="E34" s="548">
        <f>267*1</f>
        <v>267</v>
      </c>
      <c r="F34" s="548">
        <v>14</v>
      </c>
      <c r="G34" s="547">
        <f>+E34*F34</f>
        <v>3738</v>
      </c>
      <c r="H34" s="436">
        <f t="shared" ref="H34:H35" si="0">+G34/F34</f>
        <v>267</v>
      </c>
      <c r="I34" s="582"/>
    </row>
    <row r="35" spans="1:9">
      <c r="A35" s="545"/>
      <c r="B35" s="546" t="s">
        <v>415</v>
      </c>
      <c r="C35" s="593">
        <v>2</v>
      </c>
      <c r="D35" s="594" t="s">
        <v>442</v>
      </c>
      <c r="E35" s="548">
        <f>274*1</f>
        <v>274</v>
      </c>
      <c r="F35" s="548">
        <v>4</v>
      </c>
      <c r="G35" s="547">
        <f>+E35*F35</f>
        <v>1096</v>
      </c>
      <c r="H35" s="436">
        <f t="shared" si="0"/>
        <v>274</v>
      </c>
      <c r="I35" s="582"/>
    </row>
    <row r="36" spans="1:9" ht="13.5" thickBot="1">
      <c r="A36" s="407"/>
      <c r="B36" s="408"/>
      <c r="C36" s="409"/>
      <c r="D36" s="410"/>
      <c r="E36" s="409"/>
      <c r="F36" s="409"/>
      <c r="G36" s="409"/>
      <c r="H36" s="435"/>
      <c r="I36" s="435"/>
    </row>
    <row r="37" spans="1:9">
      <c r="A37" s="545">
        <v>45971</v>
      </c>
      <c r="B37" s="546" t="s">
        <v>415</v>
      </c>
      <c r="C37" s="593">
        <v>2</v>
      </c>
      <c r="D37" s="594" t="s">
        <v>442</v>
      </c>
      <c r="E37" s="548">
        <f>274*1</f>
        <v>274</v>
      </c>
      <c r="F37" s="548">
        <f>26+26+25</f>
        <v>77</v>
      </c>
      <c r="G37" s="547">
        <f>+E37*F37</f>
        <v>21098</v>
      </c>
      <c r="H37" s="436">
        <f>+SUM(G37:G38)/SUM(F37:F38)</f>
        <v>274</v>
      </c>
      <c r="I37" s="582">
        <f>+'10'!I38</f>
        <v>51.384</v>
      </c>
    </row>
    <row r="38" spans="1:9">
      <c r="A38" s="545"/>
      <c r="B38" s="546" t="s">
        <v>415</v>
      </c>
      <c r="C38" s="593">
        <v>2</v>
      </c>
      <c r="D38" s="594" t="s">
        <v>443</v>
      </c>
      <c r="E38" s="548">
        <f>137*2</f>
        <v>274</v>
      </c>
      <c r="F38" s="548">
        <v>1</v>
      </c>
      <c r="G38" s="547">
        <f>+E38*F38</f>
        <v>274</v>
      </c>
      <c r="H38" s="436"/>
      <c r="I38" s="582"/>
    </row>
    <row r="39" spans="1:9" ht="13.5" thickBot="1">
      <c r="A39" s="407"/>
      <c r="B39" s="408"/>
      <c r="C39" s="409"/>
      <c r="D39" s="410"/>
      <c r="E39" s="409"/>
      <c r="F39" s="409"/>
      <c r="G39" s="409"/>
      <c r="H39" s="435"/>
      <c r="I39" s="435"/>
    </row>
    <row r="40" spans="1:9">
      <c r="A40" s="545">
        <v>45972</v>
      </c>
      <c r="B40" s="546" t="s">
        <v>415</v>
      </c>
      <c r="C40" s="593">
        <v>2</v>
      </c>
      <c r="D40" s="594" t="s">
        <v>442</v>
      </c>
      <c r="E40" s="548">
        <f>274*1</f>
        <v>274</v>
      </c>
      <c r="F40" s="548">
        <v>76</v>
      </c>
      <c r="G40" s="547">
        <f>+E40*F40</f>
        <v>20824</v>
      </c>
      <c r="H40" s="436">
        <f>+G40/F40</f>
        <v>274</v>
      </c>
      <c r="I40" s="582">
        <f>+'11'!I38</f>
        <v>52.558000000000007</v>
      </c>
    </row>
    <row r="41" spans="1:9" ht="13.5" thickBot="1">
      <c r="A41" s="407"/>
      <c r="B41" s="408"/>
      <c r="C41" s="409"/>
      <c r="D41" s="410"/>
      <c r="E41" s="409"/>
      <c r="F41" s="409"/>
      <c r="G41" s="409"/>
      <c r="H41" s="435"/>
      <c r="I41" s="435"/>
    </row>
    <row r="42" spans="1:9">
      <c r="A42" s="545">
        <v>45973</v>
      </c>
      <c r="B42" s="546" t="s">
        <v>415</v>
      </c>
      <c r="C42" s="593">
        <v>2</v>
      </c>
      <c r="D42" s="594" t="s">
        <v>442</v>
      </c>
      <c r="E42" s="548">
        <f>274*1</f>
        <v>274</v>
      </c>
      <c r="F42" s="548">
        <v>72</v>
      </c>
      <c r="G42" s="547">
        <f>+E42*F42</f>
        <v>19728</v>
      </c>
      <c r="H42" s="436">
        <f>+G42/F42</f>
        <v>274</v>
      </c>
      <c r="I42" s="582">
        <f>+'12'!I38</f>
        <v>50.789000000000001</v>
      </c>
    </row>
    <row r="43" spans="1:9" ht="13.5" thickBot="1">
      <c r="A43" s="407"/>
      <c r="B43" s="408"/>
      <c r="C43" s="409"/>
      <c r="D43" s="410"/>
      <c r="E43" s="409"/>
      <c r="F43" s="409"/>
      <c r="G43" s="409"/>
      <c r="H43" s="435"/>
      <c r="I43" s="435"/>
    </row>
    <row r="44" spans="1:9">
      <c r="A44" s="545">
        <v>45974</v>
      </c>
      <c r="B44" s="546" t="s">
        <v>415</v>
      </c>
      <c r="C44" s="593">
        <v>2</v>
      </c>
      <c r="D44" s="594" t="s">
        <v>442</v>
      </c>
      <c r="E44" s="548">
        <f>274*1</f>
        <v>274</v>
      </c>
      <c r="F44" s="548">
        <v>45</v>
      </c>
      <c r="G44" s="547">
        <f>+E44*F44</f>
        <v>12330</v>
      </c>
      <c r="H44" s="436">
        <f>+G44/F44</f>
        <v>274</v>
      </c>
      <c r="I44" s="582">
        <f>+'13'!I38</f>
        <v>38.309000000000005</v>
      </c>
    </row>
    <row r="45" spans="1:9" ht="13.5" thickBot="1">
      <c r="A45" s="407"/>
      <c r="B45" s="408"/>
      <c r="C45" s="409"/>
      <c r="D45" s="410"/>
      <c r="E45" s="409"/>
      <c r="F45" s="409"/>
      <c r="G45" s="409"/>
      <c r="H45" s="435"/>
      <c r="I45" s="435"/>
    </row>
    <row r="46" spans="1:9">
      <c r="A46" s="545">
        <v>45975</v>
      </c>
      <c r="B46" s="546" t="s">
        <v>415</v>
      </c>
      <c r="C46" s="593">
        <v>2</v>
      </c>
      <c r="D46" s="594" t="s">
        <v>442</v>
      </c>
      <c r="E46" s="548">
        <f>274*1</f>
        <v>274</v>
      </c>
      <c r="F46" s="548">
        <v>27</v>
      </c>
      <c r="G46" s="547">
        <f>+E46*F46</f>
        <v>7398</v>
      </c>
      <c r="H46" s="436">
        <f>+G46/F46</f>
        <v>274</v>
      </c>
      <c r="I46" s="582">
        <f>+'14'!I38</f>
        <v>48.929000000000002</v>
      </c>
    </row>
    <row r="47" spans="1:9">
      <c r="A47" s="545"/>
      <c r="B47" s="546" t="s">
        <v>590</v>
      </c>
      <c r="C47" s="593">
        <v>2</v>
      </c>
      <c r="D47" s="594" t="s">
        <v>596</v>
      </c>
      <c r="E47" s="548">
        <f>269.5*1</f>
        <v>269.5</v>
      </c>
      <c r="F47" s="548">
        <f>79-F46</f>
        <v>52</v>
      </c>
      <c r="G47" s="547">
        <f>+E47*F47</f>
        <v>14014</v>
      </c>
      <c r="H47" s="436">
        <f t="shared" ref="H47" si="1">+G47/F47</f>
        <v>269.5</v>
      </c>
      <c r="I47" s="582"/>
    </row>
    <row r="48" spans="1:9" ht="13.5" thickBot="1">
      <c r="A48" s="407"/>
      <c r="B48" s="408"/>
      <c r="C48" s="409"/>
      <c r="D48" s="410"/>
      <c r="E48" s="409"/>
      <c r="F48" s="409"/>
      <c r="G48" s="409"/>
      <c r="H48" s="435"/>
      <c r="I48" s="435"/>
    </row>
    <row r="49" spans="1:9">
      <c r="A49" s="545">
        <v>45976</v>
      </c>
      <c r="B49" s="546" t="s">
        <v>590</v>
      </c>
      <c r="C49" s="593">
        <v>2</v>
      </c>
      <c r="D49" s="594" t="s">
        <v>596</v>
      </c>
      <c r="E49" s="548">
        <f>269.5*1</f>
        <v>269.5</v>
      </c>
      <c r="F49" s="548">
        <v>75</v>
      </c>
      <c r="G49" s="547">
        <f>+E49*F49</f>
        <v>20212.5</v>
      </c>
      <c r="H49" s="436">
        <f t="shared" ref="H49" si="2">+G49/F49</f>
        <v>269.5</v>
      </c>
      <c r="I49" s="582">
        <f>+'15'!I38</f>
        <v>51.454999999999998</v>
      </c>
    </row>
    <row r="50" spans="1:9" ht="13.5" thickBot="1">
      <c r="A50" s="407"/>
      <c r="B50" s="408"/>
      <c r="C50" s="409"/>
      <c r="D50" s="410"/>
      <c r="E50" s="409"/>
      <c r="F50" s="409"/>
      <c r="G50" s="409"/>
      <c r="H50" s="435"/>
      <c r="I50" s="435"/>
    </row>
    <row r="51" spans="1:9">
      <c r="A51" s="545">
        <v>45977</v>
      </c>
      <c r="B51" s="546" t="s">
        <v>590</v>
      </c>
      <c r="C51" s="593">
        <v>2</v>
      </c>
      <c r="D51" s="594" t="s">
        <v>596</v>
      </c>
      <c r="E51" s="548">
        <f>269.5*1</f>
        <v>269.5</v>
      </c>
      <c r="F51" s="548">
        <v>77</v>
      </c>
      <c r="G51" s="547">
        <f>+E51*F51</f>
        <v>20751.5</v>
      </c>
      <c r="H51" s="436">
        <f t="shared" ref="H51" si="3">+G51/F51</f>
        <v>269.5</v>
      </c>
      <c r="I51" s="582">
        <f>+'16'!I38</f>
        <v>54.106999999999999</v>
      </c>
    </row>
    <row r="52" spans="1:9">
      <c r="A52" s="545"/>
      <c r="B52" s="546" t="s">
        <v>604</v>
      </c>
      <c r="C52" s="593">
        <v>2</v>
      </c>
      <c r="D52" s="594" t="s">
        <v>442</v>
      </c>
      <c r="E52" s="548">
        <f>274*1</f>
        <v>274</v>
      </c>
      <c r="F52" s="548">
        <v>0</v>
      </c>
      <c r="G52" s="547">
        <v>0</v>
      </c>
      <c r="H52" s="436">
        <f>+E52</f>
        <v>274</v>
      </c>
      <c r="I52" s="582"/>
    </row>
    <row r="53" spans="1:9" ht="12.75" customHeight="1" thickBot="1">
      <c r="A53" s="407"/>
      <c r="B53" s="408"/>
      <c r="C53" s="409"/>
      <c r="D53" s="410"/>
      <c r="E53" s="409"/>
      <c r="F53" s="409"/>
      <c r="G53" s="409"/>
      <c r="H53" s="435"/>
      <c r="I53" s="435"/>
    </row>
    <row r="54" spans="1:9">
      <c r="A54" s="545">
        <v>45978</v>
      </c>
      <c r="B54" s="546" t="s">
        <v>590</v>
      </c>
      <c r="C54" s="593">
        <v>2</v>
      </c>
      <c r="D54" s="594" t="s">
        <v>596</v>
      </c>
      <c r="E54" s="548">
        <f>269.5*1</f>
        <v>269.5</v>
      </c>
      <c r="F54" s="548">
        <v>4</v>
      </c>
      <c r="G54" s="547">
        <f>+E54*F54</f>
        <v>1078</v>
      </c>
      <c r="H54" s="436">
        <f>+SUM(G54:G55)/SUM(F54:F55)</f>
        <v>261.59649122807019</v>
      </c>
      <c r="I54" s="582">
        <f>+'17'!I38</f>
        <v>53.837000000000003</v>
      </c>
    </row>
    <row r="55" spans="1:9">
      <c r="A55" s="545"/>
      <c r="B55" s="546" t="s">
        <v>590</v>
      </c>
      <c r="C55" s="593">
        <v>2</v>
      </c>
      <c r="D55" s="594" t="s">
        <v>618</v>
      </c>
      <c r="E55" s="548">
        <f>261*1</f>
        <v>261</v>
      </c>
      <c r="F55" s="548">
        <f>25+25+3</f>
        <v>53</v>
      </c>
      <c r="G55" s="547">
        <f>+E55*F55</f>
        <v>13833</v>
      </c>
      <c r="H55" s="436"/>
      <c r="I55" s="582"/>
    </row>
    <row r="56" spans="1:9">
      <c r="A56" s="545"/>
      <c r="B56" s="546" t="s">
        <v>604</v>
      </c>
      <c r="C56" s="593">
        <v>2</v>
      </c>
      <c r="D56" s="594" t="s">
        <v>442</v>
      </c>
      <c r="E56" s="548">
        <f>274*1</f>
        <v>274</v>
      </c>
      <c r="F56" s="548">
        <v>15</v>
      </c>
      <c r="G56" s="547">
        <f>+E56*F56</f>
        <v>4110</v>
      </c>
      <c r="H56" s="436">
        <f t="shared" ref="H56" si="4">+G56/F56</f>
        <v>274</v>
      </c>
      <c r="I56" s="582"/>
    </row>
    <row r="57" spans="1:9" ht="12.75" customHeight="1" thickBot="1">
      <c r="A57" s="407"/>
      <c r="B57" s="408"/>
      <c r="C57" s="409"/>
      <c r="D57" s="410"/>
      <c r="E57" s="409"/>
      <c r="F57" s="409"/>
      <c r="G57" s="409"/>
      <c r="H57" s="435"/>
      <c r="I57" s="435"/>
    </row>
    <row r="58" spans="1:9">
      <c r="A58" s="545">
        <v>45979</v>
      </c>
      <c r="B58" s="546" t="s">
        <v>590</v>
      </c>
      <c r="C58" s="593">
        <v>2</v>
      </c>
      <c r="D58" s="594" t="s">
        <v>618</v>
      </c>
      <c r="E58" s="548">
        <f>261*1</f>
        <v>261</v>
      </c>
      <c r="F58" s="548">
        <f>14+5+26</f>
        <v>45</v>
      </c>
      <c r="G58" s="547">
        <f>+E58*F58</f>
        <v>11745</v>
      </c>
      <c r="H58" s="436">
        <f t="shared" ref="H58:H59" si="5">+G58/F58</f>
        <v>261</v>
      </c>
      <c r="I58" s="582">
        <f>+'18'!I38</f>
        <v>45.822000000000003</v>
      </c>
    </row>
    <row r="59" spans="1:9">
      <c r="A59" s="545"/>
      <c r="B59" s="546" t="s">
        <v>604</v>
      </c>
      <c r="C59" s="593">
        <v>2</v>
      </c>
      <c r="D59" s="594" t="s">
        <v>442</v>
      </c>
      <c r="E59" s="548">
        <f>274*1</f>
        <v>274</v>
      </c>
      <c r="F59" s="548">
        <f>9+8</f>
        <v>17</v>
      </c>
      <c r="G59" s="547">
        <f>+E59*F59</f>
        <v>4658</v>
      </c>
      <c r="H59" s="436">
        <f t="shared" si="5"/>
        <v>274</v>
      </c>
      <c r="I59" s="582"/>
    </row>
    <row r="60" spans="1:9" ht="12.75" customHeight="1" thickBot="1">
      <c r="A60" s="407"/>
      <c r="B60" s="408"/>
      <c r="C60" s="409"/>
      <c r="D60" s="410"/>
      <c r="E60" s="409"/>
      <c r="F60" s="409"/>
      <c r="G60" s="409"/>
      <c r="H60" s="435"/>
      <c r="I60" s="435"/>
    </row>
    <row r="61" spans="1:9">
      <c r="A61" s="545">
        <v>45980</v>
      </c>
      <c r="B61" s="546" t="s">
        <v>590</v>
      </c>
      <c r="C61" s="593">
        <v>2</v>
      </c>
      <c r="D61" s="594" t="s">
        <v>618</v>
      </c>
      <c r="E61" s="548">
        <f>261*1</f>
        <v>261</v>
      </c>
      <c r="F61" s="548">
        <f>26+23+5</f>
        <v>54</v>
      </c>
      <c r="G61" s="547">
        <f>+E61*F61</f>
        <v>14094</v>
      </c>
      <c r="H61" s="436">
        <f>+SUM(G61:G62)/SUM(F61:F62)</f>
        <v>260.02173913043481</v>
      </c>
      <c r="I61" s="582">
        <f>+'19'!I38</f>
        <v>51.887</v>
      </c>
    </row>
    <row r="62" spans="1:9">
      <c r="A62" s="545"/>
      <c r="B62" s="546" t="s">
        <v>590</v>
      </c>
      <c r="C62" s="593">
        <v>2</v>
      </c>
      <c r="D62" s="594" t="s">
        <v>501</v>
      </c>
      <c r="E62" s="548">
        <f>256.5*1</f>
        <v>256.5</v>
      </c>
      <c r="F62" s="548">
        <f>1+14</f>
        <v>15</v>
      </c>
      <c r="G62" s="547">
        <f>+E62*F62</f>
        <v>3847.5</v>
      </c>
      <c r="H62" s="436"/>
      <c r="I62" s="582"/>
    </row>
    <row r="63" spans="1:9" ht="12.75" customHeight="1" thickBot="1">
      <c r="A63" s="407"/>
      <c r="B63" s="408"/>
      <c r="C63" s="409"/>
      <c r="D63" s="410"/>
      <c r="E63" s="409"/>
      <c r="F63" s="409"/>
      <c r="G63" s="409"/>
      <c r="H63" s="435"/>
      <c r="I63" s="435"/>
    </row>
    <row r="64" spans="1:9">
      <c r="A64" s="545">
        <v>45981</v>
      </c>
      <c r="B64" s="546" t="s">
        <v>590</v>
      </c>
      <c r="C64" s="593">
        <v>2</v>
      </c>
      <c r="D64" s="594" t="s">
        <v>618</v>
      </c>
      <c r="E64" s="548">
        <f>261*1</f>
        <v>261</v>
      </c>
      <c r="F64" s="548">
        <v>8</v>
      </c>
      <c r="G64" s="547">
        <f>+E64*F64</f>
        <v>2088</v>
      </c>
      <c r="H64" s="436">
        <f t="shared" ref="H64:H66" si="6">+G64/F64</f>
        <v>261</v>
      </c>
      <c r="I64" s="582">
        <f>+'20'!I38</f>
        <v>55.744999999999997</v>
      </c>
    </row>
    <row r="65" spans="1:9">
      <c r="A65" s="545"/>
      <c r="B65" s="546" t="s">
        <v>604</v>
      </c>
      <c r="C65" s="593">
        <v>2</v>
      </c>
      <c r="D65" s="594" t="s">
        <v>501</v>
      </c>
      <c r="E65" s="548">
        <f>256.5*1</f>
        <v>256.5</v>
      </c>
      <c r="F65" s="548">
        <f>3+15</f>
        <v>18</v>
      </c>
      <c r="G65" s="547">
        <f>+E65*F65</f>
        <v>4617</v>
      </c>
      <c r="H65" s="436">
        <f t="shared" si="6"/>
        <v>256.5</v>
      </c>
      <c r="I65" s="582"/>
    </row>
    <row r="66" spans="1:9">
      <c r="A66" s="545"/>
      <c r="B66" s="546" t="s">
        <v>644</v>
      </c>
      <c r="C66" s="593">
        <v>2</v>
      </c>
      <c r="D66" s="594" t="s">
        <v>466</v>
      </c>
      <c r="E66" s="548">
        <f>271*1</f>
        <v>271</v>
      </c>
      <c r="F66" s="548">
        <f>20+20</f>
        <v>40</v>
      </c>
      <c r="G66" s="547">
        <f>+E66*F66</f>
        <v>10840</v>
      </c>
      <c r="H66" s="436">
        <f t="shared" si="6"/>
        <v>271</v>
      </c>
      <c r="I66" s="582"/>
    </row>
    <row r="67" spans="1:9" ht="12.75" customHeight="1" thickBot="1">
      <c r="A67" s="407"/>
      <c r="B67" s="408"/>
      <c r="C67" s="409"/>
      <c r="D67" s="410"/>
      <c r="E67" s="409"/>
      <c r="F67" s="409"/>
      <c r="G67" s="409"/>
      <c r="H67" s="435"/>
      <c r="I67" s="435"/>
    </row>
    <row r="68" spans="1:9">
      <c r="A68" s="545">
        <v>45982</v>
      </c>
      <c r="B68" s="546" t="s">
        <v>644</v>
      </c>
      <c r="C68" s="593">
        <v>2</v>
      </c>
      <c r="D68" s="594" t="s">
        <v>466</v>
      </c>
      <c r="E68" s="548">
        <f>271*1</f>
        <v>271</v>
      </c>
      <c r="F68" s="548">
        <f>21+19</f>
        <v>40</v>
      </c>
      <c r="G68" s="547">
        <f>+E68*F68</f>
        <v>10840</v>
      </c>
      <c r="H68" s="436">
        <f t="shared" ref="H68" si="7">+G68/F68</f>
        <v>271</v>
      </c>
      <c r="I68" s="582">
        <f>+'21'!I38</f>
        <v>55.605000000000004</v>
      </c>
    </row>
    <row r="69" spans="1:9">
      <c r="A69" s="545"/>
      <c r="B69" s="546" t="s">
        <v>656</v>
      </c>
      <c r="C69" s="593">
        <v>2</v>
      </c>
      <c r="D69" s="594" t="s">
        <v>662</v>
      </c>
      <c r="E69" s="548">
        <f>120+140</f>
        <v>260</v>
      </c>
      <c r="F69" s="548">
        <v>26</v>
      </c>
      <c r="G69" s="547">
        <f>+E69*F69</f>
        <v>6760</v>
      </c>
      <c r="H69" s="436">
        <f t="shared" ref="H69" si="8">+G69/F69</f>
        <v>260</v>
      </c>
      <c r="I69" s="582"/>
    </row>
    <row r="70" spans="1:9" ht="12.75" customHeight="1" thickBot="1">
      <c r="A70" s="407"/>
      <c r="B70" s="408"/>
      <c r="C70" s="409"/>
      <c r="D70" s="410"/>
      <c r="E70" s="409"/>
      <c r="F70" s="409"/>
      <c r="G70" s="409"/>
      <c r="H70" s="435"/>
      <c r="I70" s="435"/>
    </row>
    <row r="71" spans="1:9">
      <c r="A71" s="545">
        <v>45983</v>
      </c>
      <c r="B71" s="546" t="s">
        <v>656</v>
      </c>
      <c r="C71" s="593">
        <v>2</v>
      </c>
      <c r="D71" s="594" t="s">
        <v>662</v>
      </c>
      <c r="E71" s="548">
        <f>120+140</f>
        <v>260</v>
      </c>
      <c r="F71" s="548">
        <v>16</v>
      </c>
      <c r="G71" s="547">
        <f>+E71*F71</f>
        <v>4160</v>
      </c>
      <c r="H71" s="436">
        <f t="shared" ref="H71" si="9">+G71/F71</f>
        <v>260</v>
      </c>
      <c r="I71" s="582">
        <f>+'22'!I38</f>
        <v>49.744000000000007</v>
      </c>
    </row>
    <row r="72" spans="1:9">
      <c r="A72" s="545"/>
      <c r="B72" s="546" t="s">
        <v>469</v>
      </c>
      <c r="C72" s="593">
        <v>2</v>
      </c>
      <c r="D72" s="594" t="s">
        <v>443</v>
      </c>
      <c r="E72" s="548">
        <f>137*2</f>
        <v>274</v>
      </c>
      <c r="F72" s="548">
        <f>6+26+22</f>
        <v>54</v>
      </c>
      <c r="G72" s="547">
        <f>+E72*F72</f>
        <v>14796</v>
      </c>
      <c r="H72" s="436">
        <f>+SUM(G72:G73)/SUM(F72:F73)</f>
        <v>273.68181818181819</v>
      </c>
      <c r="I72" s="582"/>
    </row>
    <row r="73" spans="1:9">
      <c r="A73" s="545"/>
      <c r="B73" s="546" t="s">
        <v>469</v>
      </c>
      <c r="C73" s="593">
        <v>2</v>
      </c>
      <c r="D73" s="594" t="s">
        <v>501</v>
      </c>
      <c r="E73" s="548">
        <f>256.5*1</f>
        <v>256.5</v>
      </c>
      <c r="F73" s="548">
        <v>1</v>
      </c>
      <c r="G73" s="547">
        <f>+E73*F73</f>
        <v>256.5</v>
      </c>
      <c r="H73" s="436"/>
      <c r="I73" s="582"/>
    </row>
    <row r="74" spans="1:9" ht="12.75" customHeight="1" thickBot="1">
      <c r="A74" s="407"/>
      <c r="B74" s="408"/>
      <c r="C74" s="409"/>
      <c r="D74" s="410"/>
      <c r="E74" s="409"/>
      <c r="F74" s="409"/>
      <c r="G74" s="409"/>
      <c r="H74" s="435"/>
      <c r="I74" s="435"/>
    </row>
    <row r="75" spans="1:9">
      <c r="A75" s="545">
        <v>45984</v>
      </c>
      <c r="B75" s="546" t="s">
        <v>469</v>
      </c>
      <c r="C75" s="593">
        <v>2</v>
      </c>
      <c r="D75" s="594" t="s">
        <v>501</v>
      </c>
      <c r="E75" s="548">
        <f>256.5*1</f>
        <v>256.5</v>
      </c>
      <c r="F75" s="548">
        <v>20</v>
      </c>
      <c r="G75" s="547">
        <f>+E75*F75</f>
        <v>5130</v>
      </c>
      <c r="H75" s="436">
        <f>+SUM(G75:G76)/SUM(F75:F76)</f>
        <v>268.35483870967744</v>
      </c>
      <c r="I75" s="582">
        <f>+'23'!I38</f>
        <v>49.149000000000001</v>
      </c>
    </row>
    <row r="76" spans="1:9">
      <c r="A76" s="545"/>
      <c r="B76" s="546" t="s">
        <v>469</v>
      </c>
      <c r="C76" s="593">
        <v>2</v>
      </c>
      <c r="D76" s="594" t="s">
        <v>442</v>
      </c>
      <c r="E76" s="548">
        <f>274*1</f>
        <v>274</v>
      </c>
      <c r="F76" s="548">
        <f>18+24</f>
        <v>42</v>
      </c>
      <c r="G76" s="547">
        <f>+E76*F76</f>
        <v>11508</v>
      </c>
      <c r="H76" s="436"/>
      <c r="I76" s="582"/>
    </row>
    <row r="77" spans="1:9" ht="12.75" customHeight="1" thickBot="1">
      <c r="A77" s="407"/>
      <c r="B77" s="408"/>
      <c r="C77" s="409"/>
      <c r="D77" s="410"/>
      <c r="E77" s="409"/>
      <c r="F77" s="409"/>
      <c r="G77" s="409"/>
      <c r="H77" s="435"/>
      <c r="I77" s="435"/>
    </row>
    <row r="78" spans="1:9">
      <c r="A78" s="545">
        <v>45985</v>
      </c>
      <c r="B78" s="546" t="s">
        <v>469</v>
      </c>
      <c r="C78" s="593">
        <v>2</v>
      </c>
      <c r="D78" s="594" t="s">
        <v>442</v>
      </c>
      <c r="E78" s="548">
        <f>274*1</f>
        <v>274</v>
      </c>
      <c r="F78" s="548">
        <v>72</v>
      </c>
      <c r="G78" s="547">
        <f>+E78*F78</f>
        <v>19728</v>
      </c>
      <c r="H78" s="436">
        <f t="shared" ref="H78" si="10">+G78/F78</f>
        <v>274</v>
      </c>
      <c r="I78" s="582">
        <f>+'24'!I38</f>
        <v>52.41</v>
      </c>
    </row>
    <row r="79" spans="1:9" ht="12.75" customHeight="1" thickBot="1">
      <c r="A79" s="407"/>
      <c r="B79" s="408"/>
      <c r="C79" s="409"/>
      <c r="D79" s="410"/>
      <c r="E79" s="409"/>
      <c r="F79" s="409"/>
      <c r="G79" s="409"/>
      <c r="H79" s="435"/>
      <c r="I79" s="435"/>
    </row>
    <row r="80" spans="1:9">
      <c r="A80" s="545">
        <v>45986</v>
      </c>
      <c r="B80" s="546" t="s">
        <v>469</v>
      </c>
      <c r="C80" s="593">
        <v>2</v>
      </c>
      <c r="D80" s="594" t="s">
        <v>442</v>
      </c>
      <c r="E80" s="548">
        <f>274*1</f>
        <v>274</v>
      </c>
      <c r="F80" s="548">
        <v>14</v>
      </c>
      <c r="G80" s="547">
        <f>+E80*F80</f>
        <v>3836</v>
      </c>
      <c r="H80" s="436">
        <f t="shared" ref="H80" si="11">+G80/F80</f>
        <v>274</v>
      </c>
      <c r="I80" s="582">
        <f>+'25'!I38</f>
        <v>49.207999999999998</v>
      </c>
    </row>
    <row r="81" spans="1:9">
      <c r="A81" s="545"/>
      <c r="B81" s="546" t="s">
        <v>415</v>
      </c>
      <c r="C81" s="593">
        <v>2</v>
      </c>
      <c r="D81" s="594" t="s">
        <v>501</v>
      </c>
      <c r="E81" s="548">
        <f>256.5*1</f>
        <v>256.5</v>
      </c>
      <c r="F81" s="548">
        <f>6+21+19</f>
        <v>46</v>
      </c>
      <c r="G81" s="547">
        <f>+E81*F81</f>
        <v>11799</v>
      </c>
      <c r="H81" s="436">
        <f t="shared" ref="H81" si="12">+G81/F81</f>
        <v>256.5</v>
      </c>
      <c r="I81" s="582"/>
    </row>
    <row r="82" spans="1:9" ht="12.75" customHeight="1" thickBot="1">
      <c r="A82" s="407"/>
      <c r="B82" s="408"/>
      <c r="C82" s="409"/>
      <c r="D82" s="410"/>
      <c r="E82" s="409"/>
      <c r="F82" s="409"/>
      <c r="G82" s="409"/>
      <c r="H82" s="435"/>
      <c r="I82" s="435"/>
    </row>
    <row r="83" spans="1:9">
      <c r="A83" s="545">
        <v>45987</v>
      </c>
      <c r="B83" s="546" t="s">
        <v>415</v>
      </c>
      <c r="C83" s="593">
        <v>2</v>
      </c>
      <c r="D83" s="594" t="s">
        <v>501</v>
      </c>
      <c r="E83" s="548">
        <f>256.5*1</f>
        <v>256.5</v>
      </c>
      <c r="F83" s="548">
        <f>17+19+18</f>
        <v>54</v>
      </c>
      <c r="G83" s="547">
        <f>+E83*F83</f>
        <v>13851</v>
      </c>
      <c r="H83" s="436">
        <f t="shared" ref="H83" si="13">+G83/F83</f>
        <v>256.5</v>
      </c>
      <c r="I83" s="582">
        <f>+'26'!I38</f>
        <v>49.229000000000006</v>
      </c>
    </row>
    <row r="84" spans="1:9" ht="12.75" customHeight="1" thickBot="1">
      <c r="A84" s="407"/>
      <c r="B84" s="408"/>
      <c r="C84" s="409"/>
      <c r="D84" s="410"/>
      <c r="E84" s="409"/>
      <c r="F84" s="409"/>
      <c r="G84" s="409"/>
      <c r="H84" s="435"/>
      <c r="I84" s="435"/>
    </row>
    <row r="85" spans="1:9">
      <c r="A85" s="545">
        <v>45988</v>
      </c>
      <c r="B85" s="546" t="s">
        <v>415</v>
      </c>
      <c r="C85" s="593">
        <v>2</v>
      </c>
      <c r="D85" s="594" t="s">
        <v>442</v>
      </c>
      <c r="E85" s="548">
        <f>274*1</f>
        <v>274</v>
      </c>
      <c r="F85" s="548">
        <f>2+8+6</f>
        <v>16</v>
      </c>
      <c r="G85" s="547">
        <f>+E85*F85</f>
        <v>4384</v>
      </c>
      <c r="H85" s="436">
        <f>+SUM(G85:G86)/SUM(F85:F86)</f>
        <v>268.16666666666669</v>
      </c>
      <c r="I85" s="582">
        <f>+'27'!I38</f>
        <v>43.781000000000006</v>
      </c>
    </row>
    <row r="86" spans="1:9">
      <c r="A86" s="545"/>
      <c r="B86" s="546" t="s">
        <v>415</v>
      </c>
      <c r="C86" s="593">
        <v>2</v>
      </c>
      <c r="D86" s="594" t="s">
        <v>501</v>
      </c>
      <c r="E86" s="548">
        <f>256.5*1</f>
        <v>256.5</v>
      </c>
      <c r="F86" s="548">
        <v>8</v>
      </c>
      <c r="G86" s="547">
        <f>+E86*F86</f>
        <v>2052</v>
      </c>
      <c r="H86" s="436"/>
      <c r="I86" s="582"/>
    </row>
    <row r="87" spans="1:9" ht="12.75" customHeight="1" thickBot="1">
      <c r="A87" s="407"/>
      <c r="B87" s="408"/>
      <c r="C87" s="409"/>
      <c r="D87" s="410"/>
      <c r="E87" s="409"/>
      <c r="F87" s="409"/>
      <c r="G87" s="409"/>
      <c r="H87" s="435"/>
      <c r="I87" s="435"/>
    </row>
    <row r="88" spans="1:9">
      <c r="A88" s="545">
        <v>45989</v>
      </c>
      <c r="B88" s="546" t="s">
        <v>415</v>
      </c>
      <c r="C88" s="593">
        <v>2</v>
      </c>
      <c r="D88" s="594" t="s">
        <v>442</v>
      </c>
      <c r="E88" s="548">
        <f>274*1</f>
        <v>274</v>
      </c>
      <c r="F88" s="548">
        <v>26</v>
      </c>
      <c r="G88" s="547">
        <f>+E88*F88</f>
        <v>7124</v>
      </c>
      <c r="H88" s="436">
        <f t="shared" ref="H88" si="14">+G88/F88</f>
        <v>274</v>
      </c>
      <c r="I88" s="582">
        <f>+'28'!I38</f>
        <v>54.042000000000002</v>
      </c>
    </row>
    <row r="89" spans="1:9" ht="12.75" customHeight="1" thickBot="1">
      <c r="A89" s="407"/>
      <c r="B89" s="408"/>
      <c r="C89" s="409"/>
      <c r="D89" s="410"/>
      <c r="E89" s="409"/>
      <c r="F89" s="409"/>
      <c r="G89" s="409"/>
      <c r="H89" s="435"/>
      <c r="I89" s="435"/>
    </row>
    <row r="90" spans="1:9">
      <c r="A90" s="545">
        <v>45990</v>
      </c>
      <c r="B90" s="546" t="s">
        <v>415</v>
      </c>
      <c r="C90" s="593">
        <v>2</v>
      </c>
      <c r="D90" s="594" t="s">
        <v>442</v>
      </c>
      <c r="E90" s="548">
        <f>274*1</f>
        <v>274</v>
      </c>
      <c r="F90" s="548">
        <v>24</v>
      </c>
      <c r="G90" s="547">
        <f>+E90*F90</f>
        <v>6576</v>
      </c>
      <c r="H90" s="436">
        <f t="shared" ref="H90" si="15">+G90/F90</f>
        <v>274</v>
      </c>
      <c r="I90" s="582">
        <f>+'29'!I38</f>
        <v>53.959000000000003</v>
      </c>
    </row>
    <row r="91" spans="1:9" ht="12.75" customHeight="1" thickBot="1">
      <c r="A91" s="407"/>
      <c r="B91" s="408"/>
      <c r="C91" s="409"/>
      <c r="D91" s="410"/>
      <c r="E91" s="409"/>
      <c r="F91" s="409"/>
      <c r="G91" s="409"/>
      <c r="H91" s="435"/>
      <c r="I91" s="435"/>
    </row>
    <row r="92" spans="1:9">
      <c r="A92" s="545">
        <v>45991</v>
      </c>
      <c r="B92" s="546" t="s">
        <v>415</v>
      </c>
      <c r="C92" s="593">
        <v>2</v>
      </c>
      <c r="D92" s="594" t="s">
        <v>442</v>
      </c>
      <c r="E92" s="548">
        <f>274*1</f>
        <v>274</v>
      </c>
      <c r="F92" s="548">
        <f>7+4+7+1</f>
        <v>19</v>
      </c>
      <c r="G92" s="547">
        <f>+E92*F92</f>
        <v>5206</v>
      </c>
      <c r="H92" s="436">
        <f t="shared" ref="H92" si="16">+G92/F92</f>
        <v>274</v>
      </c>
      <c r="I92" s="582">
        <f>+'30'!I38</f>
        <v>50.936999999999998</v>
      </c>
    </row>
    <row r="93" spans="1:9">
      <c r="A93" s="545"/>
      <c r="B93" s="546" t="s">
        <v>416</v>
      </c>
      <c r="C93" s="593">
        <v>2</v>
      </c>
      <c r="D93" s="594" t="s">
        <v>466</v>
      </c>
      <c r="E93" s="548">
        <f>271*1</f>
        <v>271</v>
      </c>
      <c r="F93" s="548">
        <f>6+11</f>
        <v>17</v>
      </c>
      <c r="G93" s="547">
        <f>+E93*F93</f>
        <v>4607</v>
      </c>
      <c r="H93" s="436">
        <f t="shared" ref="H93" si="17">+G93/F93</f>
        <v>271</v>
      </c>
      <c r="I93" s="582"/>
    </row>
    <row r="94" spans="1:9" ht="12.75" customHeight="1" thickBot="1">
      <c r="A94" s="407"/>
      <c r="B94" s="408"/>
      <c r="C94" s="409"/>
      <c r="D94" s="410"/>
      <c r="E94" s="409"/>
      <c r="F94" s="409"/>
      <c r="G94" s="409"/>
      <c r="H94" s="435"/>
      <c r="I94" s="435"/>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S197"/>
  <sheetViews>
    <sheetView zoomScale="90" zoomScaleNormal="90" workbookViewId="0">
      <pane xSplit="6" ySplit="6" topLeftCell="AU136" activePane="bottomRight" state="frozen"/>
      <selection activeCell="P136" sqref="P136"/>
      <selection pane="topRight" activeCell="P136" sqref="P136"/>
      <selection pane="bottomLeft" activeCell="P136" sqref="P136"/>
      <selection pane="bottomRight" activeCell="BF6" sqref="BF6:BF154"/>
    </sheetView>
  </sheetViews>
  <sheetFormatPr defaultColWidth="10.28515625" defaultRowHeight="12"/>
  <cols>
    <col min="1" max="1" width="12.28515625" style="30" customWidth="1"/>
    <col min="2" max="2" width="14.140625" style="30" customWidth="1"/>
    <col min="3" max="3" width="10.140625" style="30" customWidth="1"/>
    <col min="4" max="4" width="10.28515625" style="30" customWidth="1"/>
    <col min="5" max="5" width="7.5703125" style="30" bestFit="1" customWidth="1"/>
    <col min="6" max="6" width="7" style="55" customWidth="1"/>
    <col min="7" max="9" width="10.28515625" style="30" customWidth="1"/>
    <col min="10" max="11" width="10.28515625" style="84" customWidth="1"/>
    <col min="12" max="13" width="12.7109375" style="56" customWidth="1"/>
    <col min="14" max="15" width="10.28515625" style="30" customWidth="1"/>
    <col min="16" max="16" width="16.85546875" style="30" bestFit="1" customWidth="1"/>
    <col min="17" max="17" width="12.7109375" style="372"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41.42578125" style="30" customWidth="1"/>
    <col min="32" max="38" width="10.28515625" style="30" customWidth="1"/>
    <col min="39" max="39" width="11.7109375" style="30" customWidth="1"/>
    <col min="40" max="41" width="10.28515625" style="30" customWidth="1"/>
    <col min="42" max="43" width="12.42578125" style="30" customWidth="1"/>
    <col min="44" max="44" width="29.7109375" style="30" customWidth="1"/>
    <col min="45" max="53" width="10.28515625" style="30" customWidth="1"/>
    <col min="54" max="16384" width="10.28515625" style="30"/>
  </cols>
  <sheetData>
    <row r="1" spans="1:58" s="23" customFormat="1" ht="15.75" customHeight="1">
      <c r="A1" s="22" t="s">
        <v>383</v>
      </c>
      <c r="G1" s="24"/>
      <c r="H1" s="24"/>
      <c r="I1" s="24"/>
      <c r="J1" s="81"/>
      <c r="K1" s="81"/>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1"/>
      <c r="G2" s="24"/>
      <c r="H2" s="24"/>
      <c r="I2" s="24"/>
      <c r="J2" s="81"/>
      <c r="K2" s="81"/>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60" t="s">
        <v>9</v>
      </c>
      <c r="B3" s="660" t="s">
        <v>10</v>
      </c>
      <c r="C3" s="660" t="s">
        <v>200</v>
      </c>
      <c r="D3" s="660" t="s">
        <v>105</v>
      </c>
      <c r="E3" s="660" t="s">
        <v>106</v>
      </c>
      <c r="F3" s="660" t="s">
        <v>107</v>
      </c>
      <c r="G3" s="685" t="s">
        <v>108</v>
      </c>
      <c r="H3" s="686"/>
      <c r="I3" s="686"/>
      <c r="J3" s="686"/>
      <c r="K3" s="687"/>
      <c r="L3" s="691" t="s">
        <v>109</v>
      </c>
      <c r="M3" s="692"/>
      <c r="N3" s="693"/>
      <c r="O3" s="697" t="s">
        <v>110</v>
      </c>
      <c r="P3" s="655" t="s">
        <v>122</v>
      </c>
      <c r="Q3" s="697" t="s">
        <v>111</v>
      </c>
      <c r="R3" s="653" t="s">
        <v>112</v>
      </c>
      <c r="S3" s="653" t="s">
        <v>113</v>
      </c>
      <c r="T3" s="660" t="s">
        <v>166</v>
      </c>
      <c r="U3" s="660" t="s">
        <v>165</v>
      </c>
      <c r="V3" s="660" t="s">
        <v>167</v>
      </c>
      <c r="W3" s="653" t="s">
        <v>157</v>
      </c>
      <c r="X3" s="675" t="s">
        <v>115</v>
      </c>
      <c r="Y3" s="675" t="s">
        <v>292</v>
      </c>
      <c r="Z3" s="653" t="s">
        <v>116</v>
      </c>
      <c r="AA3" s="660" t="s">
        <v>168</v>
      </c>
      <c r="AB3" s="660" t="s">
        <v>179</v>
      </c>
      <c r="AC3" s="660" t="s">
        <v>177</v>
      </c>
      <c r="AD3" s="660" t="s">
        <v>140</v>
      </c>
      <c r="AE3" s="660" t="s">
        <v>141</v>
      </c>
      <c r="AF3" s="682" t="s">
        <v>142</v>
      </c>
      <c r="AG3" s="682"/>
      <c r="AH3" s="682"/>
      <c r="AI3" s="682"/>
      <c r="AJ3" s="682"/>
      <c r="AK3" s="682"/>
      <c r="AL3" s="682"/>
      <c r="AM3" s="649" t="s">
        <v>143</v>
      </c>
      <c r="AN3" s="661" t="s">
        <v>117</v>
      </c>
      <c r="AO3" s="661"/>
      <c r="AP3" s="661"/>
      <c r="AQ3" s="661"/>
      <c r="AR3" s="661"/>
      <c r="AS3" s="662" t="s">
        <v>118</v>
      </c>
      <c r="AT3" s="656" t="s">
        <v>201</v>
      </c>
      <c r="AU3" s="657"/>
      <c r="AV3" s="664" t="s">
        <v>144</v>
      </c>
      <c r="AW3" s="665"/>
      <c r="AX3" s="666" t="s">
        <v>144</v>
      </c>
      <c r="AY3" s="667"/>
      <c r="AZ3" s="668" t="s">
        <v>301</v>
      </c>
      <c r="BA3" s="652" t="s">
        <v>119</v>
      </c>
      <c r="BB3" s="647" t="s">
        <v>120</v>
      </c>
      <c r="BC3" s="647" t="s">
        <v>121</v>
      </c>
      <c r="BD3" s="641" t="s">
        <v>372</v>
      </c>
      <c r="BE3" s="644" t="s">
        <v>373</v>
      </c>
      <c r="BF3" s="647" t="s">
        <v>374</v>
      </c>
    </row>
    <row r="4" spans="1:58" ht="12" customHeight="1">
      <c r="A4" s="673"/>
      <c r="B4" s="673"/>
      <c r="C4" s="673"/>
      <c r="D4" s="673"/>
      <c r="E4" s="673"/>
      <c r="F4" s="673"/>
      <c r="G4" s="688"/>
      <c r="H4" s="689"/>
      <c r="I4" s="689"/>
      <c r="J4" s="689"/>
      <c r="K4" s="690"/>
      <c r="L4" s="694"/>
      <c r="M4" s="695"/>
      <c r="N4" s="696"/>
      <c r="O4" s="698"/>
      <c r="P4" s="671"/>
      <c r="Q4" s="698"/>
      <c r="R4" s="674"/>
      <c r="S4" s="674"/>
      <c r="T4" s="673"/>
      <c r="U4" s="673"/>
      <c r="V4" s="673"/>
      <c r="W4" s="674"/>
      <c r="X4" s="676"/>
      <c r="Y4" s="676"/>
      <c r="Z4" s="674"/>
      <c r="AA4" s="673"/>
      <c r="AB4" s="673"/>
      <c r="AC4" s="673"/>
      <c r="AD4" s="673"/>
      <c r="AE4" s="673"/>
      <c r="AF4" s="679" t="s">
        <v>145</v>
      </c>
      <c r="AG4" s="680"/>
      <c r="AH4" s="681"/>
      <c r="AI4" s="671" t="s">
        <v>400</v>
      </c>
      <c r="AJ4" s="671" t="s">
        <v>16</v>
      </c>
      <c r="AK4" s="671" t="s">
        <v>146</v>
      </c>
      <c r="AL4" s="671" t="s">
        <v>19</v>
      </c>
      <c r="AM4" s="650"/>
      <c r="AN4" s="654" t="s">
        <v>123</v>
      </c>
      <c r="AO4" s="654" t="s">
        <v>16</v>
      </c>
      <c r="AP4" s="654" t="s">
        <v>124</v>
      </c>
      <c r="AQ4" s="654" t="s">
        <v>19</v>
      </c>
      <c r="AR4" s="652" t="s">
        <v>125</v>
      </c>
      <c r="AS4" s="662"/>
      <c r="AT4" s="658"/>
      <c r="AU4" s="659"/>
      <c r="AV4" s="511" t="s">
        <v>8</v>
      </c>
      <c r="AW4" s="511" t="s">
        <v>147</v>
      </c>
      <c r="AX4" s="512" t="s">
        <v>8</v>
      </c>
      <c r="AY4" s="513" t="s">
        <v>147</v>
      </c>
      <c r="AZ4" s="669"/>
      <c r="BA4" s="652"/>
      <c r="BB4" s="647"/>
      <c r="BC4" s="647"/>
      <c r="BD4" s="642"/>
      <c r="BE4" s="645"/>
      <c r="BF4" s="647"/>
    </row>
    <row r="5" spans="1:58" s="33" customFormat="1" ht="48">
      <c r="A5" s="673"/>
      <c r="B5" s="673"/>
      <c r="C5" s="678"/>
      <c r="D5" s="673"/>
      <c r="E5" s="673"/>
      <c r="F5" s="673"/>
      <c r="G5" s="497" t="s">
        <v>126</v>
      </c>
      <c r="H5" s="496" t="s">
        <v>127</v>
      </c>
      <c r="I5" s="31" t="s">
        <v>128</v>
      </c>
      <c r="J5" s="82" t="s">
        <v>129</v>
      </c>
      <c r="K5" s="82" t="s">
        <v>114</v>
      </c>
      <c r="L5" s="32" t="s">
        <v>130</v>
      </c>
      <c r="M5" s="32" t="s">
        <v>131</v>
      </c>
      <c r="N5" s="496" t="s">
        <v>132</v>
      </c>
      <c r="O5" s="698"/>
      <c r="P5" s="672"/>
      <c r="Q5" s="698"/>
      <c r="R5" s="674"/>
      <c r="S5" s="674"/>
      <c r="T5" s="673"/>
      <c r="U5" s="673"/>
      <c r="V5" s="673"/>
      <c r="W5" s="674"/>
      <c r="X5" s="676"/>
      <c r="Y5" s="677"/>
      <c r="Z5" s="674"/>
      <c r="AA5" s="673"/>
      <c r="AB5" s="678"/>
      <c r="AC5" s="673"/>
      <c r="AD5" s="678"/>
      <c r="AE5" s="673"/>
      <c r="AF5" s="453" t="s">
        <v>293</v>
      </c>
      <c r="AG5" s="515" t="s">
        <v>294</v>
      </c>
      <c r="AH5" s="515" t="s">
        <v>295</v>
      </c>
      <c r="AI5" s="672"/>
      <c r="AJ5" s="672"/>
      <c r="AK5" s="672"/>
      <c r="AL5" s="672"/>
      <c r="AM5" s="651"/>
      <c r="AN5" s="655"/>
      <c r="AO5" s="655"/>
      <c r="AP5" s="655"/>
      <c r="AQ5" s="655"/>
      <c r="AR5" s="653"/>
      <c r="AS5" s="663"/>
      <c r="AT5" s="516" t="s">
        <v>289</v>
      </c>
      <c r="AU5" s="516" t="s">
        <v>290</v>
      </c>
      <c r="AV5" s="514" t="s">
        <v>291</v>
      </c>
      <c r="AW5" s="514" t="s">
        <v>291</v>
      </c>
      <c r="AX5" s="512" t="s">
        <v>18</v>
      </c>
      <c r="AY5" s="512" t="s">
        <v>18</v>
      </c>
      <c r="AZ5" s="670"/>
      <c r="BA5" s="653"/>
      <c r="BB5" s="660"/>
      <c r="BC5" s="660"/>
      <c r="BD5" s="643"/>
      <c r="BE5" s="646"/>
      <c r="BF5" s="648"/>
    </row>
    <row r="6" spans="1:58" ht="12.95" customHeight="1">
      <c r="A6" s="41">
        <f>+Report1!A9</f>
        <v>45962</v>
      </c>
      <c r="B6" s="42" t="s">
        <v>431</v>
      </c>
      <c r="C6" s="443">
        <f>(M6*E6*O6*Q6)/100000000</f>
        <v>3.9742302600000001</v>
      </c>
      <c r="D6" s="42" t="s">
        <v>434</v>
      </c>
      <c r="E6" s="43">
        <v>14</v>
      </c>
      <c r="F6" s="43">
        <v>1</v>
      </c>
      <c r="G6" s="498">
        <v>1295</v>
      </c>
      <c r="H6" s="45">
        <f>+N6</f>
        <v>0.22999999999999998</v>
      </c>
      <c r="I6" s="46">
        <v>0.88</v>
      </c>
      <c r="J6" s="83">
        <f>E6*G6*(1-H6)*1440/1000000*2.74</f>
        <v>55.080970560000011</v>
      </c>
      <c r="K6" s="83">
        <f t="shared" ref="K6" si="0">(IF(G6&lt;L6,L6,G6)*(1-IF(H6&lt;N6,H6,N6))*E6*O6*Q6)/100000000</f>
        <v>4.3988275100000003</v>
      </c>
      <c r="L6" s="36">
        <v>1170</v>
      </c>
      <c r="M6" s="36">
        <v>900.9</v>
      </c>
      <c r="N6" s="47">
        <f>1-(M6/L6)</f>
        <v>0.22999999999999998</v>
      </c>
      <c r="O6" s="48">
        <f>+'Trim Rwd'!H5</f>
        <v>274</v>
      </c>
      <c r="P6" s="49">
        <f>O6*(Q6-R6-S6)</f>
        <v>26578</v>
      </c>
      <c r="Q6" s="48">
        <v>115</v>
      </c>
      <c r="R6" s="499">
        <v>0</v>
      </c>
      <c r="S6" s="499">
        <v>18</v>
      </c>
      <c r="T6" s="38">
        <f>E6*M6*O6*Q6/100000000</f>
        <v>3.9742302600000001</v>
      </c>
      <c r="U6" s="38">
        <f>E6*M6*O6*(Q6-R6-S6)/100000000</f>
        <v>3.3521768280000002</v>
      </c>
      <c r="V6" s="38">
        <f>E6*G6*(1-N6)*O6/100*(R6+S6)/1000000</f>
        <v>0.68851213199999994</v>
      </c>
      <c r="W6" s="38">
        <f>+'1'!K8/1000</f>
        <v>7.0170000000000003</v>
      </c>
      <c r="X6" s="500">
        <f>SUM(W6:W9)/SUM(K6:K9)</f>
        <v>0.72220006040347318</v>
      </c>
      <c r="Y6" s="212">
        <v>0</v>
      </c>
      <c r="Z6" s="38">
        <v>0</v>
      </c>
      <c r="AA6" s="50">
        <f>SUM(U6:U9)-SUM(W6:W9)-SUM(Z6:Z9)-SUM(Y6:Y9)</f>
        <v>2.7535099961645528</v>
      </c>
      <c r="AB6" s="50">
        <f>(SUM(K6:K9)-SUM(W6:W9)-SUM(Y6:Y9)-SUM(Z6:Z9)-SUM(AC6:AC9)-SUM(V6:V9))-AA6</f>
        <v>-0.80389188626582264</v>
      </c>
      <c r="AC6" s="38">
        <f>K6-T6</f>
        <v>0.42459725000000015</v>
      </c>
      <c r="AD6" s="38">
        <f>+AM6+BA6</f>
        <v>0</v>
      </c>
      <c r="AE6" s="231" t="s">
        <v>390</v>
      </c>
      <c r="AF6" s="38">
        <v>0</v>
      </c>
      <c r="AG6" s="38"/>
      <c r="AH6" s="38"/>
      <c r="AI6" s="501"/>
      <c r="AJ6" s="38"/>
      <c r="AK6" s="38"/>
      <c r="AL6" s="38"/>
      <c r="AM6" s="38">
        <f>SUM(AF6:AL6)+AT6</f>
        <v>0</v>
      </c>
      <c r="AN6" s="38"/>
      <c r="AO6" s="38"/>
      <c r="AP6" s="38"/>
      <c r="AQ6" s="38"/>
      <c r="AR6" s="38">
        <f>SUM(AN6:AQ6)</f>
        <v>0</v>
      </c>
      <c r="AS6" s="38"/>
      <c r="AT6" s="38"/>
      <c r="AU6" s="38"/>
      <c r="AV6" s="38"/>
      <c r="AW6" s="38"/>
      <c r="AX6" s="38"/>
      <c r="AY6" s="38"/>
      <c r="AZ6" s="38"/>
      <c r="BA6" s="38">
        <f>+AR6+AS6+AU6+AV6+AX6</f>
        <v>0</v>
      </c>
      <c r="BB6" s="34">
        <v>0</v>
      </c>
      <c r="BC6" s="52"/>
      <c r="BD6" s="52"/>
      <c r="BE6" s="34"/>
      <c r="BF6" s="52">
        <v>2</v>
      </c>
    </row>
    <row r="7" spans="1:58" ht="12.95" customHeight="1">
      <c r="A7" s="41"/>
      <c r="B7" s="42" t="s">
        <v>431</v>
      </c>
      <c r="C7" s="443">
        <f>(M7*E7*O7*Q7)/100000000</f>
        <v>45.011377876898734</v>
      </c>
      <c r="D7" s="42" t="s">
        <v>434</v>
      </c>
      <c r="E7" s="43">
        <v>13.5</v>
      </c>
      <c r="F7" s="43">
        <v>1</v>
      </c>
      <c r="G7" s="498">
        <v>1345</v>
      </c>
      <c r="H7" s="45">
        <f>+N7</f>
        <v>0.22999999999999998</v>
      </c>
      <c r="I7" s="46">
        <v>0.88</v>
      </c>
      <c r="J7" s="83">
        <f>E7*G7*(1-H7)*1440/1000000*2.74</f>
        <v>55.164518640000004</v>
      </c>
      <c r="K7" s="83">
        <f t="shared" ref="K7" si="1">(IF(G7&lt;L7,L7,G7)*(1-IF(H7&lt;N7,H7,N7))*E7*O7*Q7)/100000000</f>
        <v>50.759018887500012</v>
      </c>
      <c r="L7" s="36">
        <v>1192.7004219409282</v>
      </c>
      <c r="M7" s="36">
        <v>918.37932489451475</v>
      </c>
      <c r="N7" s="47">
        <f>1-(M7/L7)</f>
        <v>0.22999999999999998</v>
      </c>
      <c r="O7" s="48">
        <f>+'Trim Rwd'!H4</f>
        <v>274</v>
      </c>
      <c r="P7" s="49">
        <f>O7*(Q7-R7-S7)</f>
        <v>316470</v>
      </c>
      <c r="Q7" s="48">
        <f>1185+140</f>
        <v>1325</v>
      </c>
      <c r="R7" s="499">
        <f>25+115</f>
        <v>140</v>
      </c>
      <c r="S7" s="499">
        <v>30</v>
      </c>
      <c r="T7" s="38">
        <f>E7*M7*O7*Q7/100000000</f>
        <v>45.011377876898734</v>
      </c>
      <c r="U7" s="38">
        <f>E7*M7*O7*(Q7-R7-S7)/100000000</f>
        <v>39.236333168164556</v>
      </c>
      <c r="V7" s="38">
        <f>E7*G7*(1-N7)*O7/100*(R7+S7)/1000000</f>
        <v>6.5124778950000008</v>
      </c>
      <c r="W7" s="38">
        <f>+'1'!K7/1000</f>
        <v>32.817999999999998</v>
      </c>
      <c r="X7" s="39"/>
      <c r="Y7" s="212"/>
      <c r="Z7" s="38"/>
      <c r="AA7" s="38"/>
      <c r="AB7" s="38"/>
      <c r="AC7" s="38">
        <f>K7-T7</f>
        <v>5.7476410106012779</v>
      </c>
      <c r="AD7" s="38">
        <f t="shared" ref="AD7:AD10" si="2">+AM7+BA7</f>
        <v>10</v>
      </c>
      <c r="AE7" s="231" t="s">
        <v>435</v>
      </c>
      <c r="AF7" s="38"/>
      <c r="AG7" s="38">
        <v>10</v>
      </c>
      <c r="AH7" s="38"/>
      <c r="AI7" s="501"/>
      <c r="AJ7" s="38"/>
      <c r="AK7" s="38"/>
      <c r="AL7" s="38"/>
      <c r="AM7" s="38">
        <f t="shared" ref="AM7:AM10" si="3">SUM(AF7:AL7)+AT7</f>
        <v>10</v>
      </c>
      <c r="AN7" s="84"/>
      <c r="AO7" s="38"/>
      <c r="AP7" s="38"/>
      <c r="AQ7" s="38"/>
      <c r="AR7" s="38">
        <f t="shared" ref="AR7:AR10" si="4">SUM(AN7:AQ7)</f>
        <v>0</v>
      </c>
      <c r="AS7" s="38"/>
      <c r="AT7" s="38"/>
      <c r="AU7" s="38"/>
      <c r="AV7" s="38"/>
      <c r="AW7" s="38"/>
      <c r="AX7" s="38"/>
      <c r="AY7" s="38"/>
      <c r="AZ7" s="38"/>
      <c r="BA7" s="38">
        <f t="shared" ref="BA7:BA10" si="5">+AR7+AS7+AU7+AV7+AX7</f>
        <v>0</v>
      </c>
      <c r="BB7" s="51"/>
      <c r="BC7" s="52">
        <v>11</v>
      </c>
      <c r="BD7" s="52"/>
      <c r="BE7" s="51"/>
      <c r="BF7" s="52"/>
    </row>
    <row r="8" spans="1:58" ht="12.95" customHeight="1">
      <c r="A8" s="41"/>
      <c r="B8" s="42"/>
      <c r="C8" s="443"/>
      <c r="D8" s="42"/>
      <c r="E8" s="43"/>
      <c r="F8" s="43"/>
      <c r="G8" s="44"/>
      <c r="H8" s="45"/>
      <c r="I8" s="46"/>
      <c r="J8" s="83"/>
      <c r="K8" s="83"/>
      <c r="L8" s="36"/>
      <c r="M8" s="36"/>
      <c r="N8" s="47"/>
      <c r="O8" s="48"/>
      <c r="P8" s="49"/>
      <c r="Q8" s="48"/>
      <c r="R8" s="499"/>
      <c r="S8" s="499"/>
      <c r="T8" s="38"/>
      <c r="U8" s="38"/>
      <c r="V8" s="38"/>
      <c r="W8" s="38"/>
      <c r="X8" s="39"/>
      <c r="Y8" s="212"/>
      <c r="Z8" s="38"/>
      <c r="AA8" s="38"/>
      <c r="AB8" s="38"/>
      <c r="AC8" s="38"/>
      <c r="AD8" s="38">
        <f t="shared" si="2"/>
        <v>23</v>
      </c>
      <c r="AE8" s="231" t="s">
        <v>436</v>
      </c>
      <c r="AF8" s="34"/>
      <c r="AG8" s="34"/>
      <c r="AH8" s="34">
        <v>23</v>
      </c>
      <c r="AJ8" s="38"/>
      <c r="AK8" s="38"/>
      <c r="AL8" s="38"/>
      <c r="AM8" s="38">
        <f t="shared" si="3"/>
        <v>23</v>
      </c>
      <c r="AN8" s="38"/>
      <c r="AO8" s="38"/>
      <c r="AP8" s="38"/>
      <c r="AQ8" s="38"/>
      <c r="AR8" s="38">
        <f t="shared" si="4"/>
        <v>0</v>
      </c>
      <c r="AS8" s="38"/>
      <c r="AT8" s="38"/>
      <c r="AU8" s="38"/>
      <c r="AV8" s="38"/>
      <c r="AW8" s="38"/>
      <c r="AX8" s="38"/>
      <c r="AY8" s="38"/>
      <c r="AZ8" s="38"/>
      <c r="BA8" s="38">
        <f t="shared" si="5"/>
        <v>0</v>
      </c>
      <c r="BB8" s="34"/>
      <c r="BC8" s="502"/>
      <c r="BD8" s="502"/>
      <c r="BE8" s="34"/>
      <c r="BF8" s="502"/>
    </row>
    <row r="9" spans="1:58" ht="12.95" customHeight="1">
      <c r="A9" s="41"/>
      <c r="B9" s="42"/>
      <c r="C9" s="443"/>
      <c r="D9" s="42"/>
      <c r="E9" s="43"/>
      <c r="F9" s="43"/>
      <c r="G9" s="44"/>
      <c r="H9" s="45"/>
      <c r="I9" s="46"/>
      <c r="J9" s="83"/>
      <c r="K9" s="83"/>
      <c r="L9" s="36"/>
      <c r="M9" s="36"/>
      <c r="N9" s="47"/>
      <c r="O9" s="48"/>
      <c r="P9" s="49"/>
      <c r="Q9" s="35"/>
      <c r="R9" s="499"/>
      <c r="S9" s="499"/>
      <c r="T9" s="38"/>
      <c r="U9" s="38"/>
      <c r="V9" s="38"/>
      <c r="W9" s="38"/>
      <c r="X9" s="39"/>
      <c r="Y9" s="212"/>
      <c r="Z9" s="38"/>
      <c r="AA9" s="38"/>
      <c r="AB9" s="38"/>
      <c r="AC9" s="38"/>
      <c r="AD9" s="38">
        <f t="shared" si="2"/>
        <v>15</v>
      </c>
      <c r="AE9" s="234" t="s">
        <v>228</v>
      </c>
      <c r="AF9" s="38"/>
      <c r="AG9" s="38"/>
      <c r="AH9" s="38"/>
      <c r="AI9" s="501">
        <v>15</v>
      </c>
      <c r="AJ9" s="38"/>
      <c r="AK9" s="38"/>
      <c r="AL9" s="38"/>
      <c r="AM9" s="38">
        <f t="shared" si="3"/>
        <v>15</v>
      </c>
      <c r="AN9" s="38"/>
      <c r="AO9" s="38"/>
      <c r="AP9" s="38"/>
      <c r="AQ9" s="38"/>
      <c r="AR9" s="38">
        <f t="shared" si="4"/>
        <v>0</v>
      </c>
      <c r="AS9" s="38"/>
      <c r="AT9" s="38"/>
      <c r="AU9" s="38"/>
      <c r="AV9" s="38"/>
      <c r="AW9" s="38"/>
      <c r="AX9" s="38"/>
      <c r="AY9" s="38"/>
      <c r="AZ9" s="38"/>
      <c r="BA9" s="38">
        <f t="shared" si="5"/>
        <v>0</v>
      </c>
      <c r="BB9" s="51"/>
      <c r="BC9" s="52"/>
      <c r="BD9" s="52"/>
      <c r="BE9" s="51"/>
      <c r="BF9" s="52"/>
    </row>
    <row r="10" spans="1:58" ht="12.95" customHeight="1">
      <c r="A10" s="41"/>
      <c r="B10" s="42"/>
      <c r="C10" s="443"/>
      <c r="D10" s="42"/>
      <c r="E10" s="43"/>
      <c r="F10" s="43"/>
      <c r="G10" s="498"/>
      <c r="H10" s="45"/>
      <c r="I10" s="46"/>
      <c r="J10" s="83"/>
      <c r="K10" s="83"/>
      <c r="L10" s="36"/>
      <c r="M10" s="36"/>
      <c r="N10" s="47"/>
      <c r="O10" s="48"/>
      <c r="P10" s="49"/>
      <c r="Q10" s="48"/>
      <c r="R10" s="499"/>
      <c r="S10" s="499"/>
      <c r="T10" s="38"/>
      <c r="U10" s="38"/>
      <c r="V10" s="38"/>
      <c r="W10" s="38"/>
      <c r="X10" s="500"/>
      <c r="Y10" s="212"/>
      <c r="Z10" s="38"/>
      <c r="AA10" s="50"/>
      <c r="AB10" s="50"/>
      <c r="AC10" s="38"/>
      <c r="AD10" s="38">
        <f t="shared" si="2"/>
        <v>140</v>
      </c>
      <c r="AE10" s="234" t="s">
        <v>437</v>
      </c>
      <c r="AF10" s="38"/>
      <c r="AG10" s="38"/>
      <c r="AH10" s="38"/>
      <c r="AI10" s="501"/>
      <c r="AJ10" s="38"/>
      <c r="AK10" s="38"/>
      <c r="AL10" s="38"/>
      <c r="AM10" s="38">
        <f t="shared" si="3"/>
        <v>0</v>
      </c>
      <c r="AN10" s="38">
        <v>140</v>
      </c>
      <c r="AO10" s="38"/>
      <c r="AP10" s="38"/>
      <c r="AQ10" s="38"/>
      <c r="AR10" s="38">
        <f t="shared" si="4"/>
        <v>140</v>
      </c>
      <c r="AS10" s="38"/>
      <c r="AT10" s="38"/>
      <c r="AU10" s="38"/>
      <c r="AV10" s="38"/>
      <c r="AW10" s="38"/>
      <c r="AX10" s="38"/>
      <c r="AY10" s="38"/>
      <c r="AZ10" s="38"/>
      <c r="BA10" s="38">
        <f t="shared" si="5"/>
        <v>140</v>
      </c>
      <c r="BB10" s="34"/>
      <c r="BC10" s="52"/>
      <c r="BD10" s="52"/>
      <c r="BE10" s="34"/>
      <c r="BF10" s="52"/>
    </row>
    <row r="11" spans="1:58" ht="12.75" customHeight="1">
      <c r="A11" s="41"/>
      <c r="B11" s="42"/>
      <c r="C11" s="443"/>
      <c r="D11" s="42"/>
      <c r="E11" s="43"/>
      <c r="F11" s="43"/>
      <c r="G11" s="498"/>
      <c r="H11" s="45"/>
      <c r="I11" s="46"/>
      <c r="J11" s="83"/>
      <c r="K11" s="83"/>
      <c r="L11" s="36"/>
      <c r="M11" s="36"/>
      <c r="N11" s="47"/>
      <c r="O11" s="48"/>
      <c r="P11" s="49"/>
      <c r="Q11" s="48"/>
      <c r="R11" s="499"/>
      <c r="S11" s="499"/>
      <c r="T11" s="38"/>
      <c r="U11" s="38"/>
      <c r="V11" s="38"/>
      <c r="W11" s="38"/>
      <c r="X11" s="39"/>
      <c r="Y11" s="212"/>
      <c r="Z11" s="38"/>
      <c r="AA11" s="38"/>
      <c r="AB11" s="38"/>
      <c r="AC11" s="38"/>
      <c r="AD11" s="38"/>
      <c r="AE11" s="231"/>
      <c r="AF11" s="38"/>
      <c r="AG11" s="38"/>
      <c r="AH11" s="38"/>
      <c r="AI11" s="501"/>
      <c r="AJ11" s="38"/>
      <c r="AK11" s="38"/>
      <c r="AL11" s="38"/>
      <c r="AM11" s="38"/>
      <c r="AN11" s="84"/>
      <c r="AO11" s="38"/>
      <c r="AP11" s="38"/>
      <c r="AQ11" s="38"/>
      <c r="AR11" s="38"/>
      <c r="AS11" s="38"/>
      <c r="AT11" s="38"/>
      <c r="AU11" s="38"/>
      <c r="AV11" s="38"/>
      <c r="AW11" s="38"/>
      <c r="AX11" s="38"/>
      <c r="AY11" s="38"/>
      <c r="AZ11" s="38"/>
      <c r="BA11" s="38"/>
      <c r="BB11" s="51"/>
      <c r="BC11" s="52"/>
      <c r="BD11" s="52"/>
      <c r="BE11" s="51"/>
      <c r="BF11" s="52"/>
    </row>
    <row r="12" spans="1:58" ht="12.95" customHeight="1">
      <c r="A12" s="41">
        <v>45963</v>
      </c>
      <c r="B12" s="42" t="s">
        <v>431</v>
      </c>
      <c r="C12" s="443">
        <f>(M12*E12*O12*Q12)/100000000</f>
        <v>25.227342755999999</v>
      </c>
      <c r="D12" s="42" t="s">
        <v>434</v>
      </c>
      <c r="E12" s="43">
        <v>13.5</v>
      </c>
      <c r="F12" s="43">
        <v>1</v>
      </c>
      <c r="G12" s="498">
        <v>1345</v>
      </c>
      <c r="H12" s="45">
        <f>+N12</f>
        <v>0.23000000000000009</v>
      </c>
      <c r="I12" s="46">
        <v>0.88</v>
      </c>
      <c r="J12" s="83">
        <f>E12*G12*(1-H12)*1440/1000000*2.74</f>
        <v>55.164518639999997</v>
      </c>
      <c r="K12" s="83">
        <f t="shared" ref="K12:K13" si="6">(IF(G12&lt;L12,L12,G12)*(1-IF(H12&lt;N12,H12,N12))*E12*O12*Q12)/100000000</f>
        <v>27.812111480999999</v>
      </c>
      <c r="L12" s="36">
        <v>1220</v>
      </c>
      <c r="M12" s="36">
        <v>939.39999999999986</v>
      </c>
      <c r="N12" s="47">
        <f>1-(M12/L12)</f>
        <v>0.23000000000000009</v>
      </c>
      <c r="O12" s="48">
        <f>+'Trim Rwd'!H7</f>
        <v>274</v>
      </c>
      <c r="P12" s="49">
        <f>O12*(Q12-R12-S12)</f>
        <v>192622</v>
      </c>
      <c r="Q12" s="48">
        <v>726</v>
      </c>
      <c r="R12" s="499">
        <v>0</v>
      </c>
      <c r="S12" s="499">
        <v>23</v>
      </c>
      <c r="T12" s="38">
        <f>E12*M12*O12*Q12/100000000</f>
        <v>25.227342755999999</v>
      </c>
      <c r="U12" s="38">
        <f>E12*M12*O12*(Q12-R12-S12)/100000000</f>
        <v>24.428129417999997</v>
      </c>
      <c r="V12" s="38">
        <f>E12*G12*(1-N12)*O12/100*(R12+S12)/1000000</f>
        <v>0.88109995049999978</v>
      </c>
      <c r="W12" s="38">
        <f>+'2'!K7/1000</f>
        <v>28.510999999999999</v>
      </c>
      <c r="X12" s="500">
        <f>SUM(W12:W15)/SUM(K12:K15)</f>
        <v>0.89075190777271496</v>
      </c>
      <c r="Y12" s="212">
        <v>0</v>
      </c>
      <c r="Z12" s="38">
        <v>0</v>
      </c>
      <c r="AA12" s="50">
        <f>SUM(U12:U15)-SUM(W12:W15)-SUM(Z12:Z15)-SUM(Y12:Y15)</f>
        <v>0.22124705250979559</v>
      </c>
      <c r="AB12" s="50">
        <f>(SUM(K12:K15)-SUM(W12:W15)-SUM(Y12:Y15)-SUM(Z12:Z15)-SUM(AC12:AC15)-SUM(V12:V15))-AA12</f>
        <v>-0.13196995500980169</v>
      </c>
      <c r="AC12" s="38">
        <f>K12-T12</f>
        <v>2.584768725</v>
      </c>
      <c r="AD12" s="38">
        <f>+AM12+BA12</f>
        <v>0</v>
      </c>
      <c r="AE12" s="231" t="s">
        <v>390</v>
      </c>
      <c r="AF12" s="38">
        <v>0</v>
      </c>
      <c r="AG12" s="38"/>
      <c r="AH12" s="38"/>
      <c r="AI12" s="501"/>
      <c r="AJ12" s="38"/>
      <c r="AK12" s="38"/>
      <c r="AL12" s="38"/>
      <c r="AM12" s="38">
        <f>SUM(AF12:AL12)+AT12</f>
        <v>0</v>
      </c>
      <c r="AN12" s="38"/>
      <c r="AO12" s="38"/>
      <c r="AP12" s="38"/>
      <c r="AQ12" s="38"/>
      <c r="AR12" s="38">
        <f>SUM(AN12:AQ12)</f>
        <v>0</v>
      </c>
      <c r="AS12" s="38"/>
      <c r="AT12" s="38"/>
      <c r="AU12" s="38"/>
      <c r="AV12" s="38"/>
      <c r="AW12" s="38"/>
      <c r="AX12" s="38"/>
      <c r="AY12" s="38"/>
      <c r="AZ12" s="38"/>
      <c r="BA12" s="38">
        <f>+AR12+AS12+AU12+AV12+AX12</f>
        <v>0</v>
      </c>
      <c r="BB12" s="34">
        <v>0</v>
      </c>
      <c r="BC12" s="52"/>
      <c r="BD12" s="52"/>
      <c r="BE12" s="34"/>
      <c r="BF12" s="52"/>
    </row>
    <row r="13" spans="1:58" ht="12.95" customHeight="1">
      <c r="A13" s="41"/>
      <c r="B13" s="42" t="s">
        <v>431</v>
      </c>
      <c r="C13" s="443">
        <f>(M13*E13*O13*Q13)/100000000</f>
        <v>25.685549119999994</v>
      </c>
      <c r="D13" s="42" t="s">
        <v>434</v>
      </c>
      <c r="E13" s="43">
        <v>14</v>
      </c>
      <c r="F13" s="43">
        <v>1</v>
      </c>
      <c r="G13" s="498">
        <v>1295</v>
      </c>
      <c r="H13" s="45">
        <f>+N13</f>
        <v>0.22999999999999998</v>
      </c>
      <c r="I13" s="46">
        <v>0.88</v>
      </c>
      <c r="J13" s="83">
        <f>E13*G13*(1-H13)*1440/1000000*2.74</f>
        <v>55.080970560000011</v>
      </c>
      <c r="K13" s="83">
        <f t="shared" si="6"/>
        <v>27.310981236</v>
      </c>
      <c r="L13" s="36">
        <v>1217.9271708683473</v>
      </c>
      <c r="M13" s="36">
        <v>937.8039215686274</v>
      </c>
      <c r="N13" s="47">
        <f>1-(M13/L13)</f>
        <v>0.22999999999999998</v>
      </c>
      <c r="O13" s="48">
        <f>+'Trim Rwd'!H8</f>
        <v>274</v>
      </c>
      <c r="P13" s="49">
        <f>O13*(Q13-R13-S13)</f>
        <v>189608</v>
      </c>
      <c r="Q13" s="48">
        <v>714</v>
      </c>
      <c r="R13" s="499">
        <v>0</v>
      </c>
      <c r="S13" s="499">
        <v>22</v>
      </c>
      <c r="T13" s="38">
        <f>E13*M13*O13*Q13/100000000</f>
        <v>25.685549119999994</v>
      </c>
      <c r="U13" s="38">
        <f>E13*M13*O13*(Q13-R13-S13)/100000000</f>
        <v>24.894117634509801</v>
      </c>
      <c r="V13" s="38">
        <f>E13*G13*(1-N13)*O13/100*(R13+S13)/1000000</f>
        <v>0.84151482799999999</v>
      </c>
      <c r="W13" s="38">
        <f>+'2'!K8/1000</f>
        <v>20.59</v>
      </c>
      <c r="X13" s="39"/>
      <c r="Y13" s="212"/>
      <c r="Z13" s="38"/>
      <c r="AA13" s="38"/>
      <c r="AB13" s="38"/>
      <c r="AC13" s="38">
        <f>K13-T13</f>
        <v>1.625432116000006</v>
      </c>
      <c r="AD13" s="38">
        <f t="shared" ref="AD13:AD15" si="7">+AM13+BA13</f>
        <v>12</v>
      </c>
      <c r="AE13" s="231" t="s">
        <v>438</v>
      </c>
      <c r="AF13" s="38"/>
      <c r="AG13" s="38">
        <v>12</v>
      </c>
      <c r="AH13" s="38"/>
      <c r="AI13" s="501"/>
      <c r="AJ13" s="38"/>
      <c r="AK13" s="38"/>
      <c r="AL13" s="38"/>
      <c r="AM13" s="38">
        <f t="shared" ref="AM13:AM15" si="8">SUM(AF13:AL13)+AT13</f>
        <v>12</v>
      </c>
      <c r="AN13" s="84"/>
      <c r="AO13" s="38"/>
      <c r="AP13" s="38"/>
      <c r="AQ13" s="38"/>
      <c r="AR13" s="38">
        <f t="shared" ref="AR13:AR15" si="9">SUM(AN13:AQ13)</f>
        <v>0</v>
      </c>
      <c r="AS13" s="38"/>
      <c r="AT13" s="38"/>
      <c r="AU13" s="38"/>
      <c r="AV13" s="38"/>
      <c r="AW13" s="38"/>
      <c r="AX13" s="38"/>
      <c r="AY13" s="38"/>
      <c r="AZ13" s="38"/>
      <c r="BA13" s="38">
        <f t="shared" ref="BA13:BA15" si="10">+AR13+AS13+AU13+AV13+AX13</f>
        <v>0</v>
      </c>
      <c r="BB13" s="51"/>
      <c r="BC13" s="52">
        <v>10</v>
      </c>
      <c r="BD13" s="52"/>
      <c r="BE13" s="51"/>
      <c r="BF13" s="52"/>
    </row>
    <row r="14" spans="1:58" ht="12.95" customHeight="1">
      <c r="A14" s="41"/>
      <c r="B14" s="42"/>
      <c r="C14" s="443"/>
      <c r="D14" s="42"/>
      <c r="E14" s="43"/>
      <c r="F14" s="43"/>
      <c r="G14" s="44"/>
      <c r="H14" s="45"/>
      <c r="I14" s="46"/>
      <c r="J14" s="83"/>
      <c r="K14" s="83"/>
      <c r="L14" s="36"/>
      <c r="M14" s="36"/>
      <c r="N14" s="47"/>
      <c r="O14" s="48"/>
      <c r="P14" s="49"/>
      <c r="Q14" s="48"/>
      <c r="R14" s="499"/>
      <c r="S14" s="499"/>
      <c r="T14" s="38"/>
      <c r="U14" s="38"/>
      <c r="V14" s="38"/>
      <c r="W14" s="38"/>
      <c r="X14" s="39"/>
      <c r="Y14" s="212"/>
      <c r="Z14" s="38"/>
      <c r="AA14" s="38"/>
      <c r="AB14" s="38"/>
      <c r="AC14" s="38"/>
      <c r="AD14" s="38">
        <f t="shared" si="7"/>
        <v>23</v>
      </c>
      <c r="AE14" s="231" t="s">
        <v>436</v>
      </c>
      <c r="AF14" s="34"/>
      <c r="AG14" s="34"/>
      <c r="AH14" s="34">
        <v>23</v>
      </c>
      <c r="AJ14" s="38"/>
      <c r="AK14" s="38"/>
      <c r="AL14" s="38"/>
      <c r="AM14" s="38">
        <f t="shared" si="8"/>
        <v>23</v>
      </c>
      <c r="AN14" s="38"/>
      <c r="AO14" s="38"/>
      <c r="AP14" s="38"/>
      <c r="AQ14" s="38"/>
      <c r="AR14" s="38">
        <f t="shared" si="9"/>
        <v>0</v>
      </c>
      <c r="AS14" s="38"/>
      <c r="AT14" s="38"/>
      <c r="AU14" s="38"/>
      <c r="AV14" s="38"/>
      <c r="AW14" s="38"/>
      <c r="AX14" s="38"/>
      <c r="AY14" s="38"/>
      <c r="AZ14" s="38"/>
      <c r="BA14" s="38">
        <f t="shared" si="10"/>
        <v>0</v>
      </c>
      <c r="BB14" s="34"/>
      <c r="BC14" s="502"/>
      <c r="BD14" s="502"/>
      <c r="BE14" s="34"/>
      <c r="BF14" s="502"/>
    </row>
    <row r="15" spans="1:58" ht="12.95" customHeight="1">
      <c r="A15" s="41"/>
      <c r="B15" s="42"/>
      <c r="C15" s="443"/>
      <c r="D15" s="42"/>
      <c r="E15" s="43"/>
      <c r="F15" s="43"/>
      <c r="G15" s="44"/>
      <c r="H15" s="45"/>
      <c r="I15" s="46"/>
      <c r="J15" s="83"/>
      <c r="K15" s="83"/>
      <c r="L15" s="36"/>
      <c r="M15" s="36"/>
      <c r="N15" s="47"/>
      <c r="O15" s="48"/>
      <c r="P15" s="49"/>
      <c r="Q15" s="35"/>
      <c r="R15" s="499"/>
      <c r="S15" s="499"/>
      <c r="T15" s="38"/>
      <c r="U15" s="38"/>
      <c r="V15" s="38"/>
      <c r="W15" s="38"/>
      <c r="X15" s="39"/>
      <c r="Y15" s="212"/>
      <c r="Z15" s="38"/>
      <c r="AA15" s="38"/>
      <c r="AB15" s="38"/>
      <c r="AC15" s="38"/>
      <c r="AD15" s="38">
        <f t="shared" si="7"/>
        <v>10</v>
      </c>
      <c r="AE15" s="234" t="s">
        <v>228</v>
      </c>
      <c r="AF15" s="38"/>
      <c r="AG15" s="38"/>
      <c r="AH15" s="38"/>
      <c r="AI15" s="501">
        <v>10</v>
      </c>
      <c r="AJ15" s="38"/>
      <c r="AK15" s="38"/>
      <c r="AL15" s="38"/>
      <c r="AM15" s="38">
        <f t="shared" si="8"/>
        <v>10</v>
      </c>
      <c r="AN15" s="38"/>
      <c r="AO15" s="38"/>
      <c r="AP15" s="38"/>
      <c r="AQ15" s="38"/>
      <c r="AR15" s="38">
        <f t="shared" si="9"/>
        <v>0</v>
      </c>
      <c r="AS15" s="38"/>
      <c r="AT15" s="38"/>
      <c r="AU15" s="38"/>
      <c r="AV15" s="38"/>
      <c r="AW15" s="38"/>
      <c r="AX15" s="38"/>
      <c r="AY15" s="38"/>
      <c r="AZ15" s="38"/>
      <c r="BA15" s="38">
        <f t="shared" si="10"/>
        <v>0</v>
      </c>
      <c r="BB15" s="51"/>
      <c r="BC15" s="52"/>
      <c r="BD15" s="52"/>
      <c r="BE15" s="51"/>
      <c r="BF15" s="52"/>
    </row>
    <row r="16" spans="1:58" ht="12.95" customHeight="1">
      <c r="A16" s="41"/>
      <c r="B16" s="42"/>
      <c r="C16" s="443"/>
      <c r="D16" s="42"/>
      <c r="E16" s="43"/>
      <c r="F16" s="43"/>
      <c r="G16" s="498"/>
      <c r="H16" s="45"/>
      <c r="I16" s="46"/>
      <c r="J16" s="83"/>
      <c r="K16" s="83"/>
      <c r="L16" s="36"/>
      <c r="M16" s="36"/>
      <c r="N16" s="47"/>
      <c r="O16" s="48"/>
      <c r="P16" s="49"/>
      <c r="Q16" s="48"/>
      <c r="R16" s="499"/>
      <c r="S16" s="499"/>
      <c r="T16" s="38"/>
      <c r="U16" s="38"/>
      <c r="V16" s="38"/>
      <c r="W16" s="38"/>
      <c r="X16" s="500"/>
      <c r="Y16" s="212"/>
      <c r="Z16" s="38"/>
      <c r="AA16" s="50"/>
      <c r="AB16" s="50"/>
      <c r="AC16" s="38"/>
      <c r="AD16" s="38"/>
      <c r="AE16" s="234"/>
      <c r="AF16" s="38"/>
      <c r="AG16" s="38"/>
      <c r="AH16" s="38"/>
      <c r="AI16" s="501"/>
      <c r="AJ16" s="38"/>
      <c r="AK16" s="38"/>
      <c r="AL16" s="38"/>
      <c r="AM16" s="38"/>
      <c r="AN16" s="38"/>
      <c r="AO16" s="38"/>
      <c r="AP16" s="38"/>
      <c r="AQ16" s="38"/>
      <c r="AR16" s="38"/>
      <c r="AS16" s="38"/>
      <c r="AT16" s="38"/>
      <c r="AU16" s="38"/>
      <c r="AV16" s="38"/>
      <c r="AW16" s="38"/>
      <c r="AX16" s="38"/>
      <c r="AY16" s="38"/>
      <c r="AZ16" s="38"/>
      <c r="BA16" s="38"/>
      <c r="BB16" s="34"/>
      <c r="BC16" s="52"/>
      <c r="BD16" s="52"/>
      <c r="BE16" s="34"/>
      <c r="BF16" s="52"/>
    </row>
    <row r="17" spans="1:58" ht="12.95" customHeight="1">
      <c r="A17" s="41">
        <v>45964</v>
      </c>
      <c r="B17" s="42" t="s">
        <v>431</v>
      </c>
      <c r="C17" s="443">
        <f>(M17*E17*O17*Q17)/100000000</f>
        <v>51.64207910399999</v>
      </c>
      <c r="D17" s="42" t="s">
        <v>434</v>
      </c>
      <c r="E17" s="43">
        <v>14</v>
      </c>
      <c r="F17" s="43">
        <v>1</v>
      </c>
      <c r="G17" s="498">
        <v>1295</v>
      </c>
      <c r="H17" s="45">
        <f>+N17</f>
        <v>0.22999999999999998</v>
      </c>
      <c r="I17" s="46">
        <v>0.88</v>
      </c>
      <c r="J17" s="83">
        <f>E17*G17*(1-H17)*1440/1000000*2.74</f>
        <v>55.080970560000011</v>
      </c>
      <c r="K17" s="83">
        <f t="shared" ref="K17" si="11">(IF(G17&lt;L17,L17,G17)*(1-IF(H17&lt;N17,H17,N17))*E17*O17*Q17)/100000000</f>
        <v>54.667432511999998</v>
      </c>
      <c r="L17" s="36">
        <v>1223.3333333333333</v>
      </c>
      <c r="M17" s="36">
        <v>941.9666666666667</v>
      </c>
      <c r="N17" s="47">
        <f>1-(M17/L17)</f>
        <v>0.22999999999999998</v>
      </c>
      <c r="O17" s="48">
        <f>+'Trim Rwd'!H10</f>
        <v>271.94285714285712</v>
      </c>
      <c r="P17" s="49">
        <f>O17*(Q17-R17-S17)</f>
        <v>375825.02857142856</v>
      </c>
      <c r="Q17" s="48">
        <v>1440</v>
      </c>
      <c r="R17" s="499">
        <v>0</v>
      </c>
      <c r="S17" s="499">
        <v>58</v>
      </c>
      <c r="T17" s="38">
        <f>E17*M17*O17*Q17/100000000</f>
        <v>51.64207910399999</v>
      </c>
      <c r="U17" s="38">
        <f>E17*M17*O17*(Q17-R17-S17)/100000000</f>
        <v>49.562050917866657</v>
      </c>
      <c r="V17" s="38">
        <f>E17*G17*(1-N17)*O17/100*(R17+S17)/1000000</f>
        <v>2.2018826983999999</v>
      </c>
      <c r="W17" s="38">
        <f>+'3'!K8/1000</f>
        <v>48.119</v>
      </c>
      <c r="X17" s="500">
        <f>SUM(W17:W20)/SUM(K17:K20)</f>
        <v>0.88021327852624942</v>
      </c>
      <c r="Y17" s="212">
        <f>+SUM(RBP!AG8:AG9)</f>
        <v>0</v>
      </c>
      <c r="Z17" s="38">
        <v>0</v>
      </c>
      <c r="AA17" s="50">
        <f>SUM(U17:U20)-SUM(W17:W20)-SUM(Z17:Z20)-SUM(Y17:Y20)</f>
        <v>1.4430509178666568</v>
      </c>
      <c r="AB17" s="50">
        <f>(SUM(K17:K20)-SUM(W17:W20)-SUM(Y17:Y20)-SUM(Z17:Z20)-SUM(AC17:AC20)-SUM(V17:V20))-AA17</f>
        <v>-0.12185451226666677</v>
      </c>
      <c r="AC17" s="38">
        <f>K17-T17</f>
        <v>3.025353408000008</v>
      </c>
      <c r="AD17" s="38">
        <f>+AM17+BA17</f>
        <v>0</v>
      </c>
      <c r="AE17" s="231" t="s">
        <v>390</v>
      </c>
      <c r="AF17" s="38">
        <v>0</v>
      </c>
      <c r="AG17" s="38"/>
      <c r="AH17" s="38"/>
      <c r="AI17" s="501"/>
      <c r="AJ17" s="38"/>
      <c r="AK17" s="38"/>
      <c r="AL17" s="38"/>
      <c r="AM17" s="38">
        <f>SUM(AF17:AL17)+AT17</f>
        <v>0</v>
      </c>
      <c r="AN17" s="38"/>
      <c r="AO17" s="38"/>
      <c r="AP17" s="38"/>
      <c r="AQ17" s="38"/>
      <c r="AR17" s="38">
        <f>SUM(AN17:AQ17)</f>
        <v>0</v>
      </c>
      <c r="AS17" s="38"/>
      <c r="AT17" s="38"/>
      <c r="AU17" s="38"/>
      <c r="AV17" s="38"/>
      <c r="AW17" s="38"/>
      <c r="AX17" s="38"/>
      <c r="AY17" s="38"/>
      <c r="AZ17" s="38"/>
      <c r="BA17" s="38">
        <f>+AR17+AS17+AU17+AV17+AX17</f>
        <v>0</v>
      </c>
      <c r="BB17" s="34">
        <v>0</v>
      </c>
      <c r="BC17" s="52"/>
      <c r="BD17" s="52"/>
      <c r="BE17" s="34"/>
      <c r="BF17" s="52"/>
    </row>
    <row r="18" spans="1:58" ht="12.95" customHeight="1">
      <c r="A18" s="41"/>
      <c r="B18" s="42"/>
      <c r="C18" s="443"/>
      <c r="D18" s="42"/>
      <c r="E18" s="43"/>
      <c r="F18" s="43"/>
      <c r="G18" s="498"/>
      <c r="H18" s="45"/>
      <c r="I18" s="46"/>
      <c r="J18" s="83"/>
      <c r="K18" s="83"/>
      <c r="L18" s="36"/>
      <c r="M18" s="36"/>
      <c r="N18" s="47"/>
      <c r="O18" s="48"/>
      <c r="P18" s="49"/>
      <c r="Q18" s="48"/>
      <c r="R18" s="499"/>
      <c r="S18" s="499"/>
      <c r="T18" s="38"/>
      <c r="U18" s="38"/>
      <c r="V18" s="38"/>
      <c r="W18" s="38"/>
      <c r="X18" s="39"/>
      <c r="Y18" s="212"/>
      <c r="Z18" s="38"/>
      <c r="AA18" s="38"/>
      <c r="AB18" s="38"/>
      <c r="AC18" s="38">
        <f>K18-T18</f>
        <v>0</v>
      </c>
      <c r="AD18" s="38">
        <f t="shared" ref="AD18:AD20" si="12">+AM18+BA18</f>
        <v>13</v>
      </c>
      <c r="AE18" s="231" t="s">
        <v>465</v>
      </c>
      <c r="AF18" s="38"/>
      <c r="AG18" s="38">
        <v>13</v>
      </c>
      <c r="AH18" s="38"/>
      <c r="AI18" s="501"/>
      <c r="AJ18" s="38"/>
      <c r="AK18" s="38"/>
      <c r="AL18" s="38"/>
      <c r="AM18" s="38">
        <f t="shared" ref="AM18:AM20" si="13">SUM(AF18:AL18)+AT18</f>
        <v>13</v>
      </c>
      <c r="AN18" s="84"/>
      <c r="AO18" s="38"/>
      <c r="AP18" s="38"/>
      <c r="AQ18" s="38"/>
      <c r="AR18" s="38">
        <f t="shared" ref="AR18:AR20" si="14">SUM(AN18:AQ18)</f>
        <v>0</v>
      </c>
      <c r="AS18" s="38"/>
      <c r="AT18" s="38"/>
      <c r="AU18" s="38"/>
      <c r="AV18" s="38"/>
      <c r="AW18" s="38"/>
      <c r="AX18" s="38"/>
      <c r="AY18" s="38"/>
      <c r="AZ18" s="38"/>
      <c r="BA18" s="38">
        <f t="shared" ref="BA18:BA20" si="15">+AR18+AS18+AU18+AV18+AX18</f>
        <v>0</v>
      </c>
      <c r="BB18" s="51"/>
      <c r="BC18" s="52">
        <v>14</v>
      </c>
      <c r="BD18" s="52"/>
      <c r="BE18" s="51"/>
      <c r="BF18" s="52"/>
    </row>
    <row r="19" spans="1:58" ht="12.95" customHeight="1">
      <c r="A19" s="41"/>
      <c r="B19" s="42"/>
      <c r="C19" s="443"/>
      <c r="D19" s="42"/>
      <c r="E19" s="43"/>
      <c r="F19" s="43"/>
      <c r="G19" s="44"/>
      <c r="H19" s="45"/>
      <c r="I19" s="46"/>
      <c r="J19" s="83"/>
      <c r="K19" s="83"/>
      <c r="L19" s="36"/>
      <c r="M19" s="36"/>
      <c r="N19" s="47"/>
      <c r="O19" s="48"/>
      <c r="P19" s="49"/>
      <c r="Q19" s="48"/>
      <c r="R19" s="499"/>
      <c r="S19" s="499"/>
      <c r="T19" s="38"/>
      <c r="U19" s="38"/>
      <c r="V19" s="38"/>
      <c r="W19" s="38"/>
      <c r="X19" s="39"/>
      <c r="Y19" s="212"/>
      <c r="Z19" s="38"/>
      <c r="AA19" s="38"/>
      <c r="AB19" s="38"/>
      <c r="AC19" s="38"/>
      <c r="AD19" s="38">
        <f t="shared" si="12"/>
        <v>22</v>
      </c>
      <c r="AE19" s="231" t="s">
        <v>436</v>
      </c>
      <c r="AF19" s="34"/>
      <c r="AG19" s="34"/>
      <c r="AH19" s="34">
        <v>22</v>
      </c>
      <c r="AJ19" s="38"/>
      <c r="AK19" s="38"/>
      <c r="AL19" s="38"/>
      <c r="AM19" s="38">
        <f t="shared" si="13"/>
        <v>22</v>
      </c>
      <c r="AN19" s="38"/>
      <c r="AO19" s="38"/>
      <c r="AP19" s="38"/>
      <c r="AQ19" s="38"/>
      <c r="AR19" s="38">
        <f t="shared" si="14"/>
        <v>0</v>
      </c>
      <c r="AS19" s="38"/>
      <c r="AT19" s="38"/>
      <c r="AU19" s="38"/>
      <c r="AV19" s="38"/>
      <c r="AW19" s="38"/>
      <c r="AX19" s="38"/>
      <c r="AY19" s="38"/>
      <c r="AZ19" s="38"/>
      <c r="BA19" s="38">
        <f t="shared" si="15"/>
        <v>0</v>
      </c>
      <c r="BB19" s="34"/>
      <c r="BC19" s="502"/>
      <c r="BD19" s="502"/>
      <c r="BE19" s="34"/>
      <c r="BF19" s="502"/>
    </row>
    <row r="20" spans="1:58" ht="12.95" customHeight="1">
      <c r="A20" s="41"/>
      <c r="B20" s="42"/>
      <c r="C20" s="443"/>
      <c r="D20" s="42"/>
      <c r="E20" s="43"/>
      <c r="F20" s="43"/>
      <c r="G20" s="44"/>
      <c r="H20" s="45"/>
      <c r="I20" s="46"/>
      <c r="J20" s="83"/>
      <c r="K20" s="83"/>
      <c r="L20" s="36"/>
      <c r="M20" s="36"/>
      <c r="N20" s="47"/>
      <c r="O20" s="48"/>
      <c r="P20" s="49"/>
      <c r="Q20" s="35"/>
      <c r="R20" s="499"/>
      <c r="S20" s="499"/>
      <c r="T20" s="38"/>
      <c r="U20" s="38"/>
      <c r="V20" s="38"/>
      <c r="W20" s="38"/>
      <c r="X20" s="39"/>
      <c r="Y20" s="212"/>
      <c r="Z20" s="38"/>
      <c r="AA20" s="38"/>
      <c r="AB20" s="38"/>
      <c r="AC20" s="38"/>
      <c r="AD20" s="38">
        <f t="shared" si="12"/>
        <v>23</v>
      </c>
      <c r="AE20" s="234" t="s">
        <v>228</v>
      </c>
      <c r="AF20" s="38"/>
      <c r="AG20" s="38"/>
      <c r="AH20" s="38"/>
      <c r="AI20" s="501">
        <v>23</v>
      </c>
      <c r="AJ20" s="38"/>
      <c r="AK20" s="38"/>
      <c r="AL20" s="38"/>
      <c r="AM20" s="38">
        <f t="shared" si="13"/>
        <v>23</v>
      </c>
      <c r="AN20" s="38"/>
      <c r="AO20" s="38"/>
      <c r="AP20" s="38"/>
      <c r="AQ20" s="38"/>
      <c r="AR20" s="38">
        <f t="shared" si="14"/>
        <v>0</v>
      </c>
      <c r="AS20" s="38"/>
      <c r="AT20" s="38"/>
      <c r="AU20" s="38"/>
      <c r="AV20" s="38"/>
      <c r="AW20" s="38"/>
      <c r="AX20" s="38"/>
      <c r="AY20" s="38"/>
      <c r="AZ20" s="38"/>
      <c r="BA20" s="38">
        <f t="shared" si="15"/>
        <v>0</v>
      </c>
      <c r="BB20" s="51"/>
      <c r="BC20" s="52"/>
      <c r="BD20" s="52"/>
      <c r="BE20" s="51"/>
      <c r="BF20" s="52"/>
    </row>
    <row r="21" spans="1:58" ht="12.95" customHeight="1">
      <c r="A21" s="41"/>
      <c r="B21" s="42"/>
      <c r="C21" s="443"/>
      <c r="D21" s="42"/>
      <c r="E21" s="43"/>
      <c r="F21" s="43"/>
      <c r="G21" s="44"/>
      <c r="H21" s="45"/>
      <c r="I21" s="46"/>
      <c r="J21" s="83"/>
      <c r="K21" s="83"/>
      <c r="L21" s="36"/>
      <c r="M21" s="36"/>
      <c r="N21" s="47"/>
      <c r="O21" s="48"/>
      <c r="P21" s="49"/>
      <c r="Q21" s="35"/>
      <c r="R21" s="499"/>
      <c r="S21" s="499"/>
      <c r="T21" s="38"/>
      <c r="U21" s="38"/>
      <c r="V21" s="38"/>
      <c r="W21" s="38"/>
      <c r="X21" s="39"/>
      <c r="Y21" s="212"/>
      <c r="Z21" s="38"/>
      <c r="AA21" s="38"/>
      <c r="AB21" s="38"/>
      <c r="AC21" s="38"/>
      <c r="AD21" s="38"/>
      <c r="AE21" s="234"/>
      <c r="AF21" s="38"/>
      <c r="AG21" s="38"/>
      <c r="AH21" s="38"/>
      <c r="AI21" s="501"/>
      <c r="AJ21" s="38"/>
      <c r="AK21" s="38"/>
      <c r="AL21" s="38"/>
      <c r="AM21" s="38"/>
      <c r="AN21" s="38"/>
      <c r="AO21" s="38"/>
      <c r="AP21" s="38"/>
      <c r="AQ21" s="38"/>
      <c r="AR21" s="38"/>
      <c r="AS21" s="38"/>
      <c r="AT21" s="38"/>
      <c r="AU21" s="38"/>
      <c r="AV21" s="38"/>
      <c r="AW21" s="38"/>
      <c r="AX21" s="38"/>
      <c r="AY21" s="38"/>
      <c r="AZ21" s="38"/>
      <c r="BA21" s="38"/>
      <c r="BB21" s="51"/>
      <c r="BC21" s="52"/>
      <c r="BD21" s="52"/>
      <c r="BE21" s="34"/>
      <c r="BF21" s="52"/>
    </row>
    <row r="22" spans="1:58" ht="12.75" customHeight="1">
      <c r="A22" s="41">
        <v>45965</v>
      </c>
      <c r="B22" s="42" t="s">
        <v>431</v>
      </c>
      <c r="C22" s="443">
        <f>(M22*E22*O22*Q22)/100000000</f>
        <v>17.966486999999997</v>
      </c>
      <c r="D22" s="42" t="s">
        <v>434</v>
      </c>
      <c r="E22" s="43">
        <v>14</v>
      </c>
      <c r="F22" s="43">
        <v>1</v>
      </c>
      <c r="G22" s="498">
        <v>1295</v>
      </c>
      <c r="H22" s="45">
        <f>+N22</f>
        <v>0.23000000000000009</v>
      </c>
      <c r="I22" s="46">
        <v>0.88</v>
      </c>
      <c r="J22" s="83">
        <f>E22*G22*(1-H22)*1440/1000000*2.74</f>
        <v>55.08097055999999</v>
      </c>
      <c r="K22" s="83">
        <f t="shared" ref="K22" si="16">(IF(G22&lt;L22,L22,G22)*(1-IF(H22&lt;N22,H22,N22))*E22*O22*Q22)/100000000</f>
        <v>18.915935499999996</v>
      </c>
      <c r="L22" s="36">
        <v>1230</v>
      </c>
      <c r="M22" s="36">
        <v>947.09999999999991</v>
      </c>
      <c r="N22" s="47">
        <f>1-(M22/L22)</f>
        <v>0.23000000000000009</v>
      </c>
      <c r="O22" s="48">
        <f>+'Trim Rwd'!H13</f>
        <v>271</v>
      </c>
      <c r="P22" s="49">
        <f>O22*(Q22-R22-S22)</f>
        <v>129538</v>
      </c>
      <c r="Q22" s="48">
        <v>500</v>
      </c>
      <c r="R22" s="499">
        <v>0</v>
      </c>
      <c r="S22" s="499">
        <v>22</v>
      </c>
      <c r="T22" s="38">
        <f>E22*M22*O22*Q22/100000000</f>
        <v>17.966486999999997</v>
      </c>
      <c r="U22" s="38">
        <f>E22*M22*O22*(Q22-R22-S22)/100000000</f>
        <v>17.175961571999999</v>
      </c>
      <c r="V22" s="38">
        <f>E22*G22*(1-N22)*O22/100*(R22+S22)/1000000</f>
        <v>0.83230116200000004</v>
      </c>
      <c r="W22" s="38">
        <f>+'4'!K8/1000</f>
        <v>22.055</v>
      </c>
      <c r="X22" s="500">
        <f>SUM(W22:W25)/SUM(K22:K25)</f>
        <v>0.92179422004169198</v>
      </c>
      <c r="Y22" s="212">
        <v>0</v>
      </c>
      <c r="Z22" s="38">
        <v>0</v>
      </c>
      <c r="AA22" s="50">
        <f>SUM(U22:U25)-SUM(W22:W25)-SUM(Z22:Z25)-SUM(Y22:Y25)</f>
        <v>0.49532842524467213</v>
      </c>
      <c r="AB22" s="50">
        <f>(SUM(K22:K25)-SUM(W22:W25)-SUM(Y22:Y25)-SUM(Z22:Z25)-SUM(AC22:AC25)-SUM(V22:V25))-AA22</f>
        <v>-6.947778287454387E-2</v>
      </c>
      <c r="AC22" s="38">
        <f>K22-T22</f>
        <v>0.94944849999999903</v>
      </c>
      <c r="AD22" s="38">
        <f>+AM22+BA22</f>
        <v>0</v>
      </c>
      <c r="AE22" s="231" t="s">
        <v>390</v>
      </c>
      <c r="AF22" s="38">
        <v>0</v>
      </c>
      <c r="AG22" s="38"/>
      <c r="AH22" s="38"/>
      <c r="AI22" s="501"/>
      <c r="AJ22" s="38"/>
      <c r="AK22" s="38"/>
      <c r="AL22" s="38"/>
      <c r="AM22" s="38">
        <f>SUM(AF22:AL22)+AT22</f>
        <v>0</v>
      </c>
      <c r="AN22" s="38"/>
      <c r="AO22" s="38"/>
      <c r="AP22" s="38"/>
      <c r="AQ22" s="38"/>
      <c r="AR22" s="38">
        <f>SUM(AN22:AQ22)</f>
        <v>0</v>
      </c>
      <c r="AS22" s="38"/>
      <c r="AT22" s="38"/>
      <c r="AU22" s="38"/>
      <c r="AV22" s="38"/>
      <c r="AW22" s="38"/>
      <c r="AX22" s="38"/>
      <c r="AY22" s="38"/>
      <c r="AZ22" s="38"/>
      <c r="BA22" s="38">
        <f>+AR22+AS22+AU22+AV22+AX22</f>
        <v>0</v>
      </c>
      <c r="BB22" s="34">
        <v>0</v>
      </c>
      <c r="BC22" s="52"/>
      <c r="BD22" s="52"/>
      <c r="BE22" s="34"/>
      <c r="BF22" s="52"/>
    </row>
    <row r="23" spans="1:58" ht="12.95" customHeight="1">
      <c r="A23" s="41"/>
      <c r="B23" s="42" t="s">
        <v>431</v>
      </c>
      <c r="C23" s="443">
        <f>(M23*E23*O23*Q23)/100000000</f>
        <v>35.189618609999997</v>
      </c>
      <c r="D23" s="42" t="s">
        <v>434</v>
      </c>
      <c r="E23" s="43">
        <v>15</v>
      </c>
      <c r="F23" s="43">
        <v>1</v>
      </c>
      <c r="G23" s="498">
        <v>1200</v>
      </c>
      <c r="H23" s="45">
        <f>+N23</f>
        <v>0.22491379583486093</v>
      </c>
      <c r="I23" s="46">
        <v>0.88</v>
      </c>
      <c r="J23" s="83">
        <f>E23*G23*(1-H23)*1440/1000000*2.74</f>
        <v>55.047242288771514</v>
      </c>
      <c r="K23" s="83">
        <f t="shared" ref="K23" si="17">(IF(G23&lt;L23,L23,G23)*(1-IF(H23&lt;N23,H23,N23))*E23*O23*Q23)/100000000</f>
        <v>35.933616494059173</v>
      </c>
      <c r="L23" s="36">
        <v>1175.1542553191489</v>
      </c>
      <c r="M23" s="36">
        <v>910.84585106382974</v>
      </c>
      <c r="N23" s="47">
        <f>1-(M23/L23)</f>
        <v>0.22491379583486093</v>
      </c>
      <c r="O23" s="48">
        <f>+'Trim Rwd'!H14</f>
        <v>274</v>
      </c>
      <c r="P23" s="49">
        <f>O23*(Q23-R23-S23)</f>
        <v>247970</v>
      </c>
      <c r="Q23" s="48">
        <v>940</v>
      </c>
      <c r="R23" s="499">
        <v>0</v>
      </c>
      <c r="S23" s="499">
        <v>35</v>
      </c>
      <c r="T23" s="38">
        <f>E23*M23*O23*Q23/100000000</f>
        <v>35.189618609999997</v>
      </c>
      <c r="U23" s="38">
        <f>E23*M23*O23*(Q23-R23-S23)/100000000</f>
        <v>33.879366853244676</v>
      </c>
      <c r="V23" s="38">
        <f>E23*G23*(1-N23)*O23/100*(R23+S23)/1000000</f>
        <v>1.337953805629863</v>
      </c>
      <c r="W23" s="38">
        <f>+'4'!K9/1000</f>
        <v>28.504999999999999</v>
      </c>
      <c r="X23" s="39"/>
      <c r="Y23" s="212"/>
      <c r="Z23" s="38"/>
      <c r="AA23" s="38"/>
      <c r="AB23" s="38"/>
      <c r="AC23" s="38">
        <f>K23-T23</f>
        <v>0.74399788405917633</v>
      </c>
      <c r="AD23" s="38">
        <f t="shared" ref="AD23:AD25" si="18">+AM23+BA23</f>
        <v>12</v>
      </c>
      <c r="AE23" s="231" t="s">
        <v>477</v>
      </c>
      <c r="AF23" s="38"/>
      <c r="AG23" s="38">
        <v>12</v>
      </c>
      <c r="AH23" s="38"/>
      <c r="AI23" s="501"/>
      <c r="AJ23" s="38"/>
      <c r="AK23" s="38"/>
      <c r="AL23" s="38"/>
      <c r="AM23" s="38">
        <f t="shared" ref="AM23:AM25" si="19">SUM(AF23:AL23)+AT23</f>
        <v>12</v>
      </c>
      <c r="AN23" s="84"/>
      <c r="AO23" s="38"/>
      <c r="AP23" s="38"/>
      <c r="AQ23" s="38"/>
      <c r="AR23" s="38">
        <f t="shared" ref="AR23:AR25" si="20">SUM(AN23:AQ23)</f>
        <v>0</v>
      </c>
      <c r="AS23" s="38"/>
      <c r="AT23" s="38"/>
      <c r="AU23" s="38"/>
      <c r="AV23" s="38"/>
      <c r="AW23" s="38"/>
      <c r="AX23" s="38"/>
      <c r="AY23" s="38"/>
      <c r="AZ23" s="38"/>
      <c r="BA23" s="38">
        <f t="shared" ref="BA23:BA25" si="21">+AR23+AS23+AU23+AV23+AX23</f>
        <v>0</v>
      </c>
      <c r="BB23" s="51"/>
      <c r="BC23" s="52">
        <v>15</v>
      </c>
      <c r="BD23" s="52"/>
      <c r="BE23" s="51"/>
      <c r="BF23" s="52"/>
    </row>
    <row r="24" spans="1:58" ht="12.95" customHeight="1">
      <c r="A24" s="41"/>
      <c r="B24" s="42"/>
      <c r="C24" s="443"/>
      <c r="D24" s="42"/>
      <c r="E24" s="43"/>
      <c r="F24" s="43"/>
      <c r="G24" s="44"/>
      <c r="H24" s="45"/>
      <c r="I24" s="46"/>
      <c r="J24" s="83"/>
      <c r="K24" s="83"/>
      <c r="L24" s="36"/>
      <c r="M24" s="36"/>
      <c r="N24" s="47"/>
      <c r="O24" s="48"/>
      <c r="P24" s="49"/>
      <c r="Q24" s="48"/>
      <c r="R24" s="499"/>
      <c r="S24" s="499"/>
      <c r="T24" s="38"/>
      <c r="U24" s="38"/>
      <c r="V24" s="38"/>
      <c r="W24" s="38"/>
      <c r="X24" s="39"/>
      <c r="Y24" s="212"/>
      <c r="Z24" s="38"/>
      <c r="AA24" s="38"/>
      <c r="AB24" s="38"/>
      <c r="AC24" s="38"/>
      <c r="AD24" s="38">
        <f t="shared" si="18"/>
        <v>22</v>
      </c>
      <c r="AE24" s="231" t="s">
        <v>478</v>
      </c>
      <c r="AF24" s="34"/>
      <c r="AG24" s="34"/>
      <c r="AH24" s="34">
        <v>22</v>
      </c>
      <c r="AJ24" s="38"/>
      <c r="AK24" s="38"/>
      <c r="AL24" s="38"/>
      <c r="AM24" s="38">
        <f t="shared" si="19"/>
        <v>22</v>
      </c>
      <c r="AN24" s="38"/>
      <c r="AO24" s="38"/>
      <c r="AP24" s="38"/>
      <c r="AQ24" s="38"/>
      <c r="AR24" s="38">
        <f t="shared" si="20"/>
        <v>0</v>
      </c>
      <c r="AS24" s="38"/>
      <c r="AT24" s="38"/>
      <c r="AU24" s="38"/>
      <c r="AV24" s="38"/>
      <c r="AW24" s="38"/>
      <c r="AX24" s="38"/>
      <c r="AY24" s="38"/>
      <c r="AZ24" s="38"/>
      <c r="BA24" s="38">
        <f t="shared" si="21"/>
        <v>0</v>
      </c>
      <c r="BB24" s="34"/>
      <c r="BC24" s="502"/>
      <c r="BD24" s="502"/>
      <c r="BE24" s="34"/>
      <c r="BF24" s="502"/>
    </row>
    <row r="25" spans="1:58" ht="12.95" customHeight="1">
      <c r="A25" s="41"/>
      <c r="B25" s="42"/>
      <c r="C25" s="443"/>
      <c r="D25" s="42"/>
      <c r="E25" s="43"/>
      <c r="F25" s="43"/>
      <c r="G25" s="44"/>
      <c r="H25" s="45"/>
      <c r="I25" s="46"/>
      <c r="J25" s="83"/>
      <c r="K25" s="83"/>
      <c r="L25" s="36"/>
      <c r="M25" s="36"/>
      <c r="N25" s="47"/>
      <c r="O25" s="48"/>
      <c r="P25" s="49"/>
      <c r="Q25" s="35"/>
      <c r="R25" s="499"/>
      <c r="S25" s="499"/>
      <c r="T25" s="38"/>
      <c r="U25" s="38"/>
      <c r="V25" s="38"/>
      <c r="W25" s="38"/>
      <c r="X25" s="39"/>
      <c r="Y25" s="212"/>
      <c r="Z25" s="38"/>
      <c r="AA25" s="38"/>
      <c r="AB25" s="38"/>
      <c r="AC25" s="38"/>
      <c r="AD25" s="38">
        <f t="shared" si="18"/>
        <v>23</v>
      </c>
      <c r="AE25" s="234" t="s">
        <v>228</v>
      </c>
      <c r="AF25" s="38"/>
      <c r="AG25" s="38"/>
      <c r="AH25" s="38"/>
      <c r="AI25" s="501">
        <v>23</v>
      </c>
      <c r="AJ25" s="38"/>
      <c r="AK25" s="38"/>
      <c r="AL25" s="38"/>
      <c r="AM25" s="38">
        <f t="shared" si="19"/>
        <v>23</v>
      </c>
      <c r="AN25" s="38"/>
      <c r="AO25" s="38"/>
      <c r="AP25" s="38"/>
      <c r="AQ25" s="38"/>
      <c r="AR25" s="38">
        <f t="shared" si="20"/>
        <v>0</v>
      </c>
      <c r="AS25" s="38"/>
      <c r="AT25" s="38"/>
      <c r="AU25" s="38"/>
      <c r="AV25" s="38"/>
      <c r="AW25" s="38"/>
      <c r="AX25" s="38"/>
      <c r="AY25" s="38"/>
      <c r="AZ25" s="38"/>
      <c r="BA25" s="38">
        <f t="shared" si="21"/>
        <v>0</v>
      </c>
      <c r="BB25" s="51"/>
      <c r="BC25" s="52"/>
      <c r="BD25" s="52"/>
      <c r="BE25" s="51"/>
      <c r="BF25" s="52"/>
    </row>
    <row r="26" spans="1:58" ht="12.95" customHeight="1">
      <c r="A26" s="41"/>
      <c r="B26" s="42"/>
      <c r="C26" s="443"/>
      <c r="D26" s="42"/>
      <c r="E26" s="43"/>
      <c r="F26" s="43"/>
      <c r="G26" s="44"/>
      <c r="H26" s="597"/>
      <c r="I26" s="46"/>
      <c r="J26" s="83"/>
      <c r="K26" s="83"/>
      <c r="L26" s="598"/>
      <c r="M26" s="598"/>
      <c r="N26" s="47"/>
      <c r="O26" s="48"/>
      <c r="P26" s="49"/>
      <c r="Q26" s="48"/>
      <c r="R26" s="499"/>
      <c r="S26" s="499"/>
      <c r="T26" s="38"/>
      <c r="U26" s="38"/>
      <c r="V26" s="38"/>
      <c r="W26" s="38"/>
      <c r="X26" s="39"/>
      <c r="Y26" s="212"/>
      <c r="Z26" s="38"/>
      <c r="AA26" s="38"/>
      <c r="AB26" s="38"/>
      <c r="AC26" s="38"/>
      <c r="AD26" s="38"/>
      <c r="AE26" s="231"/>
      <c r="AF26" s="34"/>
      <c r="AG26" s="34"/>
      <c r="AH26" s="34"/>
      <c r="AJ26" s="38"/>
      <c r="AK26" s="38"/>
      <c r="AL26" s="38"/>
      <c r="AM26" s="38"/>
      <c r="AN26" s="38"/>
      <c r="AO26" s="38"/>
      <c r="AP26" s="38"/>
      <c r="AQ26" s="38"/>
      <c r="AR26" s="38"/>
      <c r="AS26" s="38"/>
      <c r="AT26" s="38"/>
      <c r="AU26" s="38"/>
      <c r="AV26" s="38"/>
      <c r="AW26" s="38"/>
      <c r="AX26" s="38"/>
      <c r="AY26" s="38"/>
      <c r="AZ26" s="38"/>
      <c r="BA26" s="38"/>
      <c r="BB26" s="34"/>
      <c r="BC26" s="502"/>
      <c r="BD26" s="52"/>
      <c r="BE26" s="34"/>
      <c r="BF26" s="52"/>
    </row>
    <row r="27" spans="1:58" ht="12.75" customHeight="1">
      <c r="A27" s="41">
        <v>45966</v>
      </c>
      <c r="B27" s="42" t="s">
        <v>431</v>
      </c>
      <c r="C27" s="443">
        <f>(M27*E27*O27*Q27)/100000000</f>
        <v>0.6721822799999998</v>
      </c>
      <c r="D27" s="42" t="s">
        <v>434</v>
      </c>
      <c r="E27" s="43">
        <v>15</v>
      </c>
      <c r="F27" s="43">
        <v>1</v>
      </c>
      <c r="G27" s="498">
        <v>1210</v>
      </c>
      <c r="H27" s="597">
        <f>+N27</f>
        <v>0.23000000000000009</v>
      </c>
      <c r="I27" s="46">
        <v>0.88</v>
      </c>
      <c r="J27" s="83">
        <f>E27*G27*(1-H27)*1440/1000000*2.74</f>
        <v>55.141732799999993</v>
      </c>
      <c r="K27" s="83">
        <f t="shared" ref="K27" si="22">(IF(G27&lt;L27,L27,G27)*(1-IF(H27&lt;N27,H27,N27))*E27*O27*Q27)/100000000</f>
        <v>0.68927165999999984</v>
      </c>
      <c r="L27" s="598">
        <v>1180</v>
      </c>
      <c r="M27" s="598">
        <v>908.59999999999991</v>
      </c>
      <c r="N27" s="47">
        <f>1-(M27/L27)</f>
        <v>0.23000000000000009</v>
      </c>
      <c r="O27" s="48">
        <f>+'Trim Rwd'!H16</f>
        <v>274</v>
      </c>
      <c r="P27" s="49">
        <f>O27*(Q27-R27-S27)</f>
        <v>4110</v>
      </c>
      <c r="Q27" s="48">
        <v>18</v>
      </c>
      <c r="R27" s="499">
        <v>0</v>
      </c>
      <c r="S27" s="499">
        <v>3</v>
      </c>
      <c r="T27" s="38">
        <f>E27*M27*O27*Q27/100000000</f>
        <v>0.6721822799999998</v>
      </c>
      <c r="U27" s="38">
        <f>E27*M27*O27*(Q27-R27-S27)/100000000</f>
        <v>0.56015189999999992</v>
      </c>
      <c r="V27" s="38">
        <f>E27*G27*(1-N27)*O27/100*(R27+S27)/1000000</f>
        <v>0.11487860999999999</v>
      </c>
      <c r="W27" s="38">
        <f>+'5'!K9/1000</f>
        <v>5.7329999999999997</v>
      </c>
      <c r="X27" s="500">
        <f>SUM(W27:W30)/SUM(K27:K30)</f>
        <v>0.54867609079830204</v>
      </c>
      <c r="Y27" s="212">
        <v>0</v>
      </c>
      <c r="Z27" s="38">
        <v>0</v>
      </c>
      <c r="AA27" s="50">
        <f>SUM(U27:U30)-SUM(W27:W30)-SUM(Z27:Z30)-SUM(Y27:Y30)</f>
        <v>-1.9218617832841924</v>
      </c>
      <c r="AB27" s="50">
        <f>(SUM(K27:K30)-SUM(W27:W30)-SUM(Y27:Y30)-SUM(Z27:Z30)-SUM(AC27:AC30)-SUM(V27:V30))-AA27</f>
        <v>-1.8712633305091271</v>
      </c>
      <c r="AC27" s="38">
        <f>K27-T27</f>
        <v>1.7089380000000043E-2</v>
      </c>
      <c r="AD27" s="38">
        <f>+AM27+BA27</f>
        <v>0</v>
      </c>
      <c r="AE27" s="231" t="s">
        <v>390</v>
      </c>
      <c r="AF27" s="38">
        <v>0</v>
      </c>
      <c r="AG27" s="38"/>
      <c r="AH27" s="38"/>
      <c r="AI27" s="501"/>
      <c r="AJ27" s="38"/>
      <c r="AK27" s="38"/>
      <c r="AL27" s="38"/>
      <c r="AM27" s="38">
        <f>SUM(AF27:AL27)+AT27</f>
        <v>0</v>
      </c>
      <c r="AN27" s="38"/>
      <c r="AO27" s="38"/>
      <c r="AP27" s="38"/>
      <c r="AQ27" s="38"/>
      <c r="AR27" s="38">
        <f>SUM(AN27:AQ27)</f>
        <v>0</v>
      </c>
      <c r="AS27" s="38"/>
      <c r="AT27" s="38"/>
      <c r="AU27" s="38"/>
      <c r="AV27" s="38"/>
      <c r="AW27" s="38"/>
      <c r="AX27" s="38"/>
      <c r="AY27" s="38"/>
      <c r="AZ27" s="38"/>
      <c r="BA27" s="38">
        <f>+AR27+AS27+AU27+AV27+AX27</f>
        <v>0</v>
      </c>
      <c r="BB27" s="34">
        <v>0</v>
      </c>
      <c r="BC27" s="52"/>
      <c r="BD27" s="52"/>
      <c r="BE27" s="34"/>
      <c r="BF27" s="52">
        <v>1</v>
      </c>
    </row>
    <row r="28" spans="1:58" ht="12.95" customHeight="1">
      <c r="A28" s="41"/>
      <c r="B28" s="42" t="s">
        <v>431</v>
      </c>
      <c r="C28" s="443">
        <f>(M28*E28*O28*Q28)/100000000</f>
        <v>15.724793007000001</v>
      </c>
      <c r="D28" s="42" t="s">
        <v>434</v>
      </c>
      <c r="E28" s="43">
        <v>13.5</v>
      </c>
      <c r="F28" s="43">
        <v>1</v>
      </c>
      <c r="G28" s="498">
        <v>1345</v>
      </c>
      <c r="H28" s="597">
        <f>+N28</f>
        <v>0.22999999999999998</v>
      </c>
      <c r="I28" s="46">
        <v>0.88</v>
      </c>
      <c r="J28" s="83">
        <f>E28*G28*(1-H28)*1440/1000000*2.74</f>
        <v>55.164518640000004</v>
      </c>
      <c r="K28" s="83">
        <f t="shared" ref="K28" si="23">(IF(G28&lt;L28,L28,G28)*(1-IF(H28&lt;N28,H28,N28))*E28*O28*Q28)/100000000</f>
        <v>17.698616397000002</v>
      </c>
      <c r="L28" s="598">
        <v>1195</v>
      </c>
      <c r="M28" s="598">
        <v>920.15</v>
      </c>
      <c r="N28" s="47">
        <f>1-(M28/L28)</f>
        <v>0.22999999999999998</v>
      </c>
      <c r="O28" s="48">
        <f>+'Trim Rwd'!H17</f>
        <v>274</v>
      </c>
      <c r="P28" s="49">
        <f>O28*(Q28-R28-S28)</f>
        <v>9042</v>
      </c>
      <c r="Q28" s="48">
        <f>47+415</f>
        <v>462</v>
      </c>
      <c r="R28" s="499">
        <v>415</v>
      </c>
      <c r="S28" s="499">
        <v>14</v>
      </c>
      <c r="T28" s="38">
        <f>E28*M28*O28*Q28/100000000</f>
        <v>15.724793007000001</v>
      </c>
      <c r="U28" s="38">
        <f>E28*M28*O28*(Q28-R28-S28)/100000000</f>
        <v>1.1231995004999999</v>
      </c>
      <c r="V28" s="38">
        <f>E28*G28*(1-N28)*O28/100*(R28+S28)/1000000</f>
        <v>16.434429511499999</v>
      </c>
      <c r="W28" s="38">
        <f>+'5'!K7/1000</f>
        <v>1.254</v>
      </c>
      <c r="X28" s="39"/>
      <c r="Y28" s="212"/>
      <c r="Z28" s="38"/>
      <c r="AA28" s="38"/>
      <c r="AB28" s="38"/>
      <c r="AC28" s="38">
        <f>K28-T28</f>
        <v>1.9738233900000015</v>
      </c>
      <c r="AD28" s="38">
        <f t="shared" ref="AD28:AD31" si="24">+AM28+BA28</f>
        <v>7</v>
      </c>
      <c r="AE28" s="231" t="s">
        <v>398</v>
      </c>
      <c r="AF28" s="38"/>
      <c r="AG28" s="38">
        <v>7</v>
      </c>
      <c r="AH28" s="38"/>
      <c r="AI28" s="501"/>
      <c r="AJ28" s="38"/>
      <c r="AK28" s="38"/>
      <c r="AL28" s="38"/>
      <c r="AM28" s="38">
        <f t="shared" ref="AM28:AM31" si="25">SUM(AF28:AL28)+AT28</f>
        <v>7</v>
      </c>
      <c r="AN28" s="84"/>
      <c r="AO28" s="38"/>
      <c r="AP28" s="38"/>
      <c r="AQ28" s="38"/>
      <c r="AR28" s="38">
        <f t="shared" ref="AR28:AR31" si="26">SUM(AN28:AQ28)</f>
        <v>0</v>
      </c>
      <c r="AS28" s="38"/>
      <c r="AT28" s="38"/>
      <c r="AU28" s="38"/>
      <c r="AV28" s="38"/>
      <c r="AW28" s="38"/>
      <c r="AX28" s="38"/>
      <c r="AY28" s="38"/>
      <c r="AZ28" s="38"/>
      <c r="BA28" s="38">
        <f t="shared" ref="BA28:BA31" si="27">+AR28+AS28+AU28+AV28+AX28</f>
        <v>0</v>
      </c>
      <c r="BB28" s="51"/>
      <c r="BC28" s="52">
        <v>6</v>
      </c>
      <c r="BD28" s="52"/>
      <c r="BE28" s="51"/>
      <c r="BF28" s="52"/>
    </row>
    <row r="29" spans="1:58" ht="12.95" customHeight="1">
      <c r="A29" s="41"/>
      <c r="B29" s="42" t="s">
        <v>497</v>
      </c>
      <c r="C29" s="443">
        <f t="shared" ref="C29:C30" si="28">(M29*E29*O29*Q29)/100000000</f>
        <v>30.237392618206687</v>
      </c>
      <c r="D29" s="42" t="s">
        <v>434</v>
      </c>
      <c r="E29" s="43">
        <v>29</v>
      </c>
      <c r="F29" s="43">
        <v>1</v>
      </c>
      <c r="G29" s="498">
        <v>565</v>
      </c>
      <c r="H29" s="597">
        <f>+N29</f>
        <v>0.15000000000000002</v>
      </c>
      <c r="I29" s="46">
        <v>0.88</v>
      </c>
      <c r="J29" s="83">
        <f t="shared" ref="J29:J30" si="29">E29*G29*(1-H29)*1440/1000000*2.74</f>
        <v>54.951357600000009</v>
      </c>
      <c r="K29" s="83">
        <f t="shared" ref="K29:K30" si="30">(IF(G29&lt;L29,L29,G29)*(1-IF(H29&lt;N29,H29,N29))*E29*O29*Q29)/100000000</f>
        <v>30.436333605000002</v>
      </c>
      <c r="L29" s="598">
        <v>561.306990881459</v>
      </c>
      <c r="M29" s="598">
        <v>477.11094224924011</v>
      </c>
      <c r="N29" s="47">
        <f t="shared" ref="N29:N30" si="31">1-(M29/L29)</f>
        <v>0.15000000000000002</v>
      </c>
      <c r="O29" s="48">
        <f>+'Trim Rwd'!H18</f>
        <v>256.5</v>
      </c>
      <c r="P29" s="49">
        <f t="shared" ref="P29:P30" si="32">O29*(Q29-R29-S29)</f>
        <v>163647</v>
      </c>
      <c r="Q29" s="48">
        <f>658+194</f>
        <v>852</v>
      </c>
      <c r="R29" s="499">
        <v>194</v>
      </c>
      <c r="S29" s="499">
        <v>20</v>
      </c>
      <c r="T29" s="38">
        <f t="shared" ref="T29:T30" si="33">E29*M29*O29*Q29/100000000</f>
        <v>30.237392618206687</v>
      </c>
      <c r="U29" s="38">
        <f t="shared" ref="U29:U30" si="34">E29*M29*O29*(Q29-R29-S29)/100000000</f>
        <v>22.642554566215807</v>
      </c>
      <c r="V29" s="38">
        <f t="shared" ref="V29:V30" si="35">E29*G29*(1-N29)*O29/100*(R29+S29)/1000000</f>
        <v>7.6448067974999994</v>
      </c>
      <c r="W29" s="38">
        <f>+'5'!K10/1000</f>
        <v>21.998000000000001</v>
      </c>
      <c r="X29" s="39"/>
      <c r="Y29" s="212"/>
      <c r="Z29" s="38">
        <f>+'5'!D25/1000</f>
        <v>0.85799999999999998</v>
      </c>
      <c r="AA29" s="38"/>
      <c r="AB29" s="38"/>
      <c r="AC29" s="38">
        <f>K29-T29</f>
        <v>0.19894098679331407</v>
      </c>
      <c r="AD29" s="38">
        <f t="shared" si="24"/>
        <v>18</v>
      </c>
      <c r="AE29" s="231" t="s">
        <v>499</v>
      </c>
      <c r="AF29" s="34"/>
      <c r="AG29" s="34"/>
      <c r="AH29" s="34">
        <v>18</v>
      </c>
      <c r="AJ29" s="38"/>
      <c r="AK29" s="38"/>
      <c r="AL29" s="38"/>
      <c r="AM29" s="38">
        <f t="shared" si="25"/>
        <v>18</v>
      </c>
      <c r="AN29" s="38"/>
      <c r="AO29" s="38"/>
      <c r="AP29" s="38"/>
      <c r="AQ29" s="38"/>
      <c r="AR29" s="38">
        <f t="shared" si="26"/>
        <v>0</v>
      </c>
      <c r="AS29" s="38"/>
      <c r="AT29" s="38"/>
      <c r="AU29" s="38"/>
      <c r="AV29" s="38"/>
      <c r="AW29" s="38"/>
      <c r="AX29" s="38"/>
      <c r="AY29" s="38"/>
      <c r="AZ29" s="38"/>
      <c r="BA29" s="38">
        <f t="shared" si="27"/>
        <v>0</v>
      </c>
      <c r="BB29" s="34"/>
      <c r="BC29" s="502"/>
      <c r="BD29" s="502"/>
      <c r="BE29" s="34"/>
      <c r="BF29" s="502"/>
    </row>
    <row r="30" spans="1:58" ht="12.95" customHeight="1">
      <c r="A30" s="41"/>
      <c r="B30" s="42" t="s">
        <v>497</v>
      </c>
      <c r="C30" s="443">
        <f t="shared" si="28"/>
        <v>4.0029389999999996</v>
      </c>
      <c r="D30" s="42" t="s">
        <v>434</v>
      </c>
      <c r="E30" s="43">
        <v>20</v>
      </c>
      <c r="F30" s="43">
        <v>1</v>
      </c>
      <c r="G30" s="498">
        <v>820</v>
      </c>
      <c r="H30" s="597">
        <f t="shared" ref="H30" si="36">+N30</f>
        <v>0.15000000000000002</v>
      </c>
      <c r="I30" s="46">
        <v>0.88</v>
      </c>
      <c r="J30" s="83">
        <f t="shared" si="29"/>
        <v>55.001663999999998</v>
      </c>
      <c r="K30" s="83">
        <f t="shared" si="30"/>
        <v>4.0029389999999996</v>
      </c>
      <c r="L30" s="598">
        <v>850</v>
      </c>
      <c r="M30" s="598">
        <v>722.5</v>
      </c>
      <c r="N30" s="47">
        <f t="shared" si="31"/>
        <v>0.15000000000000002</v>
      </c>
      <c r="O30" s="48">
        <f>+'Trim Rwd'!H19</f>
        <v>256.5</v>
      </c>
      <c r="P30" s="49">
        <f t="shared" si="32"/>
        <v>24880.5</v>
      </c>
      <c r="Q30" s="48">
        <v>108</v>
      </c>
      <c r="R30" s="499">
        <v>0</v>
      </c>
      <c r="S30" s="499">
        <f>48-S27-S28-S29</f>
        <v>11</v>
      </c>
      <c r="T30" s="38">
        <f t="shared" si="33"/>
        <v>4.0029389999999996</v>
      </c>
      <c r="U30" s="38">
        <f t="shared" si="34"/>
        <v>3.59523225</v>
      </c>
      <c r="V30" s="38">
        <f t="shared" si="35"/>
        <v>0.39331709999999998</v>
      </c>
      <c r="W30" s="38">
        <f>+'4'!K16/1000</f>
        <v>0</v>
      </c>
      <c r="X30" s="39"/>
      <c r="Y30" s="212"/>
      <c r="Z30" s="38"/>
      <c r="AA30" s="38"/>
      <c r="AB30" s="38"/>
      <c r="AC30" s="38">
        <f>K30-T30</f>
        <v>0</v>
      </c>
      <c r="AD30" s="38">
        <f t="shared" si="24"/>
        <v>23</v>
      </c>
      <c r="AE30" s="234" t="s">
        <v>228</v>
      </c>
      <c r="AF30" s="38"/>
      <c r="AG30" s="38"/>
      <c r="AH30" s="38"/>
      <c r="AI30" s="501">
        <v>23</v>
      </c>
      <c r="AJ30" s="38"/>
      <c r="AK30" s="38"/>
      <c r="AL30" s="38"/>
      <c r="AM30" s="38">
        <f t="shared" si="25"/>
        <v>23</v>
      </c>
      <c r="AN30" s="38"/>
      <c r="AO30" s="38"/>
      <c r="AP30" s="38"/>
      <c r="AQ30" s="38"/>
      <c r="AR30" s="38">
        <f t="shared" si="26"/>
        <v>0</v>
      </c>
      <c r="AS30" s="38"/>
      <c r="AT30" s="38"/>
      <c r="AU30" s="38"/>
      <c r="AV30" s="38"/>
      <c r="AW30" s="38"/>
      <c r="AX30" s="38"/>
      <c r="AY30" s="38"/>
      <c r="AZ30" s="38"/>
      <c r="BA30" s="38">
        <f t="shared" si="27"/>
        <v>0</v>
      </c>
      <c r="BB30" s="51"/>
      <c r="BC30" s="52"/>
      <c r="BD30" s="52"/>
      <c r="BE30" s="51"/>
      <c r="BF30" s="52"/>
    </row>
    <row r="31" spans="1:58" ht="12.95" customHeight="1">
      <c r="A31" s="41"/>
      <c r="B31" s="42"/>
      <c r="C31" s="443"/>
      <c r="D31" s="42"/>
      <c r="E31" s="43"/>
      <c r="F31" s="43"/>
      <c r="G31" s="498"/>
      <c r="H31" s="597"/>
      <c r="I31" s="46"/>
      <c r="J31" s="83"/>
      <c r="K31" s="83"/>
      <c r="L31" s="598"/>
      <c r="M31" s="598"/>
      <c r="N31" s="47"/>
      <c r="O31" s="48"/>
      <c r="P31" s="49"/>
      <c r="Q31" s="48"/>
      <c r="R31" s="499"/>
      <c r="S31" s="499"/>
      <c r="T31" s="38"/>
      <c r="U31" s="38"/>
      <c r="V31" s="38"/>
      <c r="W31" s="38"/>
      <c r="X31" s="500"/>
      <c r="Y31" s="212"/>
      <c r="Z31" s="38"/>
      <c r="AA31" s="50"/>
      <c r="AB31" s="50"/>
      <c r="AC31" s="38"/>
      <c r="AD31" s="38">
        <f t="shared" si="24"/>
        <v>609</v>
      </c>
      <c r="AE31" s="234" t="s">
        <v>498</v>
      </c>
      <c r="AF31" s="38"/>
      <c r="AG31" s="38"/>
      <c r="AH31" s="38"/>
      <c r="AI31" s="501"/>
      <c r="AJ31" s="38"/>
      <c r="AK31" s="38"/>
      <c r="AL31" s="38"/>
      <c r="AM31" s="38">
        <f t="shared" si="25"/>
        <v>0</v>
      </c>
      <c r="AN31" s="38"/>
      <c r="AO31" s="38"/>
      <c r="AP31" s="38"/>
      <c r="AQ31" s="38"/>
      <c r="AR31" s="38">
        <f t="shared" si="26"/>
        <v>0</v>
      </c>
      <c r="AS31" s="38">
        <v>609</v>
      </c>
      <c r="AT31" s="38"/>
      <c r="AU31" s="38"/>
      <c r="AV31" s="38"/>
      <c r="AW31" s="38"/>
      <c r="AX31" s="38"/>
      <c r="AY31" s="38"/>
      <c r="AZ31" s="38"/>
      <c r="BA31" s="38">
        <f t="shared" si="27"/>
        <v>609</v>
      </c>
      <c r="BB31" s="34"/>
      <c r="BC31" s="52"/>
      <c r="BD31" s="52"/>
      <c r="BE31" s="34"/>
      <c r="BF31" s="52"/>
    </row>
    <row r="32" spans="1:58" ht="12.95" customHeight="1">
      <c r="A32" s="41"/>
      <c r="B32" s="42"/>
      <c r="C32" s="443"/>
      <c r="D32" s="42"/>
      <c r="E32" s="43"/>
      <c r="F32" s="43"/>
      <c r="G32" s="44"/>
      <c r="H32" s="597"/>
      <c r="I32" s="46"/>
      <c r="J32" s="83"/>
      <c r="K32" s="83"/>
      <c r="L32" s="598"/>
      <c r="M32" s="598"/>
      <c r="N32" s="47"/>
      <c r="O32" s="48"/>
      <c r="P32" s="49"/>
      <c r="Q32" s="48"/>
      <c r="R32" s="499"/>
      <c r="S32" s="499"/>
      <c r="T32" s="38"/>
      <c r="U32" s="38"/>
      <c r="V32" s="38"/>
      <c r="W32" s="38"/>
      <c r="X32" s="39"/>
      <c r="Y32" s="212"/>
      <c r="Z32" s="38"/>
      <c r="AA32" s="38"/>
      <c r="AB32" s="38"/>
      <c r="AC32" s="38"/>
      <c r="AD32" s="38"/>
      <c r="AE32" s="231"/>
      <c r="AF32" s="34"/>
      <c r="AG32" s="34"/>
      <c r="AH32" s="34"/>
      <c r="AJ32" s="38"/>
      <c r="AK32" s="38"/>
      <c r="AL32" s="38"/>
      <c r="AM32" s="38"/>
      <c r="AN32" s="38"/>
      <c r="AO32" s="38"/>
      <c r="AP32" s="38"/>
      <c r="AQ32" s="38"/>
      <c r="AR32" s="38"/>
      <c r="AS32" s="38"/>
      <c r="AT32" s="38"/>
      <c r="AU32" s="38"/>
      <c r="AV32" s="38"/>
      <c r="AW32" s="38"/>
      <c r="AX32" s="38"/>
      <c r="AY32" s="38"/>
      <c r="AZ32" s="38"/>
      <c r="BA32" s="38"/>
      <c r="BB32" s="34"/>
      <c r="BC32" s="502"/>
      <c r="BD32" s="52"/>
      <c r="BE32" s="52"/>
      <c r="BF32" s="52"/>
    </row>
    <row r="33" spans="1:58" ht="12.95" customHeight="1">
      <c r="A33" s="41">
        <v>45967</v>
      </c>
      <c r="B33" s="42" t="s">
        <v>497</v>
      </c>
      <c r="C33" s="443">
        <f t="shared" ref="C33" si="37">(M33*E33*O33*Q33)/100000000</f>
        <v>55.83205384615384</v>
      </c>
      <c r="D33" s="42" t="s">
        <v>434</v>
      </c>
      <c r="E33" s="43">
        <v>20</v>
      </c>
      <c r="F33" s="43">
        <v>1</v>
      </c>
      <c r="G33" s="498">
        <v>820</v>
      </c>
      <c r="H33" s="45">
        <f t="shared" ref="H33" si="38">+N33</f>
        <v>0.15000000000000002</v>
      </c>
      <c r="I33" s="46">
        <v>0.88</v>
      </c>
      <c r="J33" s="83">
        <f t="shared" ref="J33" si="39">E33*G33*(1-H33)*1440/1000000*2.74</f>
        <v>55.001663999999998</v>
      </c>
      <c r="K33" s="83">
        <f t="shared" ref="K33" si="40">(IF(G33&lt;L33,L33,G33)*(1-IF(H33&lt;N33,H33,N33))*E33*O33*Q33)/100000000</f>
        <v>55.83205384615384</v>
      </c>
      <c r="L33" s="36">
        <v>875</v>
      </c>
      <c r="M33" s="36">
        <v>743.75</v>
      </c>
      <c r="N33" s="47">
        <f t="shared" ref="N33" si="41">1-(M33/L33)</f>
        <v>0.15000000000000002</v>
      </c>
      <c r="O33" s="48">
        <f>+'Trim Rwd'!H21</f>
        <v>260.65384615384613</v>
      </c>
      <c r="P33" s="49">
        <f t="shared" ref="P33" si="42">O33*(Q33-R33-S33)</f>
        <v>365436.69230769225</v>
      </c>
      <c r="Q33" s="48">
        <v>1440</v>
      </c>
      <c r="R33" s="499">
        <v>0</v>
      </c>
      <c r="S33" s="499">
        <v>38</v>
      </c>
      <c r="T33" s="38">
        <f t="shared" ref="T33" si="43">E33*M33*O33*Q33/100000000</f>
        <v>55.83205384615384</v>
      </c>
      <c r="U33" s="38">
        <f t="shared" ref="U33" si="44">E33*M33*O33*(Q33-R33-S33)/100000000</f>
        <v>54.358707980769225</v>
      </c>
      <c r="V33" s="38">
        <f t="shared" ref="V33" si="45">E33*G33*(1-N33)*O33/100*(R33+S33)/1000000</f>
        <v>1.3807355538461537</v>
      </c>
      <c r="W33" s="38">
        <f>+'6'!K11/1000</f>
        <v>56.119</v>
      </c>
      <c r="X33" s="500">
        <f>SUM(W33:W36)/SUM(K33:K36)</f>
        <v>1.005139451875384</v>
      </c>
      <c r="Y33" s="212">
        <v>0</v>
      </c>
      <c r="Z33" s="38">
        <v>0</v>
      </c>
      <c r="AA33" s="50">
        <f>SUM(U33:U36)-SUM(W33:W36)-SUM(Z33:Z36)-SUM(Y33:Y36)</f>
        <v>-1.7602920192307749</v>
      </c>
      <c r="AB33" s="50">
        <f>(SUM(K33:K36)-SUM(W33:W36)-SUM(Y33:Y36)-SUM(Z33:Z36)-SUM(AC33:AC36)-SUM(V33:V36))-AA33</f>
        <v>9.2610311538461998E-2</v>
      </c>
      <c r="AC33" s="38">
        <f>K33-T33</f>
        <v>0</v>
      </c>
      <c r="AD33" s="38">
        <f>+AM33+BA33</f>
        <v>0</v>
      </c>
      <c r="AE33" s="231" t="s">
        <v>390</v>
      </c>
      <c r="AF33" s="38">
        <v>0</v>
      </c>
      <c r="AG33" s="38"/>
      <c r="AH33" s="38"/>
      <c r="AI33" s="501"/>
      <c r="AJ33" s="38"/>
      <c r="AK33" s="38"/>
      <c r="AL33" s="38"/>
      <c r="AM33" s="38">
        <f>SUM(AF33:AL33)+AT33</f>
        <v>0</v>
      </c>
      <c r="AN33" s="38"/>
      <c r="AO33" s="38"/>
      <c r="AP33" s="38"/>
      <c r="AQ33" s="38"/>
      <c r="AR33" s="38">
        <f>SUM(AN33:AQ33)</f>
        <v>0</v>
      </c>
      <c r="AS33" s="38"/>
      <c r="AT33" s="38"/>
      <c r="AU33" s="38"/>
      <c r="AV33" s="38"/>
      <c r="AW33" s="38"/>
      <c r="AX33" s="38"/>
      <c r="AY33" s="38"/>
      <c r="AZ33" s="38"/>
      <c r="BA33" s="38">
        <f>+AR33+AS33+AU33+AV33+AX33</f>
        <v>0</v>
      </c>
      <c r="BB33" s="34">
        <v>0</v>
      </c>
      <c r="BC33" s="52"/>
      <c r="BD33" s="52"/>
      <c r="BE33" s="34"/>
      <c r="BF33" s="52"/>
    </row>
    <row r="34" spans="1:58" ht="12.95" customHeight="1">
      <c r="A34" s="41"/>
      <c r="B34" s="42"/>
      <c r="C34" s="443"/>
      <c r="D34" s="42"/>
      <c r="E34" s="43"/>
      <c r="F34" s="43"/>
      <c r="G34" s="498"/>
      <c r="H34" s="45"/>
      <c r="I34" s="46"/>
      <c r="J34" s="83"/>
      <c r="K34" s="83"/>
      <c r="L34" s="36"/>
      <c r="M34" s="36"/>
      <c r="N34" s="47"/>
      <c r="O34" s="48"/>
      <c r="P34" s="49"/>
      <c r="Q34" s="48"/>
      <c r="R34" s="499"/>
      <c r="S34" s="499"/>
      <c r="T34" s="38"/>
      <c r="U34" s="38"/>
      <c r="V34" s="38"/>
      <c r="W34" s="38"/>
      <c r="X34" s="39"/>
      <c r="Y34" s="212"/>
      <c r="Z34" s="38"/>
      <c r="AA34" s="38"/>
      <c r="AB34" s="38"/>
      <c r="AC34" s="38">
        <f>K34-T34</f>
        <v>0</v>
      </c>
      <c r="AD34" s="38">
        <f t="shared" ref="AD34:AD36" si="46">+AM34+BA34</f>
        <v>7</v>
      </c>
      <c r="AE34" s="231" t="s">
        <v>398</v>
      </c>
      <c r="AF34" s="38"/>
      <c r="AG34" s="38">
        <v>7</v>
      </c>
      <c r="AH34" s="38"/>
      <c r="AI34" s="501"/>
      <c r="AJ34" s="38"/>
      <c r="AK34" s="38"/>
      <c r="AL34" s="38"/>
      <c r="AM34" s="38">
        <f t="shared" ref="AM34:AM36" si="47">SUM(AF34:AL34)+AT34</f>
        <v>7</v>
      </c>
      <c r="AN34" s="84"/>
      <c r="AO34" s="38"/>
      <c r="AP34" s="38"/>
      <c r="AQ34" s="38"/>
      <c r="AR34" s="38">
        <f t="shared" ref="AR34:AR36" si="48">SUM(AN34:AQ34)</f>
        <v>0</v>
      </c>
      <c r="AS34" s="38"/>
      <c r="AT34" s="38"/>
      <c r="AU34" s="38"/>
      <c r="AV34" s="38"/>
      <c r="AW34" s="38"/>
      <c r="AX34" s="38"/>
      <c r="AY34" s="38"/>
      <c r="AZ34" s="38"/>
      <c r="BA34" s="38">
        <f t="shared" ref="BA34:BA36" si="49">+AR34+AS34+AU34+AV34+AX34</f>
        <v>0</v>
      </c>
      <c r="BB34" s="51"/>
      <c r="BC34" s="52">
        <v>6</v>
      </c>
      <c r="BD34" s="52"/>
      <c r="BE34" s="51"/>
      <c r="BF34" s="52"/>
    </row>
    <row r="35" spans="1:58" ht="12.95" customHeight="1">
      <c r="A35" s="41"/>
      <c r="B35" s="42"/>
      <c r="C35" s="443"/>
      <c r="D35" s="42"/>
      <c r="E35" s="43"/>
      <c r="F35" s="43"/>
      <c r="G35" s="44"/>
      <c r="H35" s="45"/>
      <c r="I35" s="46"/>
      <c r="J35" s="83"/>
      <c r="K35" s="83"/>
      <c r="L35" s="36"/>
      <c r="M35" s="36"/>
      <c r="N35" s="47"/>
      <c r="O35" s="48"/>
      <c r="P35" s="49"/>
      <c r="Q35" s="48"/>
      <c r="R35" s="499"/>
      <c r="S35" s="499"/>
      <c r="T35" s="38"/>
      <c r="U35" s="38"/>
      <c r="V35" s="38"/>
      <c r="W35" s="38"/>
      <c r="X35" s="39"/>
      <c r="Y35" s="212"/>
      <c r="Z35" s="38"/>
      <c r="AA35" s="38"/>
      <c r="AB35" s="38"/>
      <c r="AC35" s="38"/>
      <c r="AD35" s="38">
        <f t="shared" si="46"/>
        <v>13</v>
      </c>
      <c r="AE35" s="231" t="s">
        <v>513</v>
      </c>
      <c r="AF35" s="34"/>
      <c r="AG35" s="34"/>
      <c r="AH35" s="34">
        <v>13</v>
      </c>
      <c r="AJ35" s="38"/>
      <c r="AK35" s="38"/>
      <c r="AL35" s="38"/>
      <c r="AM35" s="38">
        <f t="shared" si="47"/>
        <v>13</v>
      </c>
      <c r="AN35" s="38"/>
      <c r="AO35" s="38"/>
      <c r="AP35" s="38"/>
      <c r="AQ35" s="38"/>
      <c r="AR35" s="38">
        <f t="shared" si="48"/>
        <v>0</v>
      </c>
      <c r="AS35" s="38"/>
      <c r="AT35" s="38"/>
      <c r="AU35" s="38"/>
      <c r="AV35" s="38"/>
      <c r="AW35" s="38"/>
      <c r="AX35" s="38"/>
      <c r="AY35" s="38"/>
      <c r="AZ35" s="38"/>
      <c r="BA35" s="38">
        <f t="shared" si="49"/>
        <v>0</v>
      </c>
      <c r="BB35" s="34"/>
      <c r="BC35" s="502"/>
      <c r="BD35" s="502"/>
      <c r="BE35" s="34"/>
      <c r="BF35" s="502"/>
    </row>
    <row r="36" spans="1:58" ht="12.95" customHeight="1">
      <c r="A36" s="41"/>
      <c r="B36" s="42"/>
      <c r="C36" s="443"/>
      <c r="D36" s="42"/>
      <c r="E36" s="43"/>
      <c r="F36" s="43"/>
      <c r="G36" s="44"/>
      <c r="H36" s="45"/>
      <c r="I36" s="46"/>
      <c r="J36" s="83"/>
      <c r="K36" s="83"/>
      <c r="L36" s="36"/>
      <c r="M36" s="36"/>
      <c r="N36" s="47"/>
      <c r="O36" s="48"/>
      <c r="P36" s="49"/>
      <c r="Q36" s="35"/>
      <c r="R36" s="499"/>
      <c r="S36" s="499"/>
      <c r="T36" s="38"/>
      <c r="U36" s="38"/>
      <c r="V36" s="38"/>
      <c r="W36" s="38"/>
      <c r="X36" s="39"/>
      <c r="Y36" s="212"/>
      <c r="Z36" s="38"/>
      <c r="AA36" s="38"/>
      <c r="AB36" s="38"/>
      <c r="AC36" s="38"/>
      <c r="AD36" s="38">
        <f t="shared" si="46"/>
        <v>18</v>
      </c>
      <c r="AE36" s="234" t="s">
        <v>228</v>
      </c>
      <c r="AF36" s="38"/>
      <c r="AG36" s="38"/>
      <c r="AH36" s="38"/>
      <c r="AI36" s="501">
        <v>18</v>
      </c>
      <c r="AJ36" s="38"/>
      <c r="AK36" s="38"/>
      <c r="AL36" s="38"/>
      <c r="AM36" s="38">
        <f t="shared" si="47"/>
        <v>18</v>
      </c>
      <c r="AN36" s="38"/>
      <c r="AO36" s="38"/>
      <c r="AP36" s="38"/>
      <c r="AQ36" s="38"/>
      <c r="AR36" s="38">
        <f t="shared" si="48"/>
        <v>0</v>
      </c>
      <c r="AS36" s="38"/>
      <c r="AT36" s="38"/>
      <c r="AU36" s="38"/>
      <c r="AV36" s="38"/>
      <c r="AW36" s="38"/>
      <c r="AX36" s="38"/>
      <c r="AY36" s="38"/>
      <c r="AZ36" s="38"/>
      <c r="BA36" s="38">
        <f t="shared" si="49"/>
        <v>0</v>
      </c>
      <c r="BB36" s="51"/>
      <c r="BC36" s="52"/>
      <c r="BD36" s="52"/>
      <c r="BE36" s="51"/>
      <c r="BF36" s="52"/>
    </row>
    <row r="37" spans="1:58" ht="12.95" customHeight="1">
      <c r="A37" s="41"/>
      <c r="B37" s="42"/>
      <c r="C37" s="443"/>
      <c r="D37" s="42"/>
      <c r="E37" s="43"/>
      <c r="F37" s="43"/>
      <c r="G37" s="498"/>
      <c r="H37" s="45"/>
      <c r="I37" s="46"/>
      <c r="J37" s="83"/>
      <c r="K37" s="83"/>
      <c r="L37" s="36"/>
      <c r="M37" s="36"/>
      <c r="N37" s="47"/>
      <c r="O37" s="48"/>
      <c r="P37" s="49"/>
      <c r="Q37" s="48"/>
      <c r="R37" s="499"/>
      <c r="S37" s="499"/>
      <c r="T37" s="38"/>
      <c r="U37" s="38"/>
      <c r="V37" s="38"/>
      <c r="W37" s="38"/>
      <c r="X37" s="39"/>
      <c r="Y37" s="212"/>
      <c r="Z37" s="38"/>
      <c r="AA37" s="38"/>
      <c r="AB37" s="38"/>
      <c r="AC37" s="38"/>
      <c r="AD37" s="38"/>
      <c r="AE37" s="231"/>
      <c r="AF37" s="38"/>
      <c r="AG37" s="38"/>
      <c r="AH37" s="38"/>
      <c r="AI37" s="501"/>
      <c r="AJ37" s="38"/>
      <c r="AK37" s="38"/>
      <c r="AL37" s="38"/>
      <c r="AM37" s="38"/>
      <c r="AN37" s="84"/>
      <c r="AO37" s="38"/>
      <c r="AP37" s="38"/>
      <c r="AQ37" s="38"/>
      <c r="AR37" s="38"/>
      <c r="AS37" s="38"/>
      <c r="AT37" s="38"/>
      <c r="AU37" s="38"/>
      <c r="AV37" s="38"/>
      <c r="AW37" s="38"/>
      <c r="AX37" s="38"/>
      <c r="AY37" s="38"/>
      <c r="AZ37" s="38"/>
      <c r="BA37" s="38"/>
      <c r="BB37" s="51"/>
      <c r="BC37" s="52"/>
      <c r="BD37" s="52"/>
      <c r="BE37" s="52"/>
      <c r="BF37" s="52"/>
    </row>
    <row r="38" spans="1:58" ht="12.95" customHeight="1">
      <c r="A38" s="41">
        <v>45968</v>
      </c>
      <c r="B38" s="42" t="s">
        <v>497</v>
      </c>
      <c r="C38" s="443">
        <f t="shared" ref="C38" si="50">(M38*E38*O38*Q38)/100000000</f>
        <v>45.402903000000002</v>
      </c>
      <c r="D38" s="42" t="s">
        <v>434</v>
      </c>
      <c r="E38" s="43">
        <v>20</v>
      </c>
      <c r="F38" s="43">
        <v>1</v>
      </c>
      <c r="G38" s="498">
        <v>820</v>
      </c>
      <c r="H38" s="45">
        <f t="shared" ref="H38" si="51">+N38</f>
        <v>0.15000000000000002</v>
      </c>
      <c r="I38" s="46">
        <v>0.88</v>
      </c>
      <c r="J38" s="83">
        <f t="shared" ref="J38" si="52">E38*G38*(1-H38)*1440/1000000*2.74</f>
        <v>55.001663999999998</v>
      </c>
      <c r="K38" s="83">
        <f t="shared" ref="K38" si="53">(IF(G38&lt;L38,L38,G38)*(1-IF(H38&lt;N38,H38,N38))*E38*O38*Q38)/100000000</f>
        <v>45.402903000000002</v>
      </c>
      <c r="L38" s="36">
        <v>910</v>
      </c>
      <c r="M38" s="36">
        <v>773.5</v>
      </c>
      <c r="N38" s="47">
        <f t="shared" ref="N38" si="54">1-(M38/L38)</f>
        <v>0.15000000000000002</v>
      </c>
      <c r="O38" s="48">
        <f>+'Trim Rwd'!H24</f>
        <v>270</v>
      </c>
      <c r="P38" s="49">
        <f t="shared" ref="P38" si="55">O38*(Q38-R38-S38)</f>
        <v>285930</v>
      </c>
      <c r="Q38" s="48">
        <v>1087</v>
      </c>
      <c r="R38" s="499">
        <v>0</v>
      </c>
      <c r="S38" s="499">
        <v>28</v>
      </c>
      <c r="T38" s="38">
        <f t="shared" ref="T38" si="56">E38*M38*O38*Q38/100000000</f>
        <v>45.402903000000002</v>
      </c>
      <c r="U38" s="38">
        <f t="shared" ref="U38" si="57">E38*M38*O38*(Q38-R38-S38)/100000000</f>
        <v>44.233370999999998</v>
      </c>
      <c r="V38" s="38">
        <f t="shared" ref="V38" si="58">E38*G38*(1-N38)*O38/100*(R38+S38)/1000000</f>
        <v>1.0538639999999999</v>
      </c>
      <c r="W38" s="38">
        <f>+'7'!K11/1000</f>
        <v>48.045000000000002</v>
      </c>
      <c r="X38" s="500">
        <f>SUM(W38:W41)/SUM(K38:K41)</f>
        <v>0.95309107847395524</v>
      </c>
      <c r="Y38" s="212">
        <f>+SUM(RBP!AG29:AG30)</f>
        <v>0</v>
      </c>
      <c r="Z38" s="38">
        <v>0</v>
      </c>
      <c r="AA38" s="50">
        <f>SUM(U38:U41)-SUM(W38:W41)-SUM(Z38:Z41)-SUM(Y38:Y41)</f>
        <v>0.36307779999999457</v>
      </c>
      <c r="AB38" s="50">
        <f>(SUM(K38:K41)-SUM(W38:W41)-SUM(Y38:Y41)-SUM(Z38:Z41)-SUM(AC38:AC41)-SUM(V38:V41))-AA38</f>
        <v>0.13471208000000767</v>
      </c>
      <c r="AC38" s="38">
        <f>K38-T38</f>
        <v>0</v>
      </c>
      <c r="AD38" s="38">
        <f>+AM38+BA38</f>
        <v>0</v>
      </c>
      <c r="AE38" s="231" t="s">
        <v>390</v>
      </c>
      <c r="AF38" s="38">
        <v>0</v>
      </c>
      <c r="AG38" s="38"/>
      <c r="AH38" s="38"/>
      <c r="AI38" s="501"/>
      <c r="AJ38" s="38"/>
      <c r="AK38" s="38"/>
      <c r="AL38" s="38"/>
      <c r="AM38" s="38">
        <f>SUM(AF38:AL38)+AT38</f>
        <v>0</v>
      </c>
      <c r="AN38" s="38"/>
      <c r="AO38" s="38"/>
      <c r="AP38" s="38"/>
      <c r="AQ38" s="38"/>
      <c r="AR38" s="38">
        <f>SUM(AN38:AQ38)</f>
        <v>0</v>
      </c>
      <c r="AS38" s="38"/>
      <c r="AT38" s="38"/>
      <c r="AU38" s="38"/>
      <c r="AV38" s="38"/>
      <c r="AW38" s="38"/>
      <c r="AX38" s="38"/>
      <c r="AY38" s="38"/>
      <c r="AZ38" s="38"/>
      <c r="BA38" s="38">
        <f>+AR38+AS38+AU38+AV38+AX38</f>
        <v>0</v>
      </c>
      <c r="BB38" s="34">
        <v>0</v>
      </c>
      <c r="BC38" s="52"/>
      <c r="BD38" s="52"/>
      <c r="BE38" s="34"/>
      <c r="BF38" s="52"/>
    </row>
    <row r="39" spans="1:58" ht="12.95" customHeight="1">
      <c r="A39" s="41"/>
      <c r="B39" s="42" t="s">
        <v>497</v>
      </c>
      <c r="C39" s="443">
        <f t="shared" ref="C39" si="59">(M39*E39*O39*Q39)/100000000</f>
        <v>14.05626232</v>
      </c>
      <c r="D39" s="42" t="s">
        <v>434</v>
      </c>
      <c r="E39" s="43">
        <v>19</v>
      </c>
      <c r="F39" s="43">
        <v>1</v>
      </c>
      <c r="G39" s="498">
        <v>865</v>
      </c>
      <c r="H39" s="45">
        <f t="shared" ref="H39" si="60">+N39</f>
        <v>0.15000000000000002</v>
      </c>
      <c r="I39" s="46">
        <v>0.88</v>
      </c>
      <c r="J39" s="83">
        <f t="shared" ref="J39" si="61">E39*G39*(1-H39)*1440/1000000*2.74</f>
        <v>55.119045600000007</v>
      </c>
      <c r="K39" s="83">
        <f t="shared" ref="K39" si="62">(IF(G39&lt;L39,L39,G39)*(1-IF(H39&lt;N39,H39,N39))*E39*O39*Q39)/100000000</f>
        <v>14.05626232</v>
      </c>
      <c r="L39" s="36">
        <v>920</v>
      </c>
      <c r="M39" s="36">
        <v>782</v>
      </c>
      <c r="N39" s="47">
        <f t="shared" ref="N39" si="63">1-(M39/L39)</f>
        <v>0.15000000000000002</v>
      </c>
      <c r="O39" s="48">
        <f>+'Trim Rwd'!H25</f>
        <v>268</v>
      </c>
      <c r="P39" s="49">
        <f t="shared" ref="P39" si="64">O39*(Q39-R39-S39)</f>
        <v>92460</v>
      </c>
      <c r="Q39" s="48">
        <v>353</v>
      </c>
      <c r="R39" s="499">
        <v>0</v>
      </c>
      <c r="S39" s="499">
        <v>8</v>
      </c>
      <c r="T39" s="38">
        <f t="shared" ref="T39" si="65">E39*M39*O39*Q39/100000000</f>
        <v>14.05626232</v>
      </c>
      <c r="U39" s="38">
        <f t="shared" ref="U39" si="66">E39*M39*O39*(Q39-R39-S39)/100000000</f>
        <v>13.7377068</v>
      </c>
      <c r="V39" s="38">
        <f t="shared" ref="V39" si="67">E39*G39*(1-N39)*O39/100*(R39+S39)/1000000</f>
        <v>0.29951144000000002</v>
      </c>
      <c r="W39" s="38">
        <f>+'7'!K12/1000</f>
        <v>8.625</v>
      </c>
      <c r="X39" s="39"/>
      <c r="Y39" s="212"/>
      <c r="Z39" s="38">
        <f>+'7'!D26/1000</f>
        <v>0.93799999999999994</v>
      </c>
      <c r="AA39" s="38"/>
      <c r="AB39" s="38"/>
      <c r="AC39" s="38">
        <f>K39-T39</f>
        <v>0</v>
      </c>
      <c r="AD39" s="38">
        <f t="shared" ref="AD39:AD41" si="68">+AM39+BA39</f>
        <v>9</v>
      </c>
      <c r="AE39" s="231" t="s">
        <v>525</v>
      </c>
      <c r="AF39" s="38"/>
      <c r="AG39" s="38">
        <v>9</v>
      </c>
      <c r="AH39" s="38"/>
      <c r="AI39" s="501"/>
      <c r="AJ39" s="38"/>
      <c r="AK39" s="38"/>
      <c r="AL39" s="38"/>
      <c r="AM39" s="38">
        <f t="shared" ref="AM39:AM41" si="69">SUM(AF39:AL39)+AT39</f>
        <v>9</v>
      </c>
      <c r="AN39" s="84"/>
      <c r="AO39" s="38"/>
      <c r="AP39" s="38"/>
      <c r="AQ39" s="38"/>
      <c r="AR39" s="38">
        <f t="shared" ref="AR39:AR41" si="70">SUM(AN39:AQ39)</f>
        <v>0</v>
      </c>
      <c r="AS39" s="38"/>
      <c r="AT39" s="38"/>
      <c r="AU39" s="38"/>
      <c r="AV39" s="38"/>
      <c r="AW39" s="38"/>
      <c r="AX39" s="38"/>
      <c r="AY39" s="38"/>
      <c r="AZ39" s="38"/>
      <c r="BA39" s="38">
        <f t="shared" ref="BA39:BA41" si="71">+AR39+AS39+AU39+AV39+AX39</f>
        <v>0</v>
      </c>
      <c r="BB39" s="51"/>
      <c r="BC39" s="52">
        <v>7</v>
      </c>
      <c r="BD39" s="52"/>
      <c r="BE39" s="51"/>
      <c r="BF39" s="52"/>
    </row>
    <row r="40" spans="1:58" ht="12.95" customHeight="1">
      <c r="A40" s="41"/>
      <c r="B40" s="42"/>
      <c r="C40" s="443"/>
      <c r="D40" s="42"/>
      <c r="E40" s="43"/>
      <c r="F40" s="43"/>
      <c r="G40" s="44"/>
      <c r="H40" s="45"/>
      <c r="I40" s="46"/>
      <c r="J40" s="83"/>
      <c r="K40" s="83"/>
      <c r="L40" s="36"/>
      <c r="M40" s="36"/>
      <c r="N40" s="47"/>
      <c r="O40" s="48"/>
      <c r="P40" s="49"/>
      <c r="Q40" s="48"/>
      <c r="R40" s="499"/>
      <c r="S40" s="499"/>
      <c r="T40" s="38"/>
      <c r="U40" s="38"/>
      <c r="V40" s="38"/>
      <c r="W40" s="38"/>
      <c r="X40" s="39"/>
      <c r="Y40" s="212"/>
      <c r="Z40" s="38"/>
      <c r="AA40" s="38"/>
      <c r="AB40" s="38"/>
      <c r="AC40" s="38"/>
      <c r="AD40" s="38">
        <f t="shared" si="68"/>
        <v>19</v>
      </c>
      <c r="AE40" s="231" t="s">
        <v>526</v>
      </c>
      <c r="AF40" s="34"/>
      <c r="AG40" s="34"/>
      <c r="AH40" s="34">
        <v>19</v>
      </c>
      <c r="AJ40" s="38"/>
      <c r="AK40" s="38"/>
      <c r="AL40" s="38"/>
      <c r="AM40" s="38">
        <f t="shared" si="69"/>
        <v>19</v>
      </c>
      <c r="AN40" s="38"/>
      <c r="AO40" s="38"/>
      <c r="AP40" s="38"/>
      <c r="AQ40" s="38"/>
      <c r="AR40" s="38">
        <f t="shared" si="70"/>
        <v>0</v>
      </c>
      <c r="AS40" s="38"/>
      <c r="AT40" s="38"/>
      <c r="AU40" s="38"/>
      <c r="AV40" s="38"/>
      <c r="AW40" s="38"/>
      <c r="AX40" s="38"/>
      <c r="AY40" s="38"/>
      <c r="AZ40" s="38"/>
      <c r="BA40" s="38">
        <f t="shared" si="71"/>
        <v>0</v>
      </c>
      <c r="BB40" s="34"/>
      <c r="BC40" s="502"/>
      <c r="BD40" s="502"/>
      <c r="BE40" s="34"/>
      <c r="BF40" s="502"/>
    </row>
    <row r="41" spans="1:58" ht="12.95" customHeight="1">
      <c r="A41" s="41"/>
      <c r="B41" s="42"/>
      <c r="C41" s="443"/>
      <c r="D41" s="42"/>
      <c r="E41" s="43"/>
      <c r="F41" s="43"/>
      <c r="G41" s="44"/>
      <c r="H41" s="45"/>
      <c r="I41" s="46"/>
      <c r="J41" s="83"/>
      <c r="K41" s="83"/>
      <c r="L41" s="36"/>
      <c r="M41" s="36"/>
      <c r="N41" s="47"/>
      <c r="O41" s="48"/>
      <c r="P41" s="49"/>
      <c r="Q41" s="35"/>
      <c r="R41" s="499"/>
      <c r="S41" s="499"/>
      <c r="T41" s="38"/>
      <c r="U41" s="38"/>
      <c r="V41" s="38"/>
      <c r="W41" s="38"/>
      <c r="X41" s="39"/>
      <c r="Y41" s="212"/>
      <c r="Z41" s="38"/>
      <c r="AA41" s="38"/>
      <c r="AB41" s="38"/>
      <c r="AC41" s="38"/>
      <c r="AD41" s="38">
        <f t="shared" si="68"/>
        <v>8</v>
      </c>
      <c r="AE41" s="234" t="s">
        <v>228</v>
      </c>
      <c r="AF41" s="38"/>
      <c r="AG41" s="38"/>
      <c r="AH41" s="38"/>
      <c r="AI41" s="501">
        <v>8</v>
      </c>
      <c r="AJ41" s="38"/>
      <c r="AK41" s="38"/>
      <c r="AL41" s="38"/>
      <c r="AM41" s="38">
        <f t="shared" si="69"/>
        <v>8</v>
      </c>
      <c r="AN41" s="38"/>
      <c r="AO41" s="38"/>
      <c r="AP41" s="38"/>
      <c r="AQ41" s="38"/>
      <c r="AR41" s="38">
        <f t="shared" si="70"/>
        <v>0</v>
      </c>
      <c r="AS41" s="38"/>
      <c r="AT41" s="38"/>
      <c r="AU41" s="38"/>
      <c r="AV41" s="38"/>
      <c r="AW41" s="38"/>
      <c r="AX41" s="38"/>
      <c r="AY41" s="38"/>
      <c r="AZ41" s="38"/>
      <c r="BA41" s="38">
        <f t="shared" si="71"/>
        <v>0</v>
      </c>
      <c r="BB41" s="51"/>
      <c r="BC41" s="52"/>
      <c r="BD41" s="52"/>
      <c r="BE41" s="51"/>
      <c r="BF41" s="52"/>
    </row>
    <row r="42" spans="1:58" ht="12.95" customHeight="1">
      <c r="A42" s="41"/>
      <c r="B42" s="42"/>
      <c r="C42" s="443"/>
      <c r="D42" s="42"/>
      <c r="E42" s="43"/>
      <c r="F42" s="43"/>
      <c r="G42" s="44"/>
      <c r="H42" s="45"/>
      <c r="I42" s="46"/>
      <c r="J42" s="83"/>
      <c r="K42" s="83"/>
      <c r="L42" s="36"/>
      <c r="M42" s="36"/>
      <c r="N42" s="47"/>
      <c r="O42" s="48"/>
      <c r="P42" s="49"/>
      <c r="Q42" s="35"/>
      <c r="R42" s="499"/>
      <c r="S42" s="499"/>
      <c r="T42" s="38"/>
      <c r="U42" s="38"/>
      <c r="V42" s="38"/>
      <c r="W42" s="38"/>
      <c r="X42" s="39"/>
      <c r="Y42" s="212"/>
      <c r="Z42" s="38"/>
      <c r="AA42" s="38"/>
      <c r="AB42" s="38"/>
      <c r="AC42" s="38"/>
      <c r="AD42" s="38"/>
      <c r="AE42" s="234"/>
      <c r="AF42" s="38"/>
      <c r="AG42" s="38"/>
      <c r="AH42" s="38"/>
      <c r="AI42" s="501"/>
      <c r="AJ42" s="38"/>
      <c r="AK42" s="38"/>
      <c r="AL42" s="38"/>
      <c r="AM42" s="38"/>
      <c r="AN42" s="38"/>
      <c r="AO42" s="38"/>
      <c r="AP42" s="38"/>
      <c r="AQ42" s="38"/>
      <c r="AR42" s="38"/>
      <c r="AS42" s="38"/>
      <c r="AT42" s="38"/>
      <c r="AU42" s="38"/>
      <c r="AV42" s="38"/>
      <c r="AW42" s="38"/>
      <c r="AX42" s="38"/>
      <c r="AY42" s="38"/>
      <c r="AZ42" s="38"/>
      <c r="BA42" s="38"/>
      <c r="BB42" s="51"/>
      <c r="BC42" s="52"/>
      <c r="BD42" s="52"/>
      <c r="BE42" s="51"/>
      <c r="BF42" s="52"/>
    </row>
    <row r="43" spans="1:58" ht="12.75" customHeight="1">
      <c r="A43" s="41">
        <v>45938</v>
      </c>
      <c r="B43" s="42" t="s">
        <v>497</v>
      </c>
      <c r="C43" s="443">
        <f t="shared" ref="C43:C44" si="72">(M43*E43*O43*Q43)/100000000</f>
        <v>6.3711104000000001</v>
      </c>
      <c r="D43" s="42" t="s">
        <v>434</v>
      </c>
      <c r="E43" s="43">
        <v>19</v>
      </c>
      <c r="F43" s="43">
        <v>1</v>
      </c>
      <c r="G43" s="498">
        <v>865</v>
      </c>
      <c r="H43" s="45">
        <f t="shared" ref="H43:H44" si="73">+N43</f>
        <v>0.15000000000000002</v>
      </c>
      <c r="I43" s="46">
        <v>0.88</v>
      </c>
      <c r="J43" s="83">
        <f t="shared" ref="J43:J44" si="74">E43*G43*(1-H43)*1440/1000000*2.74</f>
        <v>55.119045600000007</v>
      </c>
      <c r="K43" s="83">
        <f t="shared" ref="K43:K44" si="75">(IF(G43&lt;L43,L43,G43)*(1-IF(H43&lt;N43,H43,N43))*E43*O43*Q43)/100000000</f>
        <v>6.3711104000000001</v>
      </c>
      <c r="L43" s="36">
        <v>920</v>
      </c>
      <c r="M43" s="36">
        <v>782</v>
      </c>
      <c r="N43" s="47">
        <f t="shared" ref="N43:N44" si="76">1-(M43/L43)</f>
        <v>0.15000000000000002</v>
      </c>
      <c r="O43" s="48">
        <f>+'Trim Rwd'!H27</f>
        <v>268</v>
      </c>
      <c r="P43" s="49">
        <f t="shared" ref="P43:P44" si="77">O43*(Q43-R43-S43)</f>
        <v>40736</v>
      </c>
      <c r="Q43" s="48">
        <v>160</v>
      </c>
      <c r="R43" s="499">
        <v>0</v>
      </c>
      <c r="S43" s="499">
        <v>8</v>
      </c>
      <c r="T43" s="38">
        <f t="shared" ref="T43:T44" si="78">E43*M43*O43*Q43/100000000</f>
        <v>6.3711104000000001</v>
      </c>
      <c r="U43" s="38">
        <f t="shared" ref="U43:U44" si="79">E43*M43*O43*(Q43-R43-S43)/100000000</f>
        <v>6.0525548799999997</v>
      </c>
      <c r="V43" s="38">
        <f t="shared" ref="V43:V44" si="80">E43*G43*(1-N43)*O43/100*(R43+S43)/1000000</f>
        <v>0.29951144000000002</v>
      </c>
      <c r="W43" s="38">
        <f>+'8'!K12/1000</f>
        <v>10.238</v>
      </c>
      <c r="X43" s="500">
        <f>SUM(W43:W46)/SUM(K43:K46)</f>
        <v>0.97811112813571321</v>
      </c>
      <c r="Y43" s="212">
        <f>+SUM(RBP!AG33:AG34)</f>
        <v>0</v>
      </c>
      <c r="Z43" s="38">
        <v>0</v>
      </c>
      <c r="AA43" s="50">
        <f>SUM(U43:U46)-SUM(W43:W46)-SUM(Z43:Z46)-SUM(Y43:Y46)</f>
        <v>-0.4312684609090951</v>
      </c>
      <c r="AB43" s="50">
        <f>(SUM(K43:K46)-SUM(W43:W46)-SUM(Y43:Y46)-SUM(Z43:Z46)-SUM(AC43:AC46)-SUM(V43:V46))-AA43</f>
        <v>1.9044079999994024E-2</v>
      </c>
      <c r="AC43" s="38">
        <f>K43-T43</f>
        <v>0</v>
      </c>
      <c r="AD43" s="38">
        <f>+AM43+BA43</f>
        <v>0</v>
      </c>
      <c r="AE43" s="231" t="s">
        <v>390</v>
      </c>
      <c r="AF43" s="38">
        <v>0</v>
      </c>
      <c r="AG43" s="38"/>
      <c r="AH43" s="38"/>
      <c r="AI43" s="501"/>
      <c r="AJ43" s="38"/>
      <c r="AK43" s="38"/>
      <c r="AL43" s="38"/>
      <c r="AM43" s="38">
        <f>SUM(AF43:AL43)+AT43</f>
        <v>0</v>
      </c>
      <c r="AN43" s="38"/>
      <c r="AO43" s="38"/>
      <c r="AP43" s="38"/>
      <c r="AQ43" s="38"/>
      <c r="AR43" s="38">
        <f>SUM(AN43:AQ43)</f>
        <v>0</v>
      </c>
      <c r="AS43" s="38"/>
      <c r="AT43" s="38"/>
      <c r="AU43" s="38"/>
      <c r="AV43" s="38"/>
      <c r="AW43" s="38"/>
      <c r="AX43" s="38"/>
      <c r="AY43" s="38"/>
      <c r="AZ43" s="38"/>
      <c r="BA43" s="38">
        <f>+AR43+AS43+AU43+AV43+AX43</f>
        <v>0</v>
      </c>
      <c r="BB43" s="34">
        <v>0</v>
      </c>
      <c r="BC43" s="52"/>
      <c r="BD43" s="52"/>
      <c r="BE43" s="34"/>
      <c r="BF43" s="52"/>
    </row>
    <row r="44" spans="1:58" ht="12.95" customHeight="1">
      <c r="A44" s="41"/>
      <c r="B44" s="42" t="s">
        <v>497</v>
      </c>
      <c r="C44" s="443">
        <f t="shared" si="72"/>
        <v>46.228229818181809</v>
      </c>
      <c r="D44" s="42" t="s">
        <v>434</v>
      </c>
      <c r="E44" s="43">
        <v>17</v>
      </c>
      <c r="F44" s="43">
        <v>1</v>
      </c>
      <c r="G44" s="498">
        <f>+L44</f>
        <v>950</v>
      </c>
      <c r="H44" s="45">
        <f t="shared" si="73"/>
        <v>0.15000000000000002</v>
      </c>
      <c r="I44" s="46">
        <v>0.88</v>
      </c>
      <c r="J44" s="83">
        <f t="shared" si="74"/>
        <v>54.163224000000007</v>
      </c>
      <c r="K44" s="83">
        <f t="shared" si="75"/>
        <v>46.228229818181809</v>
      </c>
      <c r="L44" s="36">
        <v>950</v>
      </c>
      <c r="M44" s="36">
        <v>807.5</v>
      </c>
      <c r="N44" s="47">
        <f t="shared" si="76"/>
        <v>0.15000000000000002</v>
      </c>
      <c r="O44" s="48">
        <f>+'Trim Rwd'!H28</f>
        <v>263.09090909090907</v>
      </c>
      <c r="P44" s="49">
        <f t="shared" si="77"/>
        <v>327548.18181818177</v>
      </c>
      <c r="Q44" s="48">
        <v>1280</v>
      </c>
      <c r="R44" s="499">
        <v>0</v>
      </c>
      <c r="S44" s="499">
        <v>35</v>
      </c>
      <c r="T44" s="38">
        <f t="shared" si="78"/>
        <v>46.228229818181809</v>
      </c>
      <c r="U44" s="38">
        <f t="shared" si="79"/>
        <v>44.964176659090903</v>
      </c>
      <c r="V44" s="38">
        <f t="shared" si="80"/>
        <v>1.264053159090909</v>
      </c>
      <c r="W44" s="38">
        <f>+'8'!K13/1000</f>
        <v>41.21</v>
      </c>
      <c r="X44" s="39"/>
      <c r="Y44" s="212"/>
      <c r="Z44" s="38">
        <f>+'7'!D30/1000</f>
        <v>0</v>
      </c>
      <c r="AA44" s="38"/>
      <c r="AB44" s="38"/>
      <c r="AC44" s="38">
        <f>K44-T44</f>
        <v>0</v>
      </c>
      <c r="AD44" s="38">
        <f t="shared" ref="AD44:AD46" si="81">+AM44+BA44</f>
        <v>10</v>
      </c>
      <c r="AE44" s="231" t="s">
        <v>525</v>
      </c>
      <c r="AF44" s="38"/>
      <c r="AG44" s="38">
        <v>10</v>
      </c>
      <c r="AH44" s="38"/>
      <c r="AI44" s="501"/>
      <c r="AJ44" s="38"/>
      <c r="AK44" s="38"/>
      <c r="AL44" s="38"/>
      <c r="AM44" s="38">
        <f t="shared" ref="AM44:AM46" si="82">SUM(AF44:AL44)+AT44</f>
        <v>10</v>
      </c>
      <c r="AN44" s="84"/>
      <c r="AO44" s="38"/>
      <c r="AP44" s="38"/>
      <c r="AQ44" s="38"/>
      <c r="AR44" s="38">
        <f t="shared" ref="AR44:AR46" si="83">SUM(AN44:AQ44)</f>
        <v>0</v>
      </c>
      <c r="AS44" s="38"/>
      <c r="AT44" s="38"/>
      <c r="AU44" s="38"/>
      <c r="AV44" s="38"/>
      <c r="AW44" s="38"/>
      <c r="AX44" s="38"/>
      <c r="AY44" s="38"/>
      <c r="AZ44" s="38"/>
      <c r="BA44" s="38">
        <f t="shared" ref="BA44:BA46" si="84">+AR44+AS44+AU44+AV44+AX44</f>
        <v>0</v>
      </c>
      <c r="BB44" s="51"/>
      <c r="BC44" s="52">
        <v>7</v>
      </c>
      <c r="BD44" s="52"/>
      <c r="BE44" s="51"/>
      <c r="BF44" s="52"/>
    </row>
    <row r="45" spans="1:58" ht="12.95" customHeight="1">
      <c r="A45" s="41"/>
      <c r="B45" s="42"/>
      <c r="C45" s="443"/>
      <c r="D45" s="42"/>
      <c r="E45" s="43"/>
      <c r="F45" s="43"/>
      <c r="G45" s="44"/>
      <c r="H45" s="45"/>
      <c r="I45" s="46"/>
      <c r="J45" s="83"/>
      <c r="K45" s="83"/>
      <c r="L45" s="36"/>
      <c r="M45" s="36"/>
      <c r="N45" s="47"/>
      <c r="O45" s="48"/>
      <c r="P45" s="49"/>
      <c r="Q45" s="48"/>
      <c r="R45" s="499"/>
      <c r="S45" s="499"/>
      <c r="T45" s="38"/>
      <c r="U45" s="38"/>
      <c r="V45" s="38"/>
      <c r="W45" s="38"/>
      <c r="X45" s="39"/>
      <c r="Y45" s="212"/>
      <c r="Z45" s="38"/>
      <c r="AA45" s="38"/>
      <c r="AB45" s="38"/>
      <c r="AC45" s="38"/>
      <c r="AD45" s="38">
        <f t="shared" si="81"/>
        <v>25</v>
      </c>
      <c r="AE45" s="231" t="s">
        <v>513</v>
      </c>
      <c r="AF45" s="34"/>
      <c r="AG45" s="34"/>
      <c r="AH45" s="34">
        <v>25</v>
      </c>
      <c r="AJ45" s="38"/>
      <c r="AK45" s="38"/>
      <c r="AL45" s="38"/>
      <c r="AM45" s="38">
        <f t="shared" si="82"/>
        <v>25</v>
      </c>
      <c r="AN45" s="38"/>
      <c r="AO45" s="38"/>
      <c r="AP45" s="38"/>
      <c r="AQ45" s="38"/>
      <c r="AR45" s="38">
        <f t="shared" si="83"/>
        <v>0</v>
      </c>
      <c r="AS45" s="38"/>
      <c r="AT45" s="38"/>
      <c r="AU45" s="38"/>
      <c r="AV45" s="38"/>
      <c r="AW45" s="38"/>
      <c r="AX45" s="38"/>
      <c r="AY45" s="38"/>
      <c r="AZ45" s="38"/>
      <c r="BA45" s="38">
        <f t="shared" si="84"/>
        <v>0</v>
      </c>
      <c r="BB45" s="34"/>
      <c r="BC45" s="502"/>
      <c r="BD45" s="502"/>
      <c r="BE45" s="34"/>
      <c r="BF45" s="502"/>
    </row>
    <row r="46" spans="1:58" ht="12.95" customHeight="1">
      <c r="A46" s="41"/>
      <c r="B46" s="42"/>
      <c r="C46" s="443"/>
      <c r="D46" s="42"/>
      <c r="E46" s="43"/>
      <c r="F46" s="43"/>
      <c r="G46" s="44"/>
      <c r="H46" s="45"/>
      <c r="I46" s="46"/>
      <c r="J46" s="83"/>
      <c r="K46" s="83"/>
      <c r="L46" s="36"/>
      <c r="M46" s="36"/>
      <c r="N46" s="47"/>
      <c r="O46" s="48"/>
      <c r="P46" s="49"/>
      <c r="Q46" s="35"/>
      <c r="R46" s="499"/>
      <c r="S46" s="499"/>
      <c r="T46" s="38"/>
      <c r="U46" s="38"/>
      <c r="V46" s="38"/>
      <c r="W46" s="38"/>
      <c r="X46" s="39"/>
      <c r="Y46" s="212"/>
      <c r="Z46" s="38"/>
      <c r="AA46" s="38"/>
      <c r="AB46" s="38"/>
      <c r="AC46" s="38"/>
      <c r="AD46" s="38">
        <f t="shared" si="81"/>
        <v>8</v>
      </c>
      <c r="AE46" s="234" t="s">
        <v>228</v>
      </c>
      <c r="AF46" s="38"/>
      <c r="AG46" s="38"/>
      <c r="AH46" s="38"/>
      <c r="AI46" s="501">
        <v>8</v>
      </c>
      <c r="AJ46" s="38"/>
      <c r="AK46" s="38"/>
      <c r="AL46" s="38"/>
      <c r="AM46" s="38">
        <f t="shared" si="82"/>
        <v>8</v>
      </c>
      <c r="AN46" s="38"/>
      <c r="AO46" s="38"/>
      <c r="AP46" s="38"/>
      <c r="AQ46" s="38"/>
      <c r="AR46" s="38">
        <f t="shared" si="83"/>
        <v>0</v>
      </c>
      <c r="AS46" s="38"/>
      <c r="AT46" s="38"/>
      <c r="AU46" s="38"/>
      <c r="AV46" s="38"/>
      <c r="AW46" s="38"/>
      <c r="AX46" s="38"/>
      <c r="AY46" s="38"/>
      <c r="AZ46" s="38"/>
      <c r="BA46" s="38">
        <f t="shared" si="84"/>
        <v>0</v>
      </c>
      <c r="BB46" s="51"/>
      <c r="BC46" s="52"/>
      <c r="BD46" s="52"/>
      <c r="BE46" s="51"/>
      <c r="BF46" s="52"/>
    </row>
    <row r="47" spans="1:58" ht="12.95" customHeight="1">
      <c r="A47" s="41"/>
      <c r="B47" s="42"/>
      <c r="C47" s="443"/>
      <c r="D47" s="42"/>
      <c r="E47" s="43"/>
      <c r="F47" s="43"/>
      <c r="G47" s="44"/>
      <c r="H47" s="45"/>
      <c r="I47" s="46"/>
      <c r="J47" s="83"/>
      <c r="K47" s="83"/>
      <c r="L47" s="36"/>
      <c r="M47" s="36"/>
      <c r="N47" s="47"/>
      <c r="O47" s="48"/>
      <c r="P47" s="49"/>
      <c r="Q47" s="48"/>
      <c r="R47" s="499"/>
      <c r="S47" s="499"/>
      <c r="T47" s="38"/>
      <c r="U47" s="38"/>
      <c r="V47" s="38"/>
      <c r="W47" s="38"/>
      <c r="X47" s="39"/>
      <c r="Y47" s="212"/>
      <c r="Z47" s="38"/>
      <c r="AA47" s="38"/>
      <c r="AB47" s="38"/>
      <c r="AC47" s="38"/>
      <c r="AD47" s="38"/>
      <c r="AE47" s="231"/>
      <c r="AF47" s="38"/>
      <c r="AG47" s="38"/>
      <c r="AH47" s="38"/>
      <c r="AI47" s="501"/>
      <c r="AJ47" s="38"/>
      <c r="AK47" s="38"/>
      <c r="AL47" s="38"/>
      <c r="AM47" s="38"/>
      <c r="AN47" s="84"/>
      <c r="AO47" s="38"/>
      <c r="AP47" s="38"/>
      <c r="AQ47" s="38"/>
      <c r="AR47" s="38"/>
      <c r="AS47" s="38"/>
      <c r="AT47" s="38"/>
      <c r="AU47" s="38"/>
      <c r="AV47" s="38"/>
      <c r="AW47" s="38"/>
      <c r="AX47" s="38"/>
      <c r="AY47" s="38"/>
      <c r="AZ47" s="38"/>
      <c r="BA47" s="38"/>
      <c r="BB47" s="51"/>
      <c r="BC47" s="52"/>
      <c r="BD47" s="52"/>
      <c r="BE47" s="52"/>
      <c r="BF47" s="52"/>
    </row>
    <row r="48" spans="1:58" ht="12.95" customHeight="1">
      <c r="A48" s="41">
        <v>45939</v>
      </c>
      <c r="B48" s="42" t="s">
        <v>497</v>
      </c>
      <c r="C48" s="443">
        <f t="shared" ref="C48" si="85">(M48*E48*O48*Q48)/100000000</f>
        <v>21.623056236206892</v>
      </c>
      <c r="D48" s="42" t="s">
        <v>434</v>
      </c>
      <c r="E48" s="43">
        <v>17</v>
      </c>
      <c r="F48" s="43">
        <v>1</v>
      </c>
      <c r="G48" s="498">
        <f>+L48</f>
        <v>950</v>
      </c>
      <c r="H48" s="45">
        <f t="shared" ref="H48" si="86">+N48</f>
        <v>0.15000000000000002</v>
      </c>
      <c r="I48" s="46">
        <v>0.88</v>
      </c>
      <c r="J48" s="83">
        <f t="shared" ref="J48" si="87">E48*G48*(1-H48)*1440/1000000*2.74</f>
        <v>54.163224000000007</v>
      </c>
      <c r="K48" s="83">
        <f t="shared" ref="K48" si="88">(IF(G48&lt;L48,L48,G48)*(1-IF(H48&lt;N48,H48,N48))*E48*O48*Q48)/100000000</f>
        <v>21.623056236206892</v>
      </c>
      <c r="L48" s="36">
        <v>950</v>
      </c>
      <c r="M48" s="36">
        <v>807.5</v>
      </c>
      <c r="N48" s="47">
        <f t="shared" ref="N48" si="89">1-(M48/L48)</f>
        <v>0.15000000000000002</v>
      </c>
      <c r="O48" s="48">
        <f>+'Trim Rwd'!H31</f>
        <v>262.9655172413793</v>
      </c>
      <c r="P48" s="49">
        <f t="shared" ref="P48" si="90">O48*(Q48-R48-S48)</f>
        <v>153834.8275862069</v>
      </c>
      <c r="Q48" s="48">
        <v>599</v>
      </c>
      <c r="R48" s="499">
        <v>0</v>
      </c>
      <c r="S48" s="499">
        <v>14</v>
      </c>
      <c r="T48" s="38">
        <f t="shared" ref="T48" si="91">E48*M48*O48*Q48/100000000</f>
        <v>21.623056236206892</v>
      </c>
      <c r="U48" s="38">
        <f t="shared" ref="U48" si="92">E48*M48*O48*(Q48-R48-S48)/100000000</f>
        <v>21.117675956896552</v>
      </c>
      <c r="V48" s="38">
        <f t="shared" ref="V48" si="93">E48*G48*(1-N48)*O48/100*(R48+S48)/1000000</f>
        <v>0.50538027931034479</v>
      </c>
      <c r="W48" s="38">
        <f>+'9'!K13/1000</f>
        <v>26.606000000000002</v>
      </c>
      <c r="X48" s="500">
        <f>SUM(W48:W51)/SUM(K48:K51)</f>
        <v>0.94802685303952994</v>
      </c>
      <c r="Y48" s="212">
        <v>0</v>
      </c>
      <c r="Z48" s="38">
        <v>0</v>
      </c>
      <c r="AA48" s="50">
        <f>SUM(U48:U51)-SUM(W48:W51)-SUM(Z48:Z51)-SUM(Y48:Y51)</f>
        <v>-0.42682157247529007</v>
      </c>
      <c r="AB48" s="50">
        <f>(SUM(K48:K51)-SUM(W48:W51)-SUM(Y48:Y51)-SUM(Z48:Z51)-SUM(AC48:AC51)-SUM(V48:V51))-AA48</f>
        <v>-5.390398458893142E-2</v>
      </c>
      <c r="AC48" s="38">
        <f>K48-T48</f>
        <v>0</v>
      </c>
      <c r="AD48" s="38">
        <f>+AM48+BA48</f>
        <v>0</v>
      </c>
      <c r="AE48" s="231" t="s">
        <v>390</v>
      </c>
      <c r="AF48" s="38">
        <v>0</v>
      </c>
      <c r="AG48" s="38"/>
      <c r="AH48" s="38"/>
      <c r="AI48" s="501"/>
      <c r="AJ48" s="38"/>
      <c r="AK48" s="38"/>
      <c r="AL48" s="38"/>
      <c r="AM48" s="38">
        <f>SUM(AF48:AL48)+AT48</f>
        <v>0</v>
      </c>
      <c r="AN48" s="38"/>
      <c r="AO48" s="38"/>
      <c r="AP48" s="38"/>
      <c r="AQ48" s="38"/>
      <c r="AR48" s="38">
        <f>SUM(AN48:AQ48)</f>
        <v>0</v>
      </c>
      <c r="AS48" s="38"/>
      <c r="AT48" s="38"/>
      <c r="AU48" s="38"/>
      <c r="AV48" s="38"/>
      <c r="AW48" s="38"/>
      <c r="AX48" s="38"/>
      <c r="AY48" s="38"/>
      <c r="AZ48" s="38"/>
      <c r="BA48" s="38">
        <f>+AR48+AS48+AU48+AV48+AX48</f>
        <v>0</v>
      </c>
      <c r="BB48" s="34">
        <v>0</v>
      </c>
      <c r="BC48" s="52"/>
      <c r="BD48" s="52"/>
      <c r="BE48" s="34"/>
      <c r="BF48" s="52"/>
    </row>
    <row r="49" spans="1:58" ht="12.95" customHeight="1">
      <c r="A49" s="41"/>
      <c r="B49" s="42" t="s">
        <v>551</v>
      </c>
      <c r="C49" s="443">
        <f t="shared" ref="C49:C51" si="94">(M49*E49*O49*Q49)/100000000</f>
        <v>11.431816032</v>
      </c>
      <c r="D49" s="42" t="s">
        <v>434</v>
      </c>
      <c r="E49" s="43">
        <v>14</v>
      </c>
      <c r="F49" s="43">
        <v>1</v>
      </c>
      <c r="G49" s="498">
        <v>1280</v>
      </c>
      <c r="H49" s="45">
        <f t="shared" ref="H49:H51" si="95">+N49</f>
        <v>0.21999999999999997</v>
      </c>
      <c r="I49" s="46">
        <v>0.88</v>
      </c>
      <c r="J49" s="83">
        <f t="shared" ref="J49:J51" si="96">E49*G49*(1-H49)*1440/1000000*2.74</f>
        <v>55.150018560000007</v>
      </c>
      <c r="K49" s="83">
        <f t="shared" ref="K49:K51" si="97">(IF(G49&lt;L49,L49,G49)*(1-IF(H49&lt;N49,H49,N49))*E49*O49*Q49)/100000000</f>
        <v>12.269537280000002</v>
      </c>
      <c r="L49" s="36">
        <v>1192.6060606060605</v>
      </c>
      <c r="M49" s="36">
        <v>930.23272727272729</v>
      </c>
      <c r="N49" s="47">
        <f t="shared" ref="N49:N51" si="98">1-(M49/L49)</f>
        <v>0.21999999999999997</v>
      </c>
      <c r="O49" s="48">
        <f>+'Trim Rwd'!H33</f>
        <v>266</v>
      </c>
      <c r="P49" s="49">
        <f t="shared" ref="P49:P51" si="99">O49*(Q49-R49-S49)</f>
        <v>85652</v>
      </c>
      <c r="Q49" s="48">
        <v>330</v>
      </c>
      <c r="R49" s="499">
        <v>0</v>
      </c>
      <c r="S49" s="499">
        <v>8</v>
      </c>
      <c r="T49" s="38">
        <f t="shared" ref="T49:T51" si="100">E49*M49*O49*Q49/100000000</f>
        <v>11.431816032</v>
      </c>
      <c r="U49" s="38">
        <f t="shared" ref="U49:U51" si="101">E49*M49*O49*(Q49-R49-S49)/100000000</f>
        <v>11.154681097890911</v>
      </c>
      <c r="V49" s="38">
        <f t="shared" ref="V49:V51" si="102">E49*G49*(1-N49)*O49/100*(R49+S49)/1000000</f>
        <v>0.29744332800000001</v>
      </c>
      <c r="W49" s="38">
        <f>+'9'!K14/1000</f>
        <v>10.231999999999999</v>
      </c>
      <c r="X49" s="39"/>
      <c r="Y49" s="212"/>
      <c r="Z49" s="38">
        <f>+'7'!D35/1000</f>
        <v>1.6282460769337592E-5</v>
      </c>
      <c r="AA49" s="38"/>
      <c r="AB49" s="38"/>
      <c r="AC49" s="38">
        <f>K49-T49</f>
        <v>0.83772124800000114</v>
      </c>
      <c r="AD49" s="38">
        <f t="shared" ref="AD49:AD51" si="103">+AM49+BA49</f>
        <v>9</v>
      </c>
      <c r="AE49" s="231" t="s">
        <v>435</v>
      </c>
      <c r="AF49" s="38"/>
      <c r="AG49" s="38">
        <v>9</v>
      </c>
      <c r="AH49" s="38"/>
      <c r="AI49" s="501"/>
      <c r="AJ49" s="38"/>
      <c r="AK49" s="38"/>
      <c r="AL49" s="38"/>
      <c r="AM49" s="38">
        <f t="shared" ref="AM49:AM51" si="104">SUM(AF49:AL49)+AT49</f>
        <v>9</v>
      </c>
      <c r="AN49" s="84"/>
      <c r="AO49" s="38"/>
      <c r="AP49" s="38"/>
      <c r="AQ49" s="38"/>
      <c r="AR49" s="38">
        <f t="shared" ref="AR49:AR51" si="105">SUM(AN49:AQ49)</f>
        <v>0</v>
      </c>
      <c r="AS49" s="38"/>
      <c r="AT49" s="38"/>
      <c r="AU49" s="38"/>
      <c r="AV49" s="38"/>
      <c r="AW49" s="38"/>
      <c r="AX49" s="38"/>
      <c r="AY49" s="38"/>
      <c r="AZ49" s="38"/>
      <c r="BA49" s="38">
        <f t="shared" ref="BA49:BA51" si="106">+AR49+AS49+AU49+AV49+AX49</f>
        <v>0</v>
      </c>
      <c r="BB49" s="51"/>
      <c r="BC49" s="52">
        <v>11</v>
      </c>
      <c r="BD49" s="52"/>
      <c r="BE49" s="51"/>
      <c r="BF49" s="52"/>
    </row>
    <row r="50" spans="1:58" ht="12.95" customHeight="1">
      <c r="A50" s="41"/>
      <c r="B50" s="42" t="s">
        <v>431</v>
      </c>
      <c r="C50" s="443">
        <f t="shared" si="94"/>
        <v>11.119490810999999</v>
      </c>
      <c r="D50" s="42" t="s">
        <v>434</v>
      </c>
      <c r="E50" s="43">
        <v>16.5</v>
      </c>
      <c r="F50" s="43">
        <v>1</v>
      </c>
      <c r="G50" s="498">
        <v>1085</v>
      </c>
      <c r="H50" s="45">
        <f t="shared" si="95"/>
        <v>0.21999999999999997</v>
      </c>
      <c r="I50" s="46">
        <v>0.88</v>
      </c>
      <c r="J50" s="83">
        <f t="shared" si="96"/>
        <v>55.096161119999998</v>
      </c>
      <c r="K50" s="83">
        <f t="shared" si="97"/>
        <v>11.296975189500001</v>
      </c>
      <c r="L50" s="36">
        <v>1067.953795379538</v>
      </c>
      <c r="M50" s="36">
        <v>833.00396039603959</v>
      </c>
      <c r="N50" s="47">
        <f t="shared" si="98"/>
        <v>0.21999999999999997</v>
      </c>
      <c r="O50" s="48">
        <f>+'Trim Rwd'!H34</f>
        <v>267</v>
      </c>
      <c r="P50" s="49">
        <f t="shared" si="99"/>
        <v>78765</v>
      </c>
      <c r="Q50" s="48">
        <v>303</v>
      </c>
      <c r="R50" s="499">
        <v>0</v>
      </c>
      <c r="S50" s="499">
        <v>8</v>
      </c>
      <c r="T50" s="38">
        <f t="shared" si="100"/>
        <v>11.119490810999999</v>
      </c>
      <c r="U50" s="38">
        <f t="shared" si="101"/>
        <v>10.82590689519802</v>
      </c>
      <c r="V50" s="38">
        <f t="shared" si="102"/>
        <v>0.29826997199999999</v>
      </c>
      <c r="W50" s="38">
        <f>+'9'!K15/1000</f>
        <v>10.954000000000001</v>
      </c>
      <c r="X50" s="39"/>
      <c r="Y50" s="212"/>
      <c r="Z50" s="38"/>
      <c r="AA50" s="38"/>
      <c r="AB50" s="38"/>
      <c r="AC50" s="38">
        <f>K50-T50</f>
        <v>0.17748437850000265</v>
      </c>
      <c r="AD50" s="38">
        <f t="shared" si="103"/>
        <v>18</v>
      </c>
      <c r="AE50" s="231" t="s">
        <v>552</v>
      </c>
      <c r="AF50" s="34"/>
      <c r="AG50" s="34"/>
      <c r="AH50" s="34">
        <v>18</v>
      </c>
      <c r="AJ50" s="38"/>
      <c r="AK50" s="38"/>
      <c r="AL50" s="38"/>
      <c r="AM50" s="38">
        <f t="shared" si="104"/>
        <v>18</v>
      </c>
      <c r="AN50" s="38"/>
      <c r="AO50" s="38"/>
      <c r="AP50" s="38"/>
      <c r="AQ50" s="38"/>
      <c r="AR50" s="38">
        <f t="shared" si="105"/>
        <v>0</v>
      </c>
      <c r="AS50" s="38"/>
      <c r="AT50" s="38"/>
      <c r="AU50" s="38"/>
      <c r="AV50" s="38"/>
      <c r="AW50" s="38"/>
      <c r="AX50" s="38"/>
      <c r="AY50" s="38"/>
      <c r="AZ50" s="38"/>
      <c r="BA50" s="38">
        <f t="shared" si="106"/>
        <v>0</v>
      </c>
      <c r="BB50" s="34"/>
      <c r="BC50" s="502"/>
      <c r="BD50" s="502"/>
      <c r="BE50" s="34"/>
      <c r="BF50" s="502"/>
    </row>
    <row r="51" spans="1:58" ht="12.95" customHeight="1">
      <c r="A51" s="41"/>
      <c r="B51" s="42" t="s">
        <v>431</v>
      </c>
      <c r="C51" s="443">
        <f t="shared" si="94"/>
        <v>7.1091820800000001</v>
      </c>
      <c r="D51" s="42" t="s">
        <v>434</v>
      </c>
      <c r="E51" s="43">
        <v>13.5</v>
      </c>
      <c r="F51" s="43">
        <v>1</v>
      </c>
      <c r="G51" s="498">
        <v>1345</v>
      </c>
      <c r="H51" s="45">
        <f t="shared" si="95"/>
        <v>0.22999999999999998</v>
      </c>
      <c r="I51" s="46">
        <v>0.88</v>
      </c>
      <c r="J51" s="83">
        <f t="shared" si="96"/>
        <v>55.164518640000004</v>
      </c>
      <c r="K51" s="83">
        <f t="shared" si="97"/>
        <v>7.9682082480000007</v>
      </c>
      <c r="L51" s="36">
        <v>1200</v>
      </c>
      <c r="M51" s="36">
        <v>924</v>
      </c>
      <c r="N51" s="47">
        <f t="shared" si="98"/>
        <v>0.22999999999999998</v>
      </c>
      <c r="O51" s="48">
        <f>+'Trim Rwd'!H35</f>
        <v>274</v>
      </c>
      <c r="P51" s="49">
        <f t="shared" si="99"/>
        <v>55074</v>
      </c>
      <c r="Q51" s="48">
        <v>208</v>
      </c>
      <c r="R51" s="499">
        <v>0</v>
      </c>
      <c r="S51" s="499">
        <f>37-S48-S49-S50</f>
        <v>7</v>
      </c>
      <c r="T51" s="38">
        <f t="shared" si="100"/>
        <v>7.1091820800000001</v>
      </c>
      <c r="U51" s="38">
        <f t="shared" si="101"/>
        <v>6.8699307599999999</v>
      </c>
      <c r="V51" s="38">
        <f t="shared" si="102"/>
        <v>0.26816085449999999</v>
      </c>
      <c r="W51" s="38">
        <f>+'9'!K7/1000</f>
        <v>2.6030000000000002</v>
      </c>
      <c r="X51" s="39"/>
      <c r="Y51" s="212"/>
      <c r="Z51" s="38"/>
      <c r="AA51" s="38"/>
      <c r="AB51" s="38"/>
      <c r="AC51" s="38">
        <f>K51-T51</f>
        <v>0.85902616800000065</v>
      </c>
      <c r="AD51" s="38">
        <f t="shared" si="103"/>
        <v>10</v>
      </c>
      <c r="AE51" s="234" t="s">
        <v>228</v>
      </c>
      <c r="AF51" s="38"/>
      <c r="AG51" s="38"/>
      <c r="AH51" s="38"/>
      <c r="AI51" s="501">
        <v>10</v>
      </c>
      <c r="AJ51" s="38"/>
      <c r="AK51" s="38"/>
      <c r="AL51" s="38"/>
      <c r="AM51" s="38">
        <f t="shared" si="104"/>
        <v>10</v>
      </c>
      <c r="AN51" s="38"/>
      <c r="AO51" s="38"/>
      <c r="AP51" s="38"/>
      <c r="AQ51" s="38"/>
      <c r="AR51" s="38">
        <f t="shared" si="105"/>
        <v>0</v>
      </c>
      <c r="AS51" s="38"/>
      <c r="AT51" s="38"/>
      <c r="AU51" s="38"/>
      <c r="AV51" s="38"/>
      <c r="AW51" s="38"/>
      <c r="AX51" s="38"/>
      <c r="AY51" s="38"/>
      <c r="AZ51" s="38"/>
      <c r="BA51" s="38">
        <f t="shared" si="106"/>
        <v>0</v>
      </c>
      <c r="BB51" s="51"/>
      <c r="BC51" s="52"/>
      <c r="BD51" s="52"/>
      <c r="BE51" s="51"/>
      <c r="BF51" s="52"/>
    </row>
    <row r="52" spans="1:58" ht="12.95" customHeight="1">
      <c r="A52" s="41"/>
      <c r="B52" s="42"/>
      <c r="C52" s="443"/>
      <c r="D52" s="42"/>
      <c r="E52" s="43"/>
      <c r="F52" s="43"/>
      <c r="G52" s="44"/>
      <c r="H52" s="44"/>
      <c r="I52" s="46"/>
      <c r="J52" s="83"/>
      <c r="K52" s="83"/>
      <c r="L52" s="36"/>
      <c r="M52" s="36"/>
      <c r="N52" s="47"/>
      <c r="O52" s="48"/>
      <c r="P52" s="49"/>
      <c r="Q52" s="48"/>
      <c r="R52" s="499"/>
      <c r="S52" s="499"/>
      <c r="T52" s="38"/>
      <c r="U52" s="38"/>
      <c r="V52" s="38"/>
      <c r="W52" s="38"/>
      <c r="X52" s="39"/>
      <c r="Y52" s="212"/>
      <c r="Z52" s="38"/>
      <c r="AA52" s="38"/>
      <c r="AB52" s="38"/>
      <c r="AC52" s="38"/>
      <c r="AD52" s="38"/>
      <c r="AE52" s="231"/>
      <c r="AF52" s="38"/>
      <c r="AG52" s="38"/>
      <c r="AH52" s="38"/>
      <c r="AI52" s="501"/>
      <c r="AJ52" s="38"/>
      <c r="AK52" s="38"/>
      <c r="AL52" s="38"/>
      <c r="AM52" s="38"/>
      <c r="AN52" s="84"/>
      <c r="AO52" s="38"/>
      <c r="AP52" s="38"/>
      <c r="AQ52" s="38"/>
      <c r="AR52" s="38"/>
      <c r="AS52" s="38"/>
      <c r="AT52" s="38"/>
      <c r="AU52" s="38"/>
      <c r="AV52" s="38"/>
      <c r="AW52" s="38"/>
      <c r="AX52" s="38"/>
      <c r="AY52" s="38"/>
      <c r="AZ52" s="38"/>
      <c r="BA52" s="38"/>
      <c r="BB52" s="51"/>
      <c r="BC52" s="52"/>
      <c r="BD52" s="52"/>
      <c r="BE52" s="34"/>
      <c r="BF52" s="52"/>
    </row>
    <row r="53" spans="1:58" ht="12.95" customHeight="1">
      <c r="A53" s="41">
        <v>45971</v>
      </c>
      <c r="B53" s="42" t="s">
        <v>431</v>
      </c>
      <c r="C53" s="443">
        <f t="shared" ref="C53" si="107">(M53*E53*O53*Q53)/100000000</f>
        <v>53.455580640000008</v>
      </c>
      <c r="D53" s="42" t="s">
        <v>434</v>
      </c>
      <c r="E53" s="43">
        <v>13.5</v>
      </c>
      <c r="F53" s="43">
        <v>1</v>
      </c>
      <c r="G53" s="498">
        <v>1345</v>
      </c>
      <c r="H53" s="45">
        <f t="shared" ref="H53" si="108">+N53</f>
        <v>0.22999999999999987</v>
      </c>
      <c r="I53" s="46">
        <v>0.88</v>
      </c>
      <c r="J53" s="83">
        <f t="shared" ref="J53" si="109">E53*G53*(1-H53)*1440/1000000*2.74</f>
        <v>55.164518640000018</v>
      </c>
      <c r="K53" s="83">
        <f t="shared" ref="K53" si="110">(IF(G53&lt;L53,L53,G53)*(1-IF(H53&lt;N53,H53,N53))*E53*O53*Q53)/100000000</f>
        <v>55.164518640000011</v>
      </c>
      <c r="L53" s="36">
        <v>1303.3333333333333</v>
      </c>
      <c r="M53" s="36">
        <v>1003.5666666666667</v>
      </c>
      <c r="N53" s="47">
        <f t="shared" ref="N53" si="111">1-(M53/L53)</f>
        <v>0.22999999999999987</v>
      </c>
      <c r="O53" s="48">
        <f>+'Trim Rwd'!H37</f>
        <v>274</v>
      </c>
      <c r="P53" s="49">
        <f t="shared" ref="P53" si="112">O53*(Q53-R53-S53)</f>
        <v>383600</v>
      </c>
      <c r="Q53" s="48">
        <v>1440</v>
      </c>
      <c r="R53" s="499">
        <v>0</v>
      </c>
      <c r="S53" s="499">
        <v>40</v>
      </c>
      <c r="T53" s="38">
        <f t="shared" ref="T53" si="113">E53*M53*O53*Q53/100000000</f>
        <v>53.455580640000008</v>
      </c>
      <c r="U53" s="38">
        <f t="shared" ref="U53" si="114">E53*M53*O53*(Q53-R53-S53)/100000000</f>
        <v>51.970703400000012</v>
      </c>
      <c r="V53" s="38">
        <f t="shared" ref="V53" si="115">E53*G53*(1-N53)*O53/100*(R53+S53)/1000000</f>
        <v>1.5323477400000003</v>
      </c>
      <c r="W53" s="38">
        <f>+'10'!K7/1000</f>
        <v>51.182000000000002</v>
      </c>
      <c r="X53" s="500">
        <f>SUM(W53:W56)/SUM(K53:K56)</f>
        <v>0.92780651878810616</v>
      </c>
      <c r="Y53" s="212">
        <f>+SUM(RBP!AG44:AG45)</f>
        <v>0</v>
      </c>
      <c r="Z53" s="38">
        <v>0</v>
      </c>
      <c r="AA53" s="50">
        <f>SUM(U53:U56)-SUM(W53:W56)-SUM(Z53:Z56)-SUM(Y53:Y56)</f>
        <v>0.78870340000000994</v>
      </c>
      <c r="AB53" s="50">
        <f>(SUM(K53:K56)-SUM(W53:W56)-SUM(Y53:Y56)-SUM(Z53:Z56)-SUM(AC53:AC56)-SUM(V53:V56))-AA53</f>
        <v>-4.7470500000004412E-2</v>
      </c>
      <c r="AC53" s="38">
        <f>K53-T53</f>
        <v>1.7089380000000034</v>
      </c>
      <c r="AD53" s="38">
        <f>+AM53+BA53</f>
        <v>0</v>
      </c>
      <c r="AE53" s="231" t="s">
        <v>390</v>
      </c>
      <c r="AF53" s="38">
        <v>0</v>
      </c>
      <c r="AG53" s="38"/>
      <c r="AH53" s="38"/>
      <c r="AI53" s="501"/>
      <c r="AJ53" s="38"/>
      <c r="AK53" s="38"/>
      <c r="AL53" s="38"/>
      <c r="AM53" s="38">
        <f>SUM(AF53:AL53)+AT53</f>
        <v>0</v>
      </c>
      <c r="AN53" s="38"/>
      <c r="AO53" s="38"/>
      <c r="AP53" s="38"/>
      <c r="AQ53" s="38"/>
      <c r="AR53" s="38">
        <f>SUM(AN53:AQ53)</f>
        <v>0</v>
      </c>
      <c r="AS53" s="38"/>
      <c r="AT53" s="38"/>
      <c r="AU53" s="38"/>
      <c r="AV53" s="38"/>
      <c r="AW53" s="38"/>
      <c r="AX53" s="38"/>
      <c r="AY53" s="38"/>
      <c r="AZ53" s="38"/>
      <c r="BA53" s="38">
        <f>+AR53+AS53+AU53+AV53+AX53</f>
        <v>0</v>
      </c>
      <c r="BB53" s="34">
        <v>0</v>
      </c>
      <c r="BC53" s="52"/>
      <c r="BD53" s="52"/>
      <c r="BE53" s="34"/>
      <c r="BF53" s="52"/>
    </row>
    <row r="54" spans="1:58" ht="12.95" customHeight="1">
      <c r="A54" s="41"/>
      <c r="B54" s="42"/>
      <c r="C54" s="443"/>
      <c r="D54" s="42"/>
      <c r="E54" s="43"/>
      <c r="F54" s="43"/>
      <c r="G54" s="498"/>
      <c r="H54" s="45"/>
      <c r="I54" s="46"/>
      <c r="J54" s="83"/>
      <c r="K54" s="83"/>
      <c r="L54" s="36"/>
      <c r="M54" s="36"/>
      <c r="N54" s="47"/>
      <c r="O54" s="48"/>
      <c r="P54" s="49"/>
      <c r="Q54" s="48"/>
      <c r="R54" s="499"/>
      <c r="S54" s="499"/>
      <c r="T54" s="38"/>
      <c r="U54" s="38"/>
      <c r="V54" s="38"/>
      <c r="W54" s="38"/>
      <c r="X54" s="39"/>
      <c r="Y54" s="212"/>
      <c r="Z54" s="38"/>
      <c r="AA54" s="38"/>
      <c r="AB54" s="38"/>
      <c r="AC54" s="38">
        <f>K54-T54</f>
        <v>0</v>
      </c>
      <c r="AD54" s="38">
        <f t="shared" ref="AD54:AD56" si="116">+AM54+BA54</f>
        <v>11</v>
      </c>
      <c r="AE54" s="231" t="s">
        <v>435</v>
      </c>
      <c r="AF54" s="38"/>
      <c r="AG54" s="38">
        <v>11</v>
      </c>
      <c r="AH54" s="38"/>
      <c r="AI54" s="501"/>
      <c r="AJ54" s="38"/>
      <c r="AK54" s="38"/>
      <c r="AL54" s="38"/>
      <c r="AM54" s="38">
        <f t="shared" ref="AM54:AM56" si="117">SUM(AF54:AL54)+AT54</f>
        <v>11</v>
      </c>
      <c r="AN54" s="84"/>
      <c r="AO54" s="38"/>
      <c r="AP54" s="38"/>
      <c r="AQ54" s="38"/>
      <c r="AR54" s="38">
        <f t="shared" ref="AR54:AR56" si="118">SUM(AN54:AQ54)</f>
        <v>0</v>
      </c>
      <c r="AS54" s="38"/>
      <c r="AT54" s="38"/>
      <c r="AU54" s="38"/>
      <c r="AV54" s="38"/>
      <c r="AW54" s="38"/>
      <c r="AX54" s="38"/>
      <c r="AY54" s="38"/>
      <c r="AZ54" s="38"/>
      <c r="BA54" s="38">
        <f t="shared" ref="BA54:BA56" si="119">+AR54+AS54+AU54+AV54+AX54</f>
        <v>0</v>
      </c>
      <c r="BB54" s="51"/>
      <c r="BC54" s="52">
        <v>11</v>
      </c>
      <c r="BD54" s="52"/>
      <c r="BE54" s="51"/>
      <c r="BF54" s="52"/>
    </row>
    <row r="55" spans="1:58" ht="12.95" customHeight="1">
      <c r="A55" s="41"/>
      <c r="B55" s="42"/>
      <c r="C55" s="443"/>
      <c r="D55" s="42"/>
      <c r="E55" s="43"/>
      <c r="F55" s="43"/>
      <c r="G55" s="44"/>
      <c r="H55" s="45"/>
      <c r="I55" s="46"/>
      <c r="J55" s="83"/>
      <c r="K55" s="83"/>
      <c r="L55" s="36"/>
      <c r="M55" s="36"/>
      <c r="N55" s="47"/>
      <c r="O55" s="48"/>
      <c r="P55" s="49"/>
      <c r="Q55" s="48"/>
      <c r="R55" s="499"/>
      <c r="S55" s="499"/>
      <c r="T55" s="38"/>
      <c r="U55" s="38"/>
      <c r="V55" s="38"/>
      <c r="W55" s="38"/>
      <c r="X55" s="39"/>
      <c r="Y55" s="212"/>
      <c r="Z55" s="38"/>
      <c r="AA55" s="38"/>
      <c r="AB55" s="38"/>
      <c r="AC55" s="38"/>
      <c r="AD55" s="38">
        <f t="shared" si="116"/>
        <v>19</v>
      </c>
      <c r="AE55" s="231" t="s">
        <v>566</v>
      </c>
      <c r="AF55" s="34"/>
      <c r="AG55" s="34"/>
      <c r="AH55" s="34">
        <v>19</v>
      </c>
      <c r="AJ55" s="38"/>
      <c r="AK55" s="38"/>
      <c r="AL55" s="38"/>
      <c r="AM55" s="38">
        <f t="shared" si="117"/>
        <v>19</v>
      </c>
      <c r="AN55" s="38"/>
      <c r="AO55" s="38"/>
      <c r="AP55" s="38"/>
      <c r="AQ55" s="38"/>
      <c r="AR55" s="38">
        <f t="shared" si="118"/>
        <v>0</v>
      </c>
      <c r="AS55" s="38"/>
      <c r="AT55" s="38"/>
      <c r="AU55" s="38"/>
      <c r="AV55" s="38"/>
      <c r="AW55" s="38"/>
      <c r="AX55" s="38"/>
      <c r="AY55" s="38"/>
      <c r="AZ55" s="38"/>
      <c r="BA55" s="38">
        <f t="shared" si="119"/>
        <v>0</v>
      </c>
      <c r="BB55" s="34"/>
      <c r="BC55" s="502"/>
      <c r="BD55" s="502"/>
      <c r="BE55" s="34"/>
      <c r="BF55" s="502"/>
    </row>
    <row r="56" spans="1:58" ht="12.95" customHeight="1">
      <c r="A56" s="41"/>
      <c r="B56" s="42"/>
      <c r="C56" s="443"/>
      <c r="D56" s="42"/>
      <c r="E56" s="43"/>
      <c r="F56" s="43"/>
      <c r="G56" s="44"/>
      <c r="H56" s="45"/>
      <c r="I56" s="46"/>
      <c r="J56" s="83"/>
      <c r="K56" s="83"/>
      <c r="L56" s="36"/>
      <c r="M56" s="36"/>
      <c r="N56" s="47"/>
      <c r="O56" s="48"/>
      <c r="P56" s="49"/>
      <c r="Q56" s="35"/>
      <c r="R56" s="499"/>
      <c r="S56" s="499"/>
      <c r="T56" s="38"/>
      <c r="U56" s="38"/>
      <c r="V56" s="38"/>
      <c r="W56" s="38"/>
      <c r="X56" s="39"/>
      <c r="Y56" s="212"/>
      <c r="Z56" s="38"/>
      <c r="AA56" s="38"/>
      <c r="AB56" s="38"/>
      <c r="AC56" s="38"/>
      <c r="AD56" s="38">
        <f t="shared" si="116"/>
        <v>10</v>
      </c>
      <c r="AE56" s="234" t="s">
        <v>228</v>
      </c>
      <c r="AF56" s="38"/>
      <c r="AG56" s="38"/>
      <c r="AH56" s="38"/>
      <c r="AI56" s="501">
        <v>10</v>
      </c>
      <c r="AJ56" s="38"/>
      <c r="AK56" s="38"/>
      <c r="AL56" s="38"/>
      <c r="AM56" s="38">
        <f t="shared" si="117"/>
        <v>10</v>
      </c>
      <c r="AN56" s="38"/>
      <c r="AO56" s="38"/>
      <c r="AP56" s="38"/>
      <c r="AQ56" s="38"/>
      <c r="AR56" s="38">
        <f t="shared" si="118"/>
        <v>0</v>
      </c>
      <c r="AS56" s="38"/>
      <c r="AT56" s="38"/>
      <c r="AU56" s="38"/>
      <c r="AV56" s="38"/>
      <c r="AW56" s="38"/>
      <c r="AX56" s="38"/>
      <c r="AY56" s="38"/>
      <c r="AZ56" s="38"/>
      <c r="BA56" s="38">
        <f t="shared" si="119"/>
        <v>0</v>
      </c>
      <c r="BB56" s="51"/>
      <c r="BC56" s="52"/>
      <c r="BD56" s="52"/>
      <c r="BE56" s="51"/>
      <c r="BF56" s="52"/>
    </row>
    <row r="57" spans="1:58" ht="12.95" customHeight="1">
      <c r="A57" s="41"/>
      <c r="B57" s="42"/>
      <c r="C57" s="443"/>
      <c r="D57" s="42"/>
      <c r="E57" s="43"/>
      <c r="F57" s="43"/>
      <c r="G57" s="44"/>
      <c r="H57" s="44"/>
      <c r="I57" s="46"/>
      <c r="J57" s="83"/>
      <c r="K57" s="83"/>
      <c r="L57" s="36"/>
      <c r="M57" s="36"/>
      <c r="N57" s="47"/>
      <c r="O57" s="48"/>
      <c r="P57" s="49"/>
      <c r="Q57" s="48"/>
      <c r="R57" s="499"/>
      <c r="S57" s="499"/>
      <c r="T57" s="38"/>
      <c r="U57" s="38"/>
      <c r="V57" s="38"/>
      <c r="W57" s="38"/>
      <c r="X57" s="39"/>
      <c r="Y57" s="212"/>
      <c r="Z57" s="38"/>
      <c r="AA57" s="50"/>
      <c r="AB57" s="50"/>
      <c r="AC57" s="38"/>
      <c r="AD57" s="38"/>
      <c r="AE57" s="234"/>
      <c r="AF57" s="38"/>
      <c r="AG57" s="38"/>
      <c r="AH57" s="38"/>
      <c r="AI57" s="38"/>
      <c r="AJ57" s="38"/>
      <c r="AK57" s="38"/>
      <c r="AL57" s="38"/>
      <c r="AM57" s="38"/>
      <c r="AN57" s="38"/>
      <c r="AO57" s="38"/>
      <c r="AP57" s="38"/>
      <c r="AQ57" s="38"/>
      <c r="AR57" s="38"/>
      <c r="AS57" s="38"/>
      <c r="AT57" s="38"/>
      <c r="AU57" s="38"/>
      <c r="AV57" s="38"/>
      <c r="AW57" s="38"/>
      <c r="AX57" s="38"/>
      <c r="AY57" s="38"/>
      <c r="AZ57" s="38"/>
      <c r="BA57" s="38"/>
      <c r="BB57" s="34"/>
      <c r="BC57" s="52"/>
      <c r="BD57" s="52"/>
      <c r="BE57" s="51"/>
      <c r="BF57" s="52"/>
    </row>
    <row r="58" spans="1:58" ht="12.95" customHeight="1">
      <c r="A58" s="41">
        <v>45972</v>
      </c>
      <c r="B58" s="42" t="s">
        <v>431</v>
      </c>
      <c r="C58" s="443">
        <f t="shared" ref="C58" si="120">(M58*E58*O58*Q58)/100000000</f>
        <v>53.455580640000008</v>
      </c>
      <c r="D58" s="42" t="s">
        <v>434</v>
      </c>
      <c r="E58" s="43">
        <v>13.5</v>
      </c>
      <c r="F58" s="43">
        <v>1</v>
      </c>
      <c r="G58" s="498">
        <v>1345</v>
      </c>
      <c r="H58" s="45">
        <f t="shared" ref="H58" si="121">+N58</f>
        <v>0.22999999999999987</v>
      </c>
      <c r="I58" s="46">
        <v>0.88</v>
      </c>
      <c r="J58" s="83">
        <f t="shared" ref="J58" si="122">E58*G58*(1-H58)*1440/1000000*2.74</f>
        <v>55.164518640000018</v>
      </c>
      <c r="K58" s="83">
        <f>(IF(G58&lt;L58,L58,G58)*(1-IF(H58&lt;N58,H58,N58))*E58*O58*Q58)/100000000</f>
        <v>55.164518640000011</v>
      </c>
      <c r="L58" s="36">
        <v>1303.3333333333333</v>
      </c>
      <c r="M58" s="36">
        <v>1003.5666666666667</v>
      </c>
      <c r="N58" s="47">
        <f t="shared" ref="N58" si="123">1-(M58/L58)</f>
        <v>0.22999999999999987</v>
      </c>
      <c r="O58" s="48">
        <f>+'Trim Rwd'!H40</f>
        <v>274</v>
      </c>
      <c r="P58" s="49">
        <f t="shared" ref="P58" si="124">O58*(Q58-R58-S58)</f>
        <v>380312</v>
      </c>
      <c r="Q58" s="48">
        <v>1440</v>
      </c>
      <c r="R58" s="499">
        <v>0</v>
      </c>
      <c r="S58" s="499">
        <v>52</v>
      </c>
      <c r="T58" s="38">
        <f t="shared" ref="T58" si="125">E58*M58*O58*Q58/100000000</f>
        <v>53.455580640000008</v>
      </c>
      <c r="U58" s="38">
        <f t="shared" ref="U58" si="126">E58*M58*O58*(Q58-R58-S58)/100000000</f>
        <v>51.525240228000008</v>
      </c>
      <c r="V58" s="38">
        <f t="shared" ref="V58" si="127">E58*G58*(1-N58)*O58/100*(R58+S58)/1000000</f>
        <v>1.9920520620000004</v>
      </c>
      <c r="W58" s="38">
        <f>+'11'!K7/1000</f>
        <v>50.652999999999999</v>
      </c>
      <c r="X58" s="500">
        <f>SUM(W58:W61)/SUM(K58:K61)</f>
        <v>0.91821702153440543</v>
      </c>
      <c r="Y58" s="212">
        <f>+SUM(RBP!AG49:AG50)</f>
        <v>0</v>
      </c>
      <c r="Z58" s="38">
        <v>0</v>
      </c>
      <c r="AA58" s="50">
        <f>SUM(U58:U61)-SUM(W58:W61)-SUM(Z58:Z61)-SUM(Y58:Y61)</f>
        <v>0.87224022800000967</v>
      </c>
      <c r="AB58" s="50">
        <f>(SUM(K58:K61)-SUM(W58:W61)-SUM(Y58:Y61)-SUM(Z58:Z61)-SUM(AC58:AC61)-SUM(V58:V61))-AA58</f>
        <v>-6.1711650000000784E-2</v>
      </c>
      <c r="AC58" s="38">
        <f>K58-T58</f>
        <v>1.7089380000000034</v>
      </c>
      <c r="AD58" s="38">
        <f>+AM58+BA58</f>
        <v>0</v>
      </c>
      <c r="AE58" s="231" t="s">
        <v>390</v>
      </c>
      <c r="AF58" s="38">
        <v>0</v>
      </c>
      <c r="AG58" s="38"/>
      <c r="AH58" s="38"/>
      <c r="AI58" s="501"/>
      <c r="AJ58" s="38"/>
      <c r="AK58" s="38"/>
      <c r="AL58" s="38"/>
      <c r="AM58" s="38">
        <f>SUM(AF58:AL58)+AT58</f>
        <v>0</v>
      </c>
      <c r="AN58" s="38"/>
      <c r="AO58" s="38"/>
      <c r="AP58" s="38"/>
      <c r="AQ58" s="38"/>
      <c r="AR58" s="38">
        <f>SUM(AN58:AQ58)</f>
        <v>0</v>
      </c>
      <c r="AS58" s="38"/>
      <c r="AT58" s="38"/>
      <c r="AU58" s="38"/>
      <c r="AV58" s="38"/>
      <c r="AW58" s="38"/>
      <c r="AX58" s="38"/>
      <c r="AY58" s="38"/>
      <c r="AZ58" s="38"/>
      <c r="BA58" s="38">
        <f>+AR58+AS58+AU58+AV58+AX58</f>
        <v>0</v>
      </c>
      <c r="BB58" s="34">
        <v>0</v>
      </c>
      <c r="BC58" s="52"/>
      <c r="BD58" s="52"/>
      <c r="BE58" s="34"/>
      <c r="BF58" s="52"/>
    </row>
    <row r="59" spans="1:58" ht="12.95" customHeight="1">
      <c r="A59" s="41"/>
      <c r="B59" s="42"/>
      <c r="C59" s="443"/>
      <c r="D59" s="42"/>
      <c r="E59" s="43"/>
      <c r="F59" s="43"/>
      <c r="G59" s="498"/>
      <c r="H59" s="45"/>
      <c r="I59" s="46"/>
      <c r="J59" s="83"/>
      <c r="K59" s="83"/>
      <c r="L59" s="36"/>
      <c r="M59" s="36"/>
      <c r="N59" s="47"/>
      <c r="O59" s="48"/>
      <c r="P59" s="49"/>
      <c r="Q59" s="48"/>
      <c r="R59" s="499"/>
      <c r="S59" s="499"/>
      <c r="T59" s="38"/>
      <c r="U59" s="38"/>
      <c r="V59" s="38"/>
      <c r="W59" s="38"/>
      <c r="X59" s="39"/>
      <c r="Y59" s="212"/>
      <c r="Z59" s="38"/>
      <c r="AA59" s="38"/>
      <c r="AB59" s="38"/>
      <c r="AC59" s="38">
        <f>K59-T59</f>
        <v>0</v>
      </c>
      <c r="AD59" s="38">
        <f t="shared" ref="AD59:AD61" si="128">+AM59+BA59</f>
        <v>12</v>
      </c>
      <c r="AE59" s="231" t="s">
        <v>570</v>
      </c>
      <c r="AF59" s="38"/>
      <c r="AG59" s="38">
        <v>12</v>
      </c>
      <c r="AH59" s="38"/>
      <c r="AI59" s="501"/>
      <c r="AJ59" s="38"/>
      <c r="AK59" s="38"/>
      <c r="AL59" s="38"/>
      <c r="AM59" s="38">
        <f t="shared" ref="AM59:AM61" si="129">SUM(AF59:AL59)+AT59</f>
        <v>12</v>
      </c>
      <c r="AN59" s="84"/>
      <c r="AO59" s="38"/>
      <c r="AP59" s="38"/>
      <c r="AQ59" s="38"/>
      <c r="AR59" s="38">
        <f t="shared" ref="AR59:AR61" si="130">SUM(AN59:AQ59)</f>
        <v>0</v>
      </c>
      <c r="AS59" s="38"/>
      <c r="AT59" s="38"/>
      <c r="AU59" s="38"/>
      <c r="AV59" s="38"/>
      <c r="AW59" s="38"/>
      <c r="AX59" s="38"/>
      <c r="AY59" s="38"/>
      <c r="AZ59" s="38"/>
      <c r="BA59" s="38">
        <f t="shared" ref="BA59:BA61" si="131">+AR59+AS59+AU59+AV59+AX59</f>
        <v>0</v>
      </c>
      <c r="BB59" s="51"/>
      <c r="BC59" s="52">
        <v>9</v>
      </c>
      <c r="BD59" s="52"/>
      <c r="BE59" s="51"/>
      <c r="BF59" s="52"/>
    </row>
    <row r="60" spans="1:58" ht="12.95" customHeight="1">
      <c r="A60" s="41"/>
      <c r="B60" s="42"/>
      <c r="C60" s="443"/>
      <c r="D60" s="42"/>
      <c r="E60" s="43"/>
      <c r="F60" s="43"/>
      <c r="G60" s="44"/>
      <c r="H60" s="45"/>
      <c r="I60" s="46"/>
      <c r="J60" s="83"/>
      <c r="K60" s="83"/>
      <c r="L60" s="36"/>
      <c r="M60" s="36"/>
      <c r="N60" s="47"/>
      <c r="O60" s="48"/>
      <c r="P60" s="49"/>
      <c r="Q60" s="48"/>
      <c r="R60" s="499"/>
      <c r="S60" s="499"/>
      <c r="T60" s="38"/>
      <c r="U60" s="38"/>
      <c r="V60" s="38"/>
      <c r="W60" s="38"/>
      <c r="X60" s="39"/>
      <c r="Y60" s="212"/>
      <c r="Z60" s="38"/>
      <c r="AA60" s="38"/>
      <c r="AB60" s="38"/>
      <c r="AC60" s="38"/>
      <c r="AD60" s="38">
        <f t="shared" si="128"/>
        <v>22</v>
      </c>
      <c r="AE60" s="231" t="s">
        <v>571</v>
      </c>
      <c r="AF60" s="34"/>
      <c r="AG60" s="34"/>
      <c r="AH60" s="34">
        <v>22</v>
      </c>
      <c r="AJ60" s="38"/>
      <c r="AK60" s="38"/>
      <c r="AL60" s="38"/>
      <c r="AM60" s="38">
        <f t="shared" si="129"/>
        <v>22</v>
      </c>
      <c r="AN60" s="38"/>
      <c r="AO60" s="38"/>
      <c r="AP60" s="38"/>
      <c r="AQ60" s="38"/>
      <c r="AR60" s="38">
        <f t="shared" si="130"/>
        <v>0</v>
      </c>
      <c r="AS60" s="38"/>
      <c r="AT60" s="38"/>
      <c r="AU60" s="38"/>
      <c r="AV60" s="38"/>
      <c r="AW60" s="38"/>
      <c r="AX60" s="38"/>
      <c r="AY60" s="38"/>
      <c r="AZ60" s="38"/>
      <c r="BA60" s="38">
        <f t="shared" si="131"/>
        <v>0</v>
      </c>
      <c r="BB60" s="34"/>
      <c r="BC60" s="502"/>
      <c r="BD60" s="502"/>
      <c r="BE60" s="34"/>
      <c r="BF60" s="502"/>
    </row>
    <row r="61" spans="1:58" ht="12.95" customHeight="1">
      <c r="A61" s="41"/>
      <c r="B61" s="42"/>
      <c r="C61" s="443"/>
      <c r="D61" s="42"/>
      <c r="E61" s="43"/>
      <c r="F61" s="43"/>
      <c r="G61" s="44"/>
      <c r="H61" s="45"/>
      <c r="I61" s="46"/>
      <c r="J61" s="83"/>
      <c r="K61" s="83"/>
      <c r="L61" s="36"/>
      <c r="M61" s="36"/>
      <c r="N61" s="47"/>
      <c r="O61" s="48"/>
      <c r="P61" s="49"/>
      <c r="Q61" s="35"/>
      <c r="R61" s="499"/>
      <c r="S61" s="499"/>
      <c r="T61" s="38"/>
      <c r="U61" s="38"/>
      <c r="V61" s="38"/>
      <c r="W61" s="38"/>
      <c r="X61" s="39"/>
      <c r="Y61" s="212"/>
      <c r="Z61" s="38"/>
      <c r="AA61" s="38"/>
      <c r="AB61" s="38"/>
      <c r="AC61" s="38"/>
      <c r="AD61" s="38">
        <f t="shared" si="128"/>
        <v>18</v>
      </c>
      <c r="AE61" s="234" t="s">
        <v>228</v>
      </c>
      <c r="AF61" s="38"/>
      <c r="AG61" s="38"/>
      <c r="AH61" s="38"/>
      <c r="AI61" s="501">
        <v>18</v>
      </c>
      <c r="AJ61" s="38"/>
      <c r="AK61" s="38"/>
      <c r="AL61" s="38"/>
      <c r="AM61" s="38">
        <f t="shared" si="129"/>
        <v>18</v>
      </c>
      <c r="AN61" s="38"/>
      <c r="AO61" s="38"/>
      <c r="AP61" s="38"/>
      <c r="AQ61" s="38"/>
      <c r="AR61" s="38">
        <f t="shared" si="130"/>
        <v>0</v>
      </c>
      <c r="AS61" s="38"/>
      <c r="AT61" s="38"/>
      <c r="AU61" s="38"/>
      <c r="AV61" s="38"/>
      <c r="AW61" s="38"/>
      <c r="AX61" s="38"/>
      <c r="AY61" s="38"/>
      <c r="AZ61" s="38"/>
      <c r="BA61" s="38">
        <f t="shared" si="131"/>
        <v>0</v>
      </c>
      <c r="BB61" s="51"/>
      <c r="BC61" s="52"/>
      <c r="BD61" s="52"/>
      <c r="BE61" s="51"/>
      <c r="BF61" s="52"/>
    </row>
    <row r="62" spans="1:58" ht="12.95" customHeight="1">
      <c r="A62" s="41"/>
      <c r="B62" s="42"/>
      <c r="C62" s="443"/>
      <c r="D62" s="42"/>
      <c r="E62" s="43"/>
      <c r="F62" s="43"/>
      <c r="G62" s="44"/>
      <c r="H62" s="44"/>
      <c r="I62" s="46"/>
      <c r="J62" s="83"/>
      <c r="K62" s="83"/>
      <c r="L62" s="36"/>
      <c r="M62" s="36"/>
      <c r="N62" s="47"/>
      <c r="O62" s="48"/>
      <c r="P62" s="49"/>
      <c r="Q62" s="48"/>
      <c r="R62" s="499"/>
      <c r="S62" s="499"/>
      <c r="T62" s="38"/>
      <c r="U62" s="38"/>
      <c r="V62" s="38"/>
      <c r="W62" s="38"/>
      <c r="X62" s="39"/>
      <c r="Y62" s="212"/>
      <c r="Z62" s="38"/>
      <c r="AA62" s="50"/>
      <c r="AB62" s="50"/>
      <c r="AC62" s="38"/>
      <c r="AD62" s="38"/>
      <c r="AE62" s="234"/>
      <c r="AF62" s="38"/>
      <c r="AG62" s="38"/>
      <c r="AH62" s="38"/>
      <c r="AI62" s="38"/>
      <c r="AJ62" s="38"/>
      <c r="AK62" s="38"/>
      <c r="AL62" s="38"/>
      <c r="AM62" s="38"/>
      <c r="AN62" s="38"/>
      <c r="AO62" s="38"/>
      <c r="AP62" s="38"/>
      <c r="AQ62" s="38"/>
      <c r="AR62" s="38"/>
      <c r="AS62" s="38"/>
      <c r="AT62" s="38"/>
      <c r="AU62" s="38"/>
      <c r="AV62" s="38"/>
      <c r="AW62" s="38"/>
      <c r="AX62" s="38"/>
      <c r="AY62" s="38"/>
      <c r="AZ62" s="38"/>
      <c r="BA62" s="38"/>
      <c r="BB62" s="34"/>
      <c r="BC62" s="52"/>
      <c r="BD62" s="52"/>
      <c r="BE62" s="51"/>
      <c r="BF62" s="52"/>
    </row>
    <row r="63" spans="1:58" ht="12.95" customHeight="1">
      <c r="A63" s="41">
        <v>45973</v>
      </c>
      <c r="B63" s="42" t="s">
        <v>431</v>
      </c>
      <c r="C63" s="443">
        <f t="shared" ref="C63" si="132">(M63*E63*O63*Q63)/100000000</f>
        <v>53.318865600000002</v>
      </c>
      <c r="D63" s="42" t="s">
        <v>434</v>
      </c>
      <c r="E63" s="43">
        <v>13.5</v>
      </c>
      <c r="F63" s="43">
        <v>1</v>
      </c>
      <c r="G63" s="498">
        <v>1345</v>
      </c>
      <c r="H63" s="45">
        <f t="shared" ref="H63" si="133">+N63</f>
        <v>0.22999999999999998</v>
      </c>
      <c r="I63" s="46">
        <v>0.88</v>
      </c>
      <c r="J63" s="83">
        <f t="shared" ref="J63" si="134">E63*G63*(1-H63)*1440/1000000*2.74</f>
        <v>55.164518640000004</v>
      </c>
      <c r="K63" s="83">
        <f>(IF(G63&lt;L63,L63,G63)*(1-IF(H63&lt;N63,H63,N63))*E63*O63*Q63)/100000000</f>
        <v>55.164518640000011</v>
      </c>
      <c r="L63" s="36">
        <v>1300</v>
      </c>
      <c r="M63" s="36">
        <v>1001</v>
      </c>
      <c r="N63" s="47">
        <f t="shared" ref="N63" si="135">1-(M63/L63)</f>
        <v>0.22999999999999998</v>
      </c>
      <c r="O63" s="48">
        <f>+'Trim Rwd'!H42</f>
        <v>274</v>
      </c>
      <c r="P63" s="49">
        <f t="shared" ref="P63" si="136">O63*(Q63-R63-S63)</f>
        <v>377572</v>
      </c>
      <c r="Q63" s="48">
        <v>1440</v>
      </c>
      <c r="R63" s="499">
        <v>0</v>
      </c>
      <c r="S63" s="499">
        <v>62</v>
      </c>
      <c r="T63" s="38">
        <f t="shared" ref="T63" si="137">E63*M63*O63*Q63/100000000</f>
        <v>53.318865600000002</v>
      </c>
      <c r="U63" s="38">
        <f t="shared" ref="U63" si="138">E63*M63*O63*(Q63-R63-S63)/100000000</f>
        <v>51.023192219999999</v>
      </c>
      <c r="V63" s="38">
        <f t="shared" ref="V63" si="139">E63*G63*(1-N63)*O63/100*(R63+S63)/1000000</f>
        <v>2.3751389970000001</v>
      </c>
      <c r="W63" s="38">
        <f>+'12'!K7/1000</f>
        <v>49.13</v>
      </c>
      <c r="X63" s="500">
        <f>SUM(W63:W66)/SUM(K63:K66)</f>
        <v>0.89060869579265478</v>
      </c>
      <c r="Y63" s="212">
        <f>+SUM(RBP!AG54:AG55)</f>
        <v>0</v>
      </c>
      <c r="Z63" s="38">
        <f>+'12'!D25/1000</f>
        <v>0.68</v>
      </c>
      <c r="AA63" s="50">
        <f>SUM(U63:U66)-SUM(W63:W66)-SUM(Z63:Z66)-SUM(Y63:Y66)</f>
        <v>1.2131922199999958</v>
      </c>
      <c r="AB63" s="50">
        <f>(SUM(K63:K66)-SUM(W63:W66)-SUM(Y63:Y66)-SUM(Z63:Z66)-SUM(AC63:AC66)-SUM(V63:V66))-AA63</f>
        <v>-7.9465616999995881E-2</v>
      </c>
      <c r="AC63" s="38">
        <f>K63-T63</f>
        <v>1.8456530400000091</v>
      </c>
      <c r="AD63" s="38">
        <f>+AM63+BA63</f>
        <v>0</v>
      </c>
      <c r="AE63" s="231" t="s">
        <v>390</v>
      </c>
      <c r="AF63" s="38">
        <v>0</v>
      </c>
      <c r="AG63" s="38"/>
      <c r="AH63" s="38"/>
      <c r="AI63" s="501"/>
      <c r="AJ63" s="38"/>
      <c r="AK63" s="38"/>
      <c r="AL63" s="38"/>
      <c r="AM63" s="38">
        <f>SUM(AF63:AL63)+AT63</f>
        <v>0</v>
      </c>
      <c r="AN63" s="38"/>
      <c r="AO63" s="38"/>
      <c r="AP63" s="38"/>
      <c r="AQ63" s="38"/>
      <c r="AR63" s="38">
        <f>SUM(AN63:AQ63)</f>
        <v>0</v>
      </c>
      <c r="AS63" s="38"/>
      <c r="AT63" s="38"/>
      <c r="AU63" s="38"/>
      <c r="AV63" s="38"/>
      <c r="AW63" s="38"/>
      <c r="AX63" s="38"/>
      <c r="AY63" s="38"/>
      <c r="AZ63" s="38"/>
      <c r="BA63" s="38">
        <f>+AR63+AS63+AU63+AV63+AX63</f>
        <v>0</v>
      </c>
      <c r="BB63" s="34">
        <v>0</v>
      </c>
      <c r="BC63" s="52"/>
      <c r="BD63" s="52"/>
      <c r="BE63" s="34"/>
      <c r="BF63" s="52"/>
    </row>
    <row r="64" spans="1:58" ht="12.95" customHeight="1">
      <c r="A64" s="41"/>
      <c r="B64" s="42"/>
      <c r="C64" s="443"/>
      <c r="D64" s="42"/>
      <c r="E64" s="43"/>
      <c r="F64" s="43"/>
      <c r="G64" s="498"/>
      <c r="H64" s="45"/>
      <c r="I64" s="46"/>
      <c r="J64" s="83"/>
      <c r="K64" s="83"/>
      <c r="L64" s="36"/>
      <c r="M64" s="36"/>
      <c r="N64" s="47"/>
      <c r="O64" s="48"/>
      <c r="P64" s="49"/>
      <c r="Q64" s="48"/>
      <c r="R64" s="499"/>
      <c r="S64" s="499"/>
      <c r="T64" s="38"/>
      <c r="U64" s="38"/>
      <c r="V64" s="38"/>
      <c r="W64" s="38"/>
      <c r="X64" s="39"/>
      <c r="Y64" s="212"/>
      <c r="Z64" s="38"/>
      <c r="AA64" s="38"/>
      <c r="AB64" s="38"/>
      <c r="AC64" s="38">
        <f>K64-T64</f>
        <v>0</v>
      </c>
      <c r="AD64" s="38">
        <f t="shared" ref="AD64:AD66" si="140">+AM64+BA64</f>
        <v>19</v>
      </c>
      <c r="AE64" s="231" t="s">
        <v>525</v>
      </c>
      <c r="AF64" s="38"/>
      <c r="AG64" s="38">
        <v>19</v>
      </c>
      <c r="AH64" s="38"/>
      <c r="AI64" s="501"/>
      <c r="AJ64" s="38"/>
      <c r="AK64" s="38"/>
      <c r="AL64" s="38"/>
      <c r="AM64" s="38">
        <f t="shared" ref="AM64:AM66" si="141">SUM(AF64:AL64)+AT64</f>
        <v>19</v>
      </c>
      <c r="AN64" s="84"/>
      <c r="AO64" s="38"/>
      <c r="AP64" s="38"/>
      <c r="AQ64" s="38"/>
      <c r="AR64" s="38">
        <f t="shared" ref="AR64:AR66" si="142">SUM(AN64:AQ64)</f>
        <v>0</v>
      </c>
      <c r="AS64" s="38"/>
      <c r="AT64" s="38"/>
      <c r="AU64" s="38"/>
      <c r="AV64" s="38"/>
      <c r="AW64" s="38"/>
      <c r="AX64" s="38"/>
      <c r="AY64" s="38"/>
      <c r="AZ64" s="38"/>
      <c r="BA64" s="38">
        <f t="shared" ref="BA64:BA66" si="143">+AR64+AS64+AU64+AV64+AX64</f>
        <v>0</v>
      </c>
      <c r="BB64" s="51"/>
      <c r="BC64" s="52">
        <v>7</v>
      </c>
      <c r="BD64" s="52"/>
      <c r="BE64" s="51"/>
      <c r="BF64" s="52"/>
    </row>
    <row r="65" spans="1:58" ht="12.95" customHeight="1">
      <c r="A65" s="41"/>
      <c r="B65" s="42"/>
      <c r="C65" s="443"/>
      <c r="D65" s="42"/>
      <c r="E65" s="43"/>
      <c r="F65" s="43"/>
      <c r="G65" s="44"/>
      <c r="H65" s="45"/>
      <c r="I65" s="46"/>
      <c r="J65" s="83"/>
      <c r="K65" s="83"/>
      <c r="L65" s="36"/>
      <c r="M65" s="36"/>
      <c r="N65" s="47"/>
      <c r="O65" s="48"/>
      <c r="P65" s="49"/>
      <c r="Q65" s="48"/>
      <c r="R65" s="499"/>
      <c r="S65" s="499"/>
      <c r="T65" s="38"/>
      <c r="U65" s="38"/>
      <c r="V65" s="38"/>
      <c r="W65" s="38"/>
      <c r="X65" s="39"/>
      <c r="Y65" s="212"/>
      <c r="Z65" s="38"/>
      <c r="AA65" s="38"/>
      <c r="AB65" s="38"/>
      <c r="AC65" s="38"/>
      <c r="AD65" s="38">
        <f t="shared" si="140"/>
        <v>33</v>
      </c>
      <c r="AE65" s="231" t="s">
        <v>478</v>
      </c>
      <c r="AF65" s="34"/>
      <c r="AG65" s="34"/>
      <c r="AH65" s="34">
        <v>33</v>
      </c>
      <c r="AJ65" s="38"/>
      <c r="AK65" s="38"/>
      <c r="AL65" s="38"/>
      <c r="AM65" s="38">
        <f t="shared" si="141"/>
        <v>33</v>
      </c>
      <c r="AN65" s="38"/>
      <c r="AO65" s="38"/>
      <c r="AP65" s="38"/>
      <c r="AQ65" s="38"/>
      <c r="AR65" s="38">
        <f t="shared" si="142"/>
        <v>0</v>
      </c>
      <c r="AS65" s="38"/>
      <c r="AT65" s="38"/>
      <c r="AU65" s="38"/>
      <c r="AV65" s="38"/>
      <c r="AW65" s="38"/>
      <c r="AX65" s="38"/>
      <c r="AY65" s="38"/>
      <c r="AZ65" s="38"/>
      <c r="BA65" s="38">
        <f t="shared" si="143"/>
        <v>0</v>
      </c>
      <c r="BB65" s="34"/>
      <c r="BC65" s="502"/>
      <c r="BD65" s="502"/>
      <c r="BE65" s="34"/>
      <c r="BF65" s="502"/>
    </row>
    <row r="66" spans="1:58" ht="12.95" customHeight="1">
      <c r="A66" s="41"/>
      <c r="B66" s="42"/>
      <c r="C66" s="443"/>
      <c r="D66" s="42"/>
      <c r="E66" s="43"/>
      <c r="F66" s="43"/>
      <c r="G66" s="44"/>
      <c r="H66" s="45"/>
      <c r="I66" s="46"/>
      <c r="J66" s="83"/>
      <c r="K66" s="83"/>
      <c r="L66" s="36"/>
      <c r="M66" s="36"/>
      <c r="N66" s="47"/>
      <c r="O66" s="48"/>
      <c r="P66" s="49"/>
      <c r="Q66" s="35"/>
      <c r="R66" s="499"/>
      <c r="S66" s="499"/>
      <c r="T66" s="38"/>
      <c r="U66" s="38"/>
      <c r="V66" s="38"/>
      <c r="W66" s="38"/>
      <c r="X66" s="39"/>
      <c r="Y66" s="212"/>
      <c r="Z66" s="38"/>
      <c r="AA66" s="38"/>
      <c r="AB66" s="38"/>
      <c r="AC66" s="38"/>
      <c r="AD66" s="38">
        <f t="shared" si="140"/>
        <v>10</v>
      </c>
      <c r="AE66" s="234" t="s">
        <v>228</v>
      </c>
      <c r="AF66" s="38"/>
      <c r="AG66" s="38"/>
      <c r="AH66" s="38"/>
      <c r="AI66" s="501">
        <v>10</v>
      </c>
      <c r="AJ66" s="38"/>
      <c r="AK66" s="38"/>
      <c r="AL66" s="38"/>
      <c r="AM66" s="38">
        <f t="shared" si="141"/>
        <v>10</v>
      </c>
      <c r="AN66" s="38"/>
      <c r="AO66" s="38"/>
      <c r="AP66" s="38"/>
      <c r="AQ66" s="38"/>
      <c r="AR66" s="38">
        <f t="shared" si="142"/>
        <v>0</v>
      </c>
      <c r="AS66" s="38"/>
      <c r="AT66" s="38"/>
      <c r="AU66" s="38"/>
      <c r="AV66" s="38"/>
      <c r="AW66" s="38"/>
      <c r="AX66" s="38"/>
      <c r="AY66" s="38"/>
      <c r="AZ66" s="38"/>
      <c r="BA66" s="38">
        <f t="shared" si="143"/>
        <v>0</v>
      </c>
      <c r="BB66" s="51"/>
      <c r="BC66" s="52"/>
      <c r="BD66" s="52"/>
      <c r="BE66" s="51"/>
      <c r="BF66" s="52"/>
    </row>
    <row r="67" spans="1:58" ht="12.95" customHeight="1">
      <c r="A67" s="41"/>
      <c r="B67" s="42"/>
      <c r="C67" s="443"/>
      <c r="D67" s="42"/>
      <c r="E67" s="43"/>
      <c r="F67" s="43"/>
      <c r="G67" s="44"/>
      <c r="H67" s="44"/>
      <c r="I67" s="46"/>
      <c r="J67" s="83"/>
      <c r="K67" s="83"/>
      <c r="L67" s="36"/>
      <c r="M67" s="36"/>
      <c r="N67" s="47"/>
      <c r="O67" s="48"/>
      <c r="P67" s="49"/>
      <c r="Q67" s="48"/>
      <c r="R67" s="499"/>
      <c r="S67" s="499"/>
      <c r="T67" s="38"/>
      <c r="U67" s="38"/>
      <c r="V67" s="38"/>
      <c r="W67" s="38"/>
      <c r="X67" s="39"/>
      <c r="Y67" s="212"/>
      <c r="Z67" s="38"/>
      <c r="AA67" s="50"/>
      <c r="AB67" s="50"/>
      <c r="AC67" s="38"/>
      <c r="AD67" s="38"/>
      <c r="AE67" s="234"/>
      <c r="AF67" s="38"/>
      <c r="AG67" s="38"/>
      <c r="AH67" s="38"/>
      <c r="AI67" s="38"/>
      <c r="AJ67" s="38"/>
      <c r="AK67" s="38"/>
      <c r="AL67" s="38"/>
      <c r="AM67" s="38"/>
      <c r="AN67" s="38"/>
      <c r="AO67" s="38"/>
      <c r="AP67" s="38"/>
      <c r="AQ67" s="38"/>
      <c r="AR67" s="38"/>
      <c r="AS67" s="38"/>
      <c r="AT67" s="38"/>
      <c r="AU67" s="38"/>
      <c r="AV67" s="38"/>
      <c r="AW67" s="38"/>
      <c r="AX67" s="38"/>
      <c r="AY67" s="38"/>
      <c r="AZ67" s="38"/>
      <c r="BA67" s="38"/>
      <c r="BB67" s="34"/>
      <c r="BC67" s="52"/>
      <c r="BD67" s="52"/>
      <c r="BE67" s="51"/>
      <c r="BF67" s="52"/>
    </row>
    <row r="68" spans="1:58" ht="12.95" customHeight="1">
      <c r="A68" s="41">
        <v>45974</v>
      </c>
      <c r="B68" s="42" t="s">
        <v>431</v>
      </c>
      <c r="C68" s="443">
        <f t="shared" ref="C68" si="144">(M68*E68*O68*Q68)/100000000</f>
        <v>49.801276521616877</v>
      </c>
      <c r="D68" s="42" t="s">
        <v>434</v>
      </c>
      <c r="E68" s="43">
        <v>13.5</v>
      </c>
      <c r="F68" s="43">
        <v>1</v>
      </c>
      <c r="G68" s="498">
        <v>1345</v>
      </c>
      <c r="H68" s="45">
        <f t="shared" ref="H68" si="145">+N68</f>
        <v>0.22999999999999998</v>
      </c>
      <c r="I68" s="46">
        <v>0.88</v>
      </c>
      <c r="J68" s="83">
        <f t="shared" ref="J68" si="146">E68*G68*(1-H68)*1440/1000000*2.74</f>
        <v>55.164518640000004</v>
      </c>
      <c r="K68" s="83">
        <f>(IF(G68&lt;L68,L68,G68)*(1-IF(H68&lt;N68,H68,N68))*E68*O68*Q68)/100000000</f>
        <v>55.164518640000011</v>
      </c>
      <c r="L68" s="36">
        <v>1214.2355008787347</v>
      </c>
      <c r="M68" s="36">
        <v>934.96133567662571</v>
      </c>
      <c r="N68" s="47">
        <f t="shared" ref="N68" si="147">1-(M68/L68)</f>
        <v>0.22999999999999998</v>
      </c>
      <c r="O68" s="48">
        <f>+'Trim Rwd'!H44</f>
        <v>274</v>
      </c>
      <c r="P68" s="49">
        <f t="shared" ref="P68" si="148">O68*(Q68-R68-S68)</f>
        <v>298386</v>
      </c>
      <c r="Q68" s="48">
        <v>1440</v>
      </c>
      <c r="R68" s="499">
        <f>170+132</f>
        <v>302</v>
      </c>
      <c r="S68" s="499">
        <v>49</v>
      </c>
      <c r="T68" s="38">
        <f t="shared" ref="T68" si="149">E68*M68*O68*Q68/100000000</f>
        <v>49.801276521616877</v>
      </c>
      <c r="U68" s="38">
        <f t="shared" ref="U68" si="150">E68*M68*O68*(Q68-R68-S68)/100000000</f>
        <v>37.662215369472769</v>
      </c>
      <c r="V68" s="38">
        <f t="shared" ref="V68" si="151">E68*G68*(1-N68)*O68/100*(R68+S68)/1000000</f>
        <v>13.446351418500001</v>
      </c>
      <c r="W68" s="38">
        <f>+'13'!K7/1000</f>
        <v>29.459</v>
      </c>
      <c r="X68" s="500">
        <f>SUM(W68:W71)/SUM(K68:K71)</f>
        <v>0.53402079318859785</v>
      </c>
      <c r="Y68" s="212">
        <f>+SUM(RBP!AG59:AG60)</f>
        <v>0</v>
      </c>
      <c r="Z68" s="38">
        <f>+'12'!D30/1000</f>
        <v>0</v>
      </c>
      <c r="AA68" s="50">
        <f>SUM(U68:U71)-SUM(W68:W71)-SUM(Z68:Z71)-SUM(Y68:Y71)</f>
        <v>8.203215369472769</v>
      </c>
      <c r="AB68" s="50">
        <f>(SUM(K68:K71)-SUM(W68:W71)-SUM(Y68:Y71)-SUM(Z68:Z71)-SUM(AC68:AC71)-SUM(V68:V71))-AA68</f>
        <v>-1.3072902663558921</v>
      </c>
      <c r="AC68" s="38">
        <f>K68-T68</f>
        <v>5.363242118383134</v>
      </c>
      <c r="AD68" s="38">
        <f>+AM68+BA68</f>
        <v>9</v>
      </c>
      <c r="AE68" s="231" t="s">
        <v>583</v>
      </c>
      <c r="AF68" s="38">
        <v>9</v>
      </c>
      <c r="AG68" s="38"/>
      <c r="AH68" s="38"/>
      <c r="AI68" s="501"/>
      <c r="AJ68" s="38"/>
      <c r="AK68" s="38"/>
      <c r="AL68" s="38"/>
      <c r="AM68" s="38">
        <f>SUM(AF68:AL68)+AT68</f>
        <v>9</v>
      </c>
      <c r="AN68" s="38"/>
      <c r="AO68" s="38"/>
      <c r="AP68" s="38"/>
      <c r="AQ68" s="38"/>
      <c r="AR68" s="38">
        <f>SUM(AN68:AQ68)</f>
        <v>0</v>
      </c>
      <c r="AS68" s="38"/>
      <c r="AT68" s="38"/>
      <c r="AU68" s="38"/>
      <c r="AV68" s="38"/>
      <c r="AW68" s="38"/>
      <c r="AX68" s="38"/>
      <c r="AY68" s="38"/>
      <c r="AZ68" s="38"/>
      <c r="BA68" s="38">
        <f>+AR68+AS68+AU68+AV68+AX68</f>
        <v>0</v>
      </c>
      <c r="BB68" s="34">
        <v>3</v>
      </c>
      <c r="BC68" s="52"/>
      <c r="BD68" s="52"/>
      <c r="BE68" s="34"/>
      <c r="BF68" s="52">
        <v>3</v>
      </c>
    </row>
    <row r="69" spans="1:58" ht="12.95" customHeight="1">
      <c r="A69" s="41"/>
      <c r="B69" s="42"/>
      <c r="C69" s="443"/>
      <c r="D69" s="42"/>
      <c r="E69" s="43"/>
      <c r="F69" s="43"/>
      <c r="G69" s="498"/>
      <c r="H69" s="45"/>
      <c r="I69" s="46"/>
      <c r="J69" s="83"/>
      <c r="K69" s="83"/>
      <c r="L69" s="36"/>
      <c r="M69" s="36"/>
      <c r="N69" s="47"/>
      <c r="O69" s="48"/>
      <c r="P69" s="49"/>
      <c r="Q69" s="48"/>
      <c r="R69" s="499"/>
      <c r="S69" s="499"/>
      <c r="T69" s="38"/>
      <c r="U69" s="38"/>
      <c r="V69" s="38"/>
      <c r="W69" s="38"/>
      <c r="X69" s="39"/>
      <c r="Y69" s="212"/>
      <c r="Z69" s="38"/>
      <c r="AA69" s="38"/>
      <c r="AB69" s="38"/>
      <c r="AC69" s="38">
        <f>K69-T69</f>
        <v>0</v>
      </c>
      <c r="AD69" s="38">
        <f t="shared" ref="AD69:AD71" si="152">+AM69+BA69</f>
        <v>7</v>
      </c>
      <c r="AE69" s="231" t="s">
        <v>398</v>
      </c>
      <c r="AF69" s="38"/>
      <c r="AG69" s="38">
        <v>7</v>
      </c>
      <c r="AH69" s="38"/>
      <c r="AI69" s="501"/>
      <c r="AJ69" s="38"/>
      <c r="AK69" s="38"/>
      <c r="AL69" s="38"/>
      <c r="AM69" s="38">
        <f t="shared" ref="AM69:AM71" si="153">SUM(AF69:AL69)+AT69</f>
        <v>7</v>
      </c>
      <c r="AN69" s="84"/>
      <c r="AO69" s="38"/>
      <c r="AP69" s="38"/>
      <c r="AQ69" s="38"/>
      <c r="AR69" s="38">
        <f t="shared" ref="AR69:AR71" si="154">SUM(AN69:AQ69)</f>
        <v>0</v>
      </c>
      <c r="AS69" s="38"/>
      <c r="AT69" s="38"/>
      <c r="AU69" s="38"/>
      <c r="AV69" s="38"/>
      <c r="AW69" s="38"/>
      <c r="AX69" s="38"/>
      <c r="AY69" s="38"/>
      <c r="AZ69" s="38"/>
      <c r="BA69" s="38">
        <f t="shared" ref="BA69:BA71" si="155">+AR69+AS69+AU69+AV69+AX69</f>
        <v>0</v>
      </c>
      <c r="BB69" s="51"/>
      <c r="BC69" s="52">
        <v>6</v>
      </c>
      <c r="BD69" s="52"/>
      <c r="BE69" s="51"/>
      <c r="BF69" s="52"/>
    </row>
    <row r="70" spans="1:58" ht="12.95" customHeight="1">
      <c r="A70" s="41"/>
      <c r="B70" s="42"/>
      <c r="C70" s="443"/>
      <c r="D70" s="42"/>
      <c r="E70" s="43"/>
      <c r="F70" s="43"/>
      <c r="G70" s="44"/>
      <c r="H70" s="45"/>
      <c r="I70" s="46"/>
      <c r="J70" s="83"/>
      <c r="K70" s="83"/>
      <c r="L70" s="36"/>
      <c r="M70" s="36"/>
      <c r="N70" s="47"/>
      <c r="O70" s="48"/>
      <c r="P70" s="49"/>
      <c r="Q70" s="48"/>
      <c r="R70" s="499"/>
      <c r="S70" s="499"/>
      <c r="T70" s="38"/>
      <c r="U70" s="38"/>
      <c r="V70" s="38"/>
      <c r="W70" s="38"/>
      <c r="X70" s="39"/>
      <c r="Y70" s="212"/>
      <c r="Z70" s="38"/>
      <c r="AA70" s="38"/>
      <c r="AB70" s="38"/>
      <c r="AC70" s="38"/>
      <c r="AD70" s="38">
        <f t="shared" si="152"/>
        <v>25</v>
      </c>
      <c r="AE70" s="231" t="s">
        <v>513</v>
      </c>
      <c r="AF70" s="34"/>
      <c r="AG70" s="34"/>
      <c r="AH70" s="34">
        <v>25</v>
      </c>
      <c r="AJ70" s="38"/>
      <c r="AK70" s="38"/>
      <c r="AL70" s="38"/>
      <c r="AM70" s="38">
        <f t="shared" si="153"/>
        <v>25</v>
      </c>
      <c r="AN70" s="38"/>
      <c r="AO70" s="38"/>
      <c r="AP70" s="38"/>
      <c r="AQ70" s="38"/>
      <c r="AR70" s="38">
        <f t="shared" si="154"/>
        <v>0</v>
      </c>
      <c r="AS70" s="38"/>
      <c r="AT70" s="38"/>
      <c r="AU70" s="38"/>
      <c r="AV70" s="38"/>
      <c r="AW70" s="38"/>
      <c r="AX70" s="38"/>
      <c r="AY70" s="38"/>
      <c r="AZ70" s="38"/>
      <c r="BA70" s="38">
        <f t="shared" si="155"/>
        <v>0</v>
      </c>
      <c r="BB70" s="34"/>
      <c r="BC70" s="502"/>
      <c r="BD70" s="502"/>
      <c r="BE70" s="34"/>
      <c r="BF70" s="502"/>
    </row>
    <row r="71" spans="1:58" ht="12.95" customHeight="1">
      <c r="A71" s="41"/>
      <c r="B71" s="42"/>
      <c r="C71" s="443"/>
      <c r="D71" s="42"/>
      <c r="E71" s="43"/>
      <c r="F71" s="43"/>
      <c r="G71" s="44"/>
      <c r="H71" s="45"/>
      <c r="I71" s="46"/>
      <c r="J71" s="83"/>
      <c r="K71" s="83"/>
      <c r="L71" s="36"/>
      <c r="M71" s="36"/>
      <c r="N71" s="47"/>
      <c r="O71" s="48"/>
      <c r="P71" s="49"/>
      <c r="Q71" s="35"/>
      <c r="R71" s="499"/>
      <c r="S71" s="499"/>
      <c r="T71" s="38"/>
      <c r="U71" s="38"/>
      <c r="V71" s="38"/>
      <c r="W71" s="38"/>
      <c r="X71" s="39"/>
      <c r="Y71" s="212"/>
      <c r="Z71" s="38"/>
      <c r="AA71" s="38"/>
      <c r="AB71" s="38"/>
      <c r="AC71" s="38"/>
      <c r="AD71" s="38">
        <f t="shared" si="152"/>
        <v>8</v>
      </c>
      <c r="AE71" s="234" t="s">
        <v>228</v>
      </c>
      <c r="AF71" s="38"/>
      <c r="AG71" s="38"/>
      <c r="AH71" s="38"/>
      <c r="AI71" s="501">
        <v>8</v>
      </c>
      <c r="AJ71" s="38"/>
      <c r="AK71" s="38"/>
      <c r="AL71" s="38"/>
      <c r="AM71" s="38">
        <f t="shared" si="153"/>
        <v>8</v>
      </c>
      <c r="AN71" s="38"/>
      <c r="AO71" s="38"/>
      <c r="AP71" s="38"/>
      <c r="AQ71" s="38"/>
      <c r="AR71" s="38">
        <f t="shared" si="154"/>
        <v>0</v>
      </c>
      <c r="AS71" s="38"/>
      <c r="AT71" s="38"/>
      <c r="AU71" s="38"/>
      <c r="AV71" s="38"/>
      <c r="AW71" s="38"/>
      <c r="AX71" s="38"/>
      <c r="AY71" s="38"/>
      <c r="AZ71" s="38"/>
      <c r="BA71" s="38">
        <f t="shared" si="155"/>
        <v>0</v>
      </c>
      <c r="BB71" s="51"/>
      <c r="BC71" s="52"/>
      <c r="BD71" s="52"/>
      <c r="BE71" s="51"/>
      <c r="BF71" s="52"/>
    </row>
    <row r="72" spans="1:58" ht="12.95" customHeight="1">
      <c r="A72" s="41"/>
      <c r="B72" s="42"/>
      <c r="C72" s="443"/>
      <c r="D72" s="42"/>
      <c r="E72" s="43"/>
      <c r="F72" s="43"/>
      <c r="G72" s="44"/>
      <c r="H72" s="45"/>
      <c r="I72" s="46"/>
      <c r="J72" s="83"/>
      <c r="K72" s="83"/>
      <c r="L72" s="36"/>
      <c r="M72" s="36"/>
      <c r="N72" s="47"/>
      <c r="O72" s="48"/>
      <c r="P72" s="49"/>
      <c r="Q72" s="35"/>
      <c r="R72" s="499"/>
      <c r="S72" s="499"/>
      <c r="T72" s="38"/>
      <c r="U72" s="38"/>
      <c r="V72" s="38"/>
      <c r="W72" s="38"/>
      <c r="X72" s="39"/>
      <c r="Y72" s="212"/>
      <c r="Z72" s="38"/>
      <c r="AA72" s="38"/>
      <c r="AB72" s="38"/>
      <c r="AC72" s="38"/>
      <c r="AD72" s="38">
        <f t="shared" ref="AD72" si="156">+AM72+BA72</f>
        <v>170</v>
      </c>
      <c r="AE72" s="234" t="s">
        <v>584</v>
      </c>
      <c r="AF72" s="38"/>
      <c r="AG72" s="38"/>
      <c r="AH72" s="38"/>
      <c r="AI72" s="501"/>
      <c r="AJ72" s="38"/>
      <c r="AK72" s="38"/>
      <c r="AL72" s="38"/>
      <c r="AM72" s="38">
        <f t="shared" ref="AM72" si="157">SUM(AF72:AL72)+AT72</f>
        <v>0</v>
      </c>
      <c r="AN72" s="38"/>
      <c r="AO72" s="38"/>
      <c r="AP72" s="38">
        <v>170</v>
      </c>
      <c r="AQ72" s="38"/>
      <c r="AR72" s="38">
        <f t="shared" ref="AR72" si="158">SUM(AN72:AQ72)</f>
        <v>170</v>
      </c>
      <c r="AS72" s="38"/>
      <c r="AT72" s="38"/>
      <c r="AU72" s="38"/>
      <c r="AV72" s="38"/>
      <c r="AW72" s="38"/>
      <c r="AX72" s="38"/>
      <c r="AY72" s="38"/>
      <c r="AZ72" s="38"/>
      <c r="BA72" s="38">
        <f t="shared" ref="BA72" si="159">+AR72+AS72+AU72+AV72+AX72</f>
        <v>170</v>
      </c>
      <c r="BB72" s="51"/>
      <c r="BC72" s="52"/>
      <c r="BD72" s="52"/>
      <c r="BE72" s="51"/>
      <c r="BF72" s="52"/>
    </row>
    <row r="73" spans="1:58" ht="12.95" customHeight="1">
      <c r="A73" s="41"/>
      <c r="B73" s="42"/>
      <c r="C73" s="443"/>
      <c r="D73" s="42"/>
      <c r="E73" s="43"/>
      <c r="F73" s="43"/>
      <c r="G73" s="44"/>
      <c r="H73" s="45"/>
      <c r="I73" s="46"/>
      <c r="J73" s="83"/>
      <c r="K73" s="83"/>
      <c r="L73" s="36"/>
      <c r="M73" s="36"/>
      <c r="N73" s="47"/>
      <c r="O73" s="48"/>
      <c r="P73" s="49"/>
      <c r="Q73" s="35"/>
      <c r="R73" s="499"/>
      <c r="S73" s="499"/>
      <c r="T73" s="38"/>
      <c r="U73" s="38"/>
      <c r="V73" s="38"/>
      <c r="W73" s="38"/>
      <c r="X73" s="39"/>
      <c r="Y73" s="212"/>
      <c r="Z73" s="38"/>
      <c r="AA73" s="38"/>
      <c r="AB73" s="38"/>
      <c r="AC73" s="38"/>
      <c r="AD73" s="38">
        <f t="shared" ref="AD73" si="160">+AM73+BA73</f>
        <v>132</v>
      </c>
      <c r="AE73" s="234" t="s">
        <v>585</v>
      </c>
      <c r="AF73" s="38"/>
      <c r="AG73" s="38"/>
      <c r="AH73" s="38"/>
      <c r="AI73" s="501"/>
      <c r="AJ73" s="38"/>
      <c r="AK73" s="38"/>
      <c r="AL73" s="38"/>
      <c r="AM73" s="38">
        <f t="shared" ref="AM73" si="161">SUM(AF73:AL73)+AT73</f>
        <v>0</v>
      </c>
      <c r="AN73" s="38">
        <v>132</v>
      </c>
      <c r="AO73" s="38"/>
      <c r="AP73" s="38"/>
      <c r="AQ73" s="38"/>
      <c r="AR73" s="38">
        <f t="shared" ref="AR73" si="162">SUM(AN73:AQ73)</f>
        <v>132</v>
      </c>
      <c r="AS73" s="38"/>
      <c r="AT73" s="38"/>
      <c r="AU73" s="38"/>
      <c r="AV73" s="38"/>
      <c r="AW73" s="38"/>
      <c r="AX73" s="38"/>
      <c r="AY73" s="38"/>
      <c r="AZ73" s="38"/>
      <c r="BA73" s="38">
        <f t="shared" ref="BA73" si="163">+AR73+AS73+AU73+AV73+AX73</f>
        <v>132</v>
      </c>
      <c r="BB73" s="51"/>
      <c r="BC73" s="52"/>
      <c r="BD73" s="52"/>
      <c r="BE73" s="51"/>
      <c r="BF73" s="52"/>
    </row>
    <row r="74" spans="1:58" ht="12.95" customHeight="1">
      <c r="A74" s="41"/>
      <c r="B74" s="42"/>
      <c r="C74" s="443"/>
      <c r="D74" s="42"/>
      <c r="E74" s="43"/>
      <c r="F74" s="43"/>
      <c r="G74" s="44"/>
      <c r="H74" s="44"/>
      <c r="I74" s="46"/>
      <c r="J74" s="83"/>
      <c r="K74" s="83"/>
      <c r="L74" s="36"/>
      <c r="M74" s="36"/>
      <c r="N74" s="47"/>
      <c r="O74" s="48"/>
      <c r="P74" s="49"/>
      <c r="Q74" s="48"/>
      <c r="R74" s="499"/>
      <c r="S74" s="499"/>
      <c r="T74" s="38"/>
      <c r="U74" s="38"/>
      <c r="V74" s="38"/>
      <c r="W74" s="38"/>
      <c r="X74" s="39"/>
      <c r="Y74" s="212"/>
      <c r="Z74" s="38"/>
      <c r="AA74" s="38"/>
      <c r="AB74" s="38"/>
      <c r="AC74" s="38"/>
      <c r="AD74" s="38"/>
      <c r="AE74" s="231"/>
      <c r="AF74" s="38"/>
      <c r="AG74" s="38"/>
      <c r="AH74" s="38"/>
      <c r="AI74" s="501"/>
      <c r="AJ74" s="38"/>
      <c r="AK74" s="38"/>
      <c r="AL74" s="38"/>
      <c r="AM74" s="38"/>
      <c r="AN74" s="84"/>
      <c r="AO74" s="38"/>
      <c r="AP74" s="38"/>
      <c r="AQ74" s="38"/>
      <c r="AR74" s="38"/>
      <c r="AS74" s="38"/>
      <c r="AT74" s="38"/>
      <c r="AU74" s="38"/>
      <c r="AV74" s="38"/>
      <c r="AW74" s="38"/>
      <c r="AX74" s="38"/>
      <c r="AY74" s="38"/>
      <c r="AZ74" s="38"/>
      <c r="BA74" s="38"/>
      <c r="BB74" s="51"/>
      <c r="BC74" s="52"/>
      <c r="BD74" s="52"/>
      <c r="BE74" s="52"/>
      <c r="BF74" s="52"/>
    </row>
    <row r="75" spans="1:58" ht="12.95" customHeight="1">
      <c r="A75" s="41">
        <v>45975</v>
      </c>
      <c r="B75" s="42" t="s">
        <v>431</v>
      </c>
      <c r="C75" s="443">
        <f t="shared" ref="C75" si="164">(M75*E75*O75*Q75)/100000000</f>
        <v>8.9781906059999983</v>
      </c>
      <c r="D75" s="42" t="s">
        <v>434</v>
      </c>
      <c r="E75" s="43">
        <v>13.5</v>
      </c>
      <c r="F75" s="43">
        <v>1</v>
      </c>
      <c r="G75" s="498">
        <v>1345</v>
      </c>
      <c r="H75" s="45">
        <f t="shared" ref="H75" si="165">+N75</f>
        <v>0.22999999999999998</v>
      </c>
      <c r="I75" s="46">
        <v>0.88</v>
      </c>
      <c r="J75" s="83">
        <f t="shared" ref="J75" si="166">E75*G75*(1-H75)*1440/1000000*2.74</f>
        <v>55.164518640000004</v>
      </c>
      <c r="K75" s="83">
        <f>(IF(G75&lt;L75,L75,G75)*(1-IF(H75&lt;N75,H75,N75))*E75*O75*Q75)/100000000</f>
        <v>11.722460211000001</v>
      </c>
      <c r="L75" s="36">
        <v>1030.1307189542483</v>
      </c>
      <c r="M75" s="36">
        <v>793.20065359477121</v>
      </c>
      <c r="N75" s="47">
        <f t="shared" ref="N75" si="167">1-(M75/L75)</f>
        <v>0.22999999999999998</v>
      </c>
      <c r="O75" s="48">
        <f>+'Trim Rwd'!H46</f>
        <v>274</v>
      </c>
      <c r="P75" s="49">
        <f t="shared" ref="P75" si="168">O75*(Q75-R75-S75)</f>
        <v>79734</v>
      </c>
      <c r="Q75" s="48">
        <v>306</v>
      </c>
      <c r="R75" s="499">
        <v>0</v>
      </c>
      <c r="S75" s="499">
        <v>15</v>
      </c>
      <c r="T75" s="38">
        <f t="shared" ref="T75" si="169">E75*M75*O75*Q75/100000000</f>
        <v>8.9781906059999983</v>
      </c>
      <c r="U75" s="38">
        <f t="shared" ref="U75" si="170">E75*M75*O75*(Q75-R75-S75)/100000000</f>
        <v>8.53808322335294</v>
      </c>
      <c r="V75" s="38">
        <f t="shared" ref="V75" si="171">E75*G75*(1-N75)*O75/100*(R75+S75)/1000000</f>
        <v>0.57463040249999997</v>
      </c>
      <c r="W75" s="38">
        <f>+'14'!K7/1000</f>
        <v>17.556000000000001</v>
      </c>
      <c r="X75" s="500">
        <f>SUM(W75:W78)/SUM(K75:K78)</f>
        <v>0.98328789770011338</v>
      </c>
      <c r="Y75" s="212">
        <f>+SUM(RBP!AG66:AG67)</f>
        <v>0</v>
      </c>
      <c r="Z75" s="38">
        <v>0</v>
      </c>
      <c r="AA75" s="50">
        <f>SUM(U75:U78)-SUM(W75:W78)-SUM(Z75:Z78)-SUM(Y75:Y78)</f>
        <v>-4.4691019345174325</v>
      </c>
      <c r="AB75" s="50">
        <f>(SUM(K75:K78)-SUM(W75:W78)-SUM(Y75:Y78)-SUM(Z75:Z78)-SUM(AC75:AC78)-SUM(V75:V78))-AA75</f>
        <v>-0.16038592173257893</v>
      </c>
      <c r="AC75" s="38">
        <f>K75-T75</f>
        <v>2.7442696050000031</v>
      </c>
      <c r="AD75" s="38">
        <f>+AM75+BA75</f>
        <v>0</v>
      </c>
      <c r="AE75" s="231" t="s">
        <v>390</v>
      </c>
      <c r="AF75" s="38">
        <v>0</v>
      </c>
      <c r="AG75" s="38"/>
      <c r="AH75" s="38"/>
      <c r="AI75" s="501"/>
      <c r="AJ75" s="38"/>
      <c r="AK75" s="38"/>
      <c r="AL75" s="38"/>
      <c r="AM75" s="38">
        <f>SUM(AF75:AL75)+AT75</f>
        <v>0</v>
      </c>
      <c r="AN75" s="38"/>
      <c r="AO75" s="38"/>
      <c r="AP75" s="38"/>
      <c r="AQ75" s="38"/>
      <c r="AR75" s="38">
        <f>SUM(AN75:AQ75)</f>
        <v>0</v>
      </c>
      <c r="AS75" s="38"/>
      <c r="AT75" s="38"/>
      <c r="AU75" s="38"/>
      <c r="AV75" s="38"/>
      <c r="AW75" s="38"/>
      <c r="AX75" s="38"/>
      <c r="AY75" s="38"/>
      <c r="AZ75" s="38"/>
      <c r="BA75" s="38">
        <f>+AR75+AS75+AU75+AV75+AX75</f>
        <v>0</v>
      </c>
      <c r="BB75" s="34">
        <v>0</v>
      </c>
      <c r="BC75" s="52"/>
      <c r="BD75" s="52"/>
      <c r="BE75" s="34"/>
      <c r="BF75" s="52"/>
    </row>
    <row r="76" spans="1:58" ht="12.95" customHeight="1">
      <c r="A76" s="41"/>
      <c r="B76" s="42" t="s">
        <v>431</v>
      </c>
      <c r="C76" s="443">
        <f t="shared" ref="C76" si="172">(M76*E76*O76*Q76)/100000000</f>
        <v>41.923632904999998</v>
      </c>
      <c r="D76" s="42" t="s">
        <v>434</v>
      </c>
      <c r="E76" s="43">
        <v>15.5</v>
      </c>
      <c r="F76" s="43">
        <v>1</v>
      </c>
      <c r="G76" s="498">
        <v>1170</v>
      </c>
      <c r="H76" s="45">
        <f t="shared" ref="H76" si="173">+N76</f>
        <v>0.22999999999999998</v>
      </c>
      <c r="I76" s="46">
        <v>0.88</v>
      </c>
      <c r="J76" s="83">
        <f t="shared" ref="J76" si="174">E76*G76*(1-H76)*1440/1000000*2.74</f>
        <v>55.096161119999998</v>
      </c>
      <c r="K76" s="83">
        <f>(IF(G76&lt;L76,L76,G76)*(1-IF(H76&lt;N76,H76,N76))*E76*O76*Q76)/100000000</f>
        <v>42.675646513499998</v>
      </c>
      <c r="L76" s="36">
        <v>1149.3827160493827</v>
      </c>
      <c r="M76" s="36">
        <v>885.02469135802471</v>
      </c>
      <c r="N76" s="47">
        <f t="shared" ref="N76" si="175">1-(M76/L76)</f>
        <v>0.22999999999999998</v>
      </c>
      <c r="O76" s="48">
        <f>+'Trim Rwd'!H47</f>
        <v>269.5</v>
      </c>
      <c r="P76" s="49">
        <f t="shared" ref="P76" si="176">O76*(Q76-R76-S76)</f>
        <v>295102.5</v>
      </c>
      <c r="Q76" s="48">
        <v>1134</v>
      </c>
      <c r="R76" s="499">
        <v>0</v>
      </c>
      <c r="S76" s="499">
        <f>54-S75</f>
        <v>39</v>
      </c>
      <c r="T76" s="38">
        <f t="shared" ref="T76" si="177">E76*M76*O76*Q76/100000000</f>
        <v>41.923632904999998</v>
      </c>
      <c r="U76" s="38">
        <f t="shared" ref="U76" si="178">E76*M76*O76*(Q76-R76-S76)/100000000</f>
        <v>40.48181484212963</v>
      </c>
      <c r="V76" s="38">
        <f t="shared" ref="V76" si="179">E76*G76*(1-N76)*O76/100*(R76+S76)/1000000</f>
        <v>1.4676809647500002</v>
      </c>
      <c r="W76" s="38">
        <f>+'14'!K16/1000</f>
        <v>35.933</v>
      </c>
      <c r="X76" s="39"/>
      <c r="Y76" s="212"/>
      <c r="Z76" s="38"/>
      <c r="AA76" s="38"/>
      <c r="AB76" s="38"/>
      <c r="AC76" s="38">
        <f>K76-T76</f>
        <v>0.75201360850000043</v>
      </c>
      <c r="AD76" s="38">
        <f t="shared" ref="AD76:AD78" si="180">+AM76+BA76</f>
        <v>15</v>
      </c>
      <c r="AE76" s="231" t="s">
        <v>570</v>
      </c>
      <c r="AF76" s="38"/>
      <c r="AG76" s="38">
        <v>15</v>
      </c>
      <c r="AH76" s="38"/>
      <c r="AI76" s="501"/>
      <c r="AJ76" s="38"/>
      <c r="AK76" s="38"/>
      <c r="AL76" s="38"/>
      <c r="AM76" s="38">
        <f t="shared" ref="AM76:AM78" si="181">SUM(AF76:AL76)+AT76</f>
        <v>15</v>
      </c>
      <c r="AN76" s="84"/>
      <c r="AO76" s="38"/>
      <c r="AP76" s="38"/>
      <c r="AQ76" s="38"/>
      <c r="AR76" s="38">
        <f t="shared" ref="AR76:AR78" si="182">SUM(AN76:AQ76)</f>
        <v>0</v>
      </c>
      <c r="AS76" s="38"/>
      <c r="AT76" s="38"/>
      <c r="AU76" s="38"/>
      <c r="AV76" s="38"/>
      <c r="AW76" s="38"/>
      <c r="AX76" s="38"/>
      <c r="AY76" s="38"/>
      <c r="AZ76" s="38"/>
      <c r="BA76" s="38">
        <f t="shared" ref="BA76:BA78" si="183">+AR76+AS76+AU76+AV76+AX76</f>
        <v>0</v>
      </c>
      <c r="BB76" s="51"/>
      <c r="BC76" s="52">
        <v>9</v>
      </c>
      <c r="BD76" s="52"/>
      <c r="BE76" s="51"/>
      <c r="BF76" s="52"/>
    </row>
    <row r="77" spans="1:58" ht="12.95" customHeight="1">
      <c r="A77" s="41"/>
      <c r="B77" s="42"/>
      <c r="C77" s="443"/>
      <c r="D77" s="42"/>
      <c r="E77" s="43"/>
      <c r="F77" s="43"/>
      <c r="G77" s="44"/>
      <c r="H77" s="45"/>
      <c r="I77" s="46"/>
      <c r="J77" s="83"/>
      <c r="K77" s="83"/>
      <c r="L77" s="36"/>
      <c r="M77" s="36"/>
      <c r="N77" s="47"/>
      <c r="O77" s="48"/>
      <c r="P77" s="49"/>
      <c r="Q77" s="48"/>
      <c r="R77" s="499"/>
      <c r="S77" s="499"/>
      <c r="T77" s="38"/>
      <c r="U77" s="38"/>
      <c r="V77" s="38"/>
      <c r="W77" s="38"/>
      <c r="X77" s="39"/>
      <c r="Y77" s="212"/>
      <c r="Z77" s="38"/>
      <c r="AA77" s="38"/>
      <c r="AB77" s="38"/>
      <c r="AC77" s="38"/>
      <c r="AD77" s="38">
        <f t="shared" si="180"/>
        <v>31</v>
      </c>
      <c r="AE77" s="231" t="s">
        <v>594</v>
      </c>
      <c r="AF77" s="34"/>
      <c r="AG77" s="34"/>
      <c r="AH77" s="34">
        <v>31</v>
      </c>
      <c r="AJ77" s="38"/>
      <c r="AK77" s="38"/>
      <c r="AL77" s="38"/>
      <c r="AM77" s="38">
        <f t="shared" si="181"/>
        <v>31</v>
      </c>
      <c r="AN77" s="38"/>
      <c r="AO77" s="38"/>
      <c r="AP77" s="38"/>
      <c r="AQ77" s="38"/>
      <c r="AR77" s="38">
        <f t="shared" si="182"/>
        <v>0</v>
      </c>
      <c r="AS77" s="38"/>
      <c r="AT77" s="38"/>
      <c r="AU77" s="38"/>
      <c r="AV77" s="38"/>
      <c r="AW77" s="38"/>
      <c r="AX77" s="38"/>
      <c r="AY77" s="38"/>
      <c r="AZ77" s="38"/>
      <c r="BA77" s="38">
        <f t="shared" si="183"/>
        <v>0</v>
      </c>
      <c r="BB77" s="34"/>
      <c r="BC77" s="502"/>
      <c r="BD77" s="502"/>
      <c r="BE77" s="34"/>
      <c r="BF77" s="502"/>
    </row>
    <row r="78" spans="1:58" ht="12.95" customHeight="1">
      <c r="A78" s="41"/>
      <c r="B78" s="42"/>
      <c r="C78" s="443"/>
      <c r="D78" s="42"/>
      <c r="E78" s="43"/>
      <c r="F78" s="43"/>
      <c r="G78" s="44"/>
      <c r="H78" s="45"/>
      <c r="I78" s="46"/>
      <c r="J78" s="83"/>
      <c r="K78" s="83"/>
      <c r="L78" s="36"/>
      <c r="M78" s="36"/>
      <c r="N78" s="47"/>
      <c r="O78" s="48"/>
      <c r="P78" s="49"/>
      <c r="Q78" s="35"/>
      <c r="R78" s="499"/>
      <c r="S78" s="499"/>
      <c r="T78" s="38"/>
      <c r="U78" s="38"/>
      <c r="V78" s="38"/>
      <c r="W78" s="38"/>
      <c r="X78" s="39"/>
      <c r="Y78" s="212"/>
      <c r="Z78" s="38"/>
      <c r="AA78" s="38"/>
      <c r="AB78" s="38"/>
      <c r="AC78" s="38"/>
      <c r="AD78" s="38">
        <f t="shared" si="180"/>
        <v>8</v>
      </c>
      <c r="AE78" s="234" t="s">
        <v>228</v>
      </c>
      <c r="AF78" s="38"/>
      <c r="AG78" s="38"/>
      <c r="AH78" s="38"/>
      <c r="AI78" s="501">
        <v>8</v>
      </c>
      <c r="AJ78" s="38"/>
      <c r="AK78" s="38"/>
      <c r="AL78" s="38"/>
      <c r="AM78" s="38">
        <f t="shared" si="181"/>
        <v>8</v>
      </c>
      <c r="AN78" s="38"/>
      <c r="AO78" s="38"/>
      <c r="AP78" s="38"/>
      <c r="AQ78" s="38"/>
      <c r="AR78" s="38">
        <f t="shared" si="182"/>
        <v>0</v>
      </c>
      <c r="AS78" s="38"/>
      <c r="AT78" s="38"/>
      <c r="AU78" s="38"/>
      <c r="AV78" s="38"/>
      <c r="AW78" s="38"/>
      <c r="AX78" s="38"/>
      <c r="AY78" s="38"/>
      <c r="AZ78" s="38"/>
      <c r="BA78" s="38">
        <f t="shared" si="183"/>
        <v>0</v>
      </c>
      <c r="BB78" s="51"/>
      <c r="BC78" s="52"/>
      <c r="BD78" s="52"/>
      <c r="BE78" s="51"/>
      <c r="BF78" s="52"/>
    </row>
    <row r="79" spans="1:58" ht="12.95" customHeight="1">
      <c r="A79" s="41"/>
      <c r="B79" s="42"/>
      <c r="C79" s="443"/>
      <c r="D79" s="42"/>
      <c r="E79" s="43"/>
      <c r="F79" s="43"/>
      <c r="G79" s="44"/>
      <c r="H79" s="44"/>
      <c r="I79" s="46"/>
      <c r="J79" s="83"/>
      <c r="K79" s="83"/>
      <c r="L79" s="36"/>
      <c r="M79" s="36"/>
      <c r="N79" s="47"/>
      <c r="O79" s="48"/>
      <c r="P79" s="49"/>
      <c r="Q79" s="48"/>
      <c r="R79" s="499"/>
      <c r="S79" s="499"/>
      <c r="T79" s="38"/>
      <c r="U79" s="38"/>
      <c r="V79" s="38"/>
      <c r="W79" s="38"/>
      <c r="X79" s="500"/>
      <c r="Y79" s="212"/>
      <c r="Z79" s="38"/>
      <c r="AA79" s="50"/>
      <c r="AB79" s="50"/>
      <c r="AC79" s="38"/>
      <c r="AD79" s="38"/>
      <c r="AE79" s="231"/>
      <c r="AF79" s="38"/>
      <c r="AG79" s="38"/>
      <c r="AH79" s="38"/>
      <c r="AI79" s="501"/>
      <c r="AJ79" s="38"/>
      <c r="AK79" s="38"/>
      <c r="AL79" s="38"/>
      <c r="AM79" s="38"/>
      <c r="AN79" s="38"/>
      <c r="AO79" s="38"/>
      <c r="AP79" s="38"/>
      <c r="AQ79" s="38"/>
      <c r="AR79" s="38"/>
      <c r="AS79" s="38"/>
      <c r="AT79" s="38"/>
      <c r="AU79" s="38"/>
      <c r="AV79" s="38"/>
      <c r="AW79" s="38"/>
      <c r="AX79" s="38"/>
      <c r="AY79" s="38"/>
      <c r="AZ79" s="38"/>
      <c r="BA79" s="38"/>
      <c r="BB79" s="34"/>
      <c r="BC79" s="52"/>
      <c r="BD79" s="52"/>
      <c r="BE79" s="52"/>
      <c r="BF79" s="52"/>
    </row>
    <row r="80" spans="1:58" ht="12.95" customHeight="1">
      <c r="A80" s="41">
        <v>45976</v>
      </c>
      <c r="B80" s="42" t="s">
        <v>431</v>
      </c>
      <c r="C80" s="443">
        <f t="shared" ref="C80" si="184">(M80*E80*O80*Q80)/100000000</f>
        <v>54.191297159999998</v>
      </c>
      <c r="D80" s="42" t="s">
        <v>434</v>
      </c>
      <c r="E80" s="43">
        <v>15.5</v>
      </c>
      <c r="F80" s="43">
        <v>1</v>
      </c>
      <c r="G80" s="498">
        <v>1170</v>
      </c>
      <c r="H80" s="45">
        <f t="shared" ref="H80" si="185">+N80</f>
        <v>0.22999999999999998</v>
      </c>
      <c r="I80" s="46">
        <v>0.88</v>
      </c>
      <c r="J80" s="83">
        <f t="shared" ref="J80" si="186">E80*G80*(1-H80)*1440/1000000*2.74</f>
        <v>55.096161119999998</v>
      </c>
      <c r="K80" s="83">
        <f>(IF(G80&lt;L80,L80,G80)*(1-IF(H80&lt;N80,H80,N80))*E80*O80*Q80)/100000000</f>
        <v>54.191297159999998</v>
      </c>
      <c r="L80" s="36">
        <v>1170</v>
      </c>
      <c r="M80" s="36">
        <v>900.9</v>
      </c>
      <c r="N80" s="47">
        <f t="shared" ref="N80" si="187">1-(M80/L80)</f>
        <v>0.22999999999999998</v>
      </c>
      <c r="O80" s="48">
        <f>+'Trim Rwd'!H49</f>
        <v>269.5</v>
      </c>
      <c r="P80" s="49">
        <f t="shared" ref="P80" si="188">O80*(Q80-R80-S80)</f>
        <v>375952.5</v>
      </c>
      <c r="Q80" s="48">
        <v>1440</v>
      </c>
      <c r="R80" s="499">
        <v>0</v>
      </c>
      <c r="S80" s="499">
        <v>45</v>
      </c>
      <c r="T80" s="38">
        <f t="shared" ref="T80" si="189">E80*M80*O80*Q80/100000000</f>
        <v>54.191297159999998</v>
      </c>
      <c r="U80" s="38">
        <f t="shared" ref="U80" si="190">E80*M80*O80*(Q80-R80-S80)/100000000</f>
        <v>52.497819123749998</v>
      </c>
      <c r="V80" s="38">
        <f t="shared" ref="V80" si="191">E80*G80*(1-N80)*O80/100*(R80+S80)/1000000</f>
        <v>1.6934780362500004</v>
      </c>
      <c r="W80" s="38">
        <f>+'15'!K16/1000</f>
        <v>50.347999999999999</v>
      </c>
      <c r="X80" s="500">
        <f>SUM(W80:W83)/SUM(K80:K83)</f>
        <v>0.92907907059960848</v>
      </c>
      <c r="Y80" s="212">
        <f>+SUM(RBP!AG71:AG72)</f>
        <v>0</v>
      </c>
      <c r="Z80" s="38">
        <f>+'15'!D25/1000</f>
        <v>0.67100000000000004</v>
      </c>
      <c r="AA80" s="50">
        <f>SUM(U80:U83)-SUM(W80:W83)-SUM(Z80:Z83)-SUM(Y80:Y83)</f>
        <v>1.4788191237499995</v>
      </c>
      <c r="AB80" s="50">
        <f>(SUM(K80:K83)-SUM(W80:W83)-SUM(Y80:Y83)-SUM(Z80:Z83)-SUM(AC80:AC83)-SUM(V80:V83))-AA80</f>
        <v>0</v>
      </c>
      <c r="AC80" s="38">
        <f>K80-T80</f>
        <v>0</v>
      </c>
      <c r="AD80" s="38">
        <f>+AM80+BA80</f>
        <v>0</v>
      </c>
      <c r="AE80" s="231" t="s">
        <v>390</v>
      </c>
      <c r="AF80" s="38">
        <v>0</v>
      </c>
      <c r="AG80" s="38"/>
      <c r="AH80" s="38"/>
      <c r="AI80" s="501"/>
      <c r="AJ80" s="38"/>
      <c r="AK80" s="38"/>
      <c r="AL80" s="38"/>
      <c r="AM80" s="38">
        <f>SUM(AF80:AL80)+AT80</f>
        <v>0</v>
      </c>
      <c r="AN80" s="38"/>
      <c r="AO80" s="38"/>
      <c r="AP80" s="38"/>
      <c r="AQ80" s="38"/>
      <c r="AR80" s="38">
        <f>SUM(AN80:AQ80)</f>
        <v>0</v>
      </c>
      <c r="AS80" s="38"/>
      <c r="AT80" s="38"/>
      <c r="AU80" s="38"/>
      <c r="AV80" s="38"/>
      <c r="AW80" s="38"/>
      <c r="AX80" s="38"/>
      <c r="AY80" s="38"/>
      <c r="AZ80" s="38"/>
      <c r="BA80" s="38">
        <f>+AR80+AS80+AU80+AV80+AX80</f>
        <v>0</v>
      </c>
      <c r="BB80" s="34">
        <v>0</v>
      </c>
      <c r="BC80" s="52"/>
      <c r="BD80" s="52"/>
      <c r="BE80" s="34"/>
      <c r="BF80" s="52"/>
    </row>
    <row r="81" spans="1:58" ht="12.95" customHeight="1">
      <c r="A81" s="41"/>
      <c r="B81" s="42"/>
      <c r="C81" s="443"/>
      <c r="D81" s="42"/>
      <c r="E81" s="43"/>
      <c r="F81" s="43"/>
      <c r="G81" s="498"/>
      <c r="H81" s="45"/>
      <c r="I81" s="46"/>
      <c r="J81" s="83"/>
      <c r="K81" s="83"/>
      <c r="L81" s="36"/>
      <c r="M81" s="36"/>
      <c r="N81" s="47"/>
      <c r="O81" s="48"/>
      <c r="P81" s="49"/>
      <c r="Q81" s="48"/>
      <c r="R81" s="499"/>
      <c r="S81" s="499"/>
      <c r="T81" s="38"/>
      <c r="U81" s="38"/>
      <c r="V81" s="38"/>
      <c r="W81" s="38"/>
      <c r="X81" s="39"/>
      <c r="Y81" s="212"/>
      <c r="Z81" s="38"/>
      <c r="AA81" s="38"/>
      <c r="AB81" s="38"/>
      <c r="AC81" s="38">
        <f>K81-T81</f>
        <v>0</v>
      </c>
      <c r="AD81" s="38">
        <f t="shared" ref="AD81:AD83" si="192">+AM81+BA81</f>
        <v>11</v>
      </c>
      <c r="AE81" s="231" t="s">
        <v>570</v>
      </c>
      <c r="AF81" s="38"/>
      <c r="AG81" s="38">
        <v>11</v>
      </c>
      <c r="AH81" s="38"/>
      <c r="AI81" s="501"/>
      <c r="AJ81" s="38"/>
      <c r="AK81" s="38"/>
      <c r="AL81" s="38"/>
      <c r="AM81" s="38">
        <f t="shared" ref="AM81:AM83" si="193">SUM(AF81:AL81)+AT81</f>
        <v>11</v>
      </c>
      <c r="AN81" s="84"/>
      <c r="AO81" s="38"/>
      <c r="AP81" s="38"/>
      <c r="AQ81" s="38"/>
      <c r="AR81" s="38">
        <f t="shared" ref="AR81:AR83" si="194">SUM(AN81:AQ81)</f>
        <v>0</v>
      </c>
      <c r="AS81" s="38"/>
      <c r="AT81" s="38"/>
      <c r="AU81" s="38"/>
      <c r="AV81" s="38"/>
      <c r="AW81" s="38"/>
      <c r="AX81" s="38"/>
      <c r="AY81" s="38"/>
      <c r="AZ81" s="38"/>
      <c r="BA81" s="38">
        <f t="shared" ref="BA81:BA83" si="195">+AR81+AS81+AU81+AV81+AX81</f>
        <v>0</v>
      </c>
      <c r="BB81" s="51"/>
      <c r="BC81" s="52">
        <v>9</v>
      </c>
      <c r="BD81" s="52"/>
      <c r="BE81" s="51"/>
      <c r="BF81" s="52"/>
    </row>
    <row r="82" spans="1:58" ht="12.95" customHeight="1">
      <c r="A82" s="41"/>
      <c r="B82" s="42"/>
      <c r="C82" s="443"/>
      <c r="D82" s="42"/>
      <c r="E82" s="43"/>
      <c r="F82" s="43"/>
      <c r="G82" s="44"/>
      <c r="H82" s="45"/>
      <c r="I82" s="46"/>
      <c r="J82" s="83"/>
      <c r="K82" s="83"/>
      <c r="L82" s="36"/>
      <c r="M82" s="36"/>
      <c r="N82" s="47"/>
      <c r="O82" s="48"/>
      <c r="P82" s="49"/>
      <c r="Q82" s="48"/>
      <c r="R82" s="499"/>
      <c r="S82" s="499"/>
      <c r="T82" s="38"/>
      <c r="U82" s="38"/>
      <c r="V82" s="38"/>
      <c r="W82" s="38"/>
      <c r="X82" s="39"/>
      <c r="Y82" s="212"/>
      <c r="Z82" s="38"/>
      <c r="AA82" s="38"/>
      <c r="AB82" s="38"/>
      <c r="AC82" s="38"/>
      <c r="AD82" s="38">
        <f t="shared" si="192"/>
        <v>26</v>
      </c>
      <c r="AE82" s="231" t="s">
        <v>607</v>
      </c>
      <c r="AF82" s="34"/>
      <c r="AG82" s="34"/>
      <c r="AH82" s="34">
        <v>26</v>
      </c>
      <c r="AJ82" s="38"/>
      <c r="AK82" s="38"/>
      <c r="AL82" s="38"/>
      <c r="AM82" s="38">
        <f t="shared" si="193"/>
        <v>26</v>
      </c>
      <c r="AN82" s="38"/>
      <c r="AO82" s="38"/>
      <c r="AP82" s="38"/>
      <c r="AQ82" s="38"/>
      <c r="AR82" s="38">
        <f t="shared" si="194"/>
        <v>0</v>
      </c>
      <c r="AS82" s="38"/>
      <c r="AT82" s="38"/>
      <c r="AU82" s="38"/>
      <c r="AV82" s="38"/>
      <c r="AW82" s="38"/>
      <c r="AX82" s="38"/>
      <c r="AY82" s="38"/>
      <c r="AZ82" s="38"/>
      <c r="BA82" s="38">
        <f t="shared" si="195"/>
        <v>0</v>
      </c>
      <c r="BB82" s="34"/>
      <c r="BC82" s="502"/>
      <c r="BD82" s="502"/>
      <c r="BE82" s="34"/>
      <c r="BF82" s="502"/>
    </row>
    <row r="83" spans="1:58" ht="12.95" customHeight="1">
      <c r="A83" s="41"/>
      <c r="B83" s="42"/>
      <c r="C83" s="443"/>
      <c r="D83" s="42"/>
      <c r="E83" s="43"/>
      <c r="F83" s="43"/>
      <c r="G83" s="44"/>
      <c r="H83" s="45"/>
      <c r="I83" s="46"/>
      <c r="J83" s="83"/>
      <c r="K83" s="83"/>
      <c r="L83" s="36"/>
      <c r="M83" s="36"/>
      <c r="N83" s="47"/>
      <c r="O83" s="48"/>
      <c r="P83" s="49"/>
      <c r="Q83" s="35"/>
      <c r="R83" s="499"/>
      <c r="S83" s="499"/>
      <c r="T83" s="38"/>
      <c r="U83" s="38"/>
      <c r="V83" s="38"/>
      <c r="W83" s="38"/>
      <c r="X83" s="39"/>
      <c r="Y83" s="212"/>
      <c r="Z83" s="38"/>
      <c r="AA83" s="38"/>
      <c r="AB83" s="38"/>
      <c r="AC83" s="38"/>
      <c r="AD83" s="38">
        <f t="shared" si="192"/>
        <v>8</v>
      </c>
      <c r="AE83" s="234" t="s">
        <v>228</v>
      </c>
      <c r="AF83" s="38"/>
      <c r="AG83" s="38"/>
      <c r="AH83" s="38"/>
      <c r="AI83" s="501">
        <v>8</v>
      </c>
      <c r="AJ83" s="38"/>
      <c r="AK83" s="38"/>
      <c r="AL83" s="38"/>
      <c r="AM83" s="38">
        <f t="shared" si="193"/>
        <v>8</v>
      </c>
      <c r="AN83" s="38"/>
      <c r="AO83" s="38"/>
      <c r="AP83" s="38"/>
      <c r="AQ83" s="38"/>
      <c r="AR83" s="38">
        <f t="shared" si="194"/>
        <v>0</v>
      </c>
      <c r="AS83" s="38"/>
      <c r="AT83" s="38"/>
      <c r="AU83" s="38"/>
      <c r="AV83" s="38"/>
      <c r="AW83" s="38"/>
      <c r="AX83" s="38"/>
      <c r="AY83" s="38"/>
      <c r="AZ83" s="38"/>
      <c r="BA83" s="38">
        <f t="shared" si="195"/>
        <v>0</v>
      </c>
      <c r="BB83" s="51"/>
      <c r="BC83" s="52"/>
      <c r="BD83" s="52"/>
      <c r="BE83" s="51"/>
      <c r="BF83" s="52"/>
    </row>
    <row r="84" spans="1:58" ht="12.95" customHeight="1">
      <c r="A84" s="41"/>
      <c r="B84" s="42"/>
      <c r="C84" s="443"/>
      <c r="D84" s="42"/>
      <c r="E84" s="43"/>
      <c r="F84" s="43"/>
      <c r="G84" s="44"/>
      <c r="H84" s="44"/>
      <c r="I84" s="46"/>
      <c r="J84" s="83"/>
      <c r="K84" s="83"/>
      <c r="L84" s="36"/>
      <c r="M84" s="36"/>
      <c r="N84" s="47"/>
      <c r="O84" s="48"/>
      <c r="P84" s="49"/>
      <c r="Q84" s="48"/>
      <c r="R84" s="499"/>
      <c r="S84" s="499"/>
      <c r="T84" s="38"/>
      <c r="U84" s="38"/>
      <c r="V84" s="38"/>
      <c r="W84" s="38"/>
      <c r="X84" s="500"/>
      <c r="Y84" s="212"/>
      <c r="Z84" s="38"/>
      <c r="AA84" s="50"/>
      <c r="AB84" s="50"/>
      <c r="AC84" s="38"/>
      <c r="AD84" s="38"/>
      <c r="AE84" s="231"/>
      <c r="AF84" s="38"/>
      <c r="AG84" s="38"/>
      <c r="AH84" s="38"/>
      <c r="AI84" s="501"/>
      <c r="AJ84" s="38"/>
      <c r="AK84" s="38"/>
      <c r="AL84" s="38"/>
      <c r="AM84" s="38"/>
      <c r="AN84" s="38"/>
      <c r="AO84" s="38"/>
      <c r="AP84" s="38"/>
      <c r="AQ84" s="38"/>
      <c r="AR84" s="38"/>
      <c r="AS84" s="38"/>
      <c r="AT84" s="38"/>
      <c r="AU84" s="38"/>
      <c r="AV84" s="38"/>
      <c r="AW84" s="38"/>
      <c r="AX84" s="38"/>
      <c r="AY84" s="38"/>
      <c r="AZ84" s="38"/>
      <c r="BA84" s="38"/>
      <c r="BB84" s="34"/>
      <c r="BC84" s="52"/>
      <c r="BD84" s="52"/>
      <c r="BE84" s="52"/>
      <c r="BF84" s="52"/>
    </row>
    <row r="85" spans="1:58" ht="12" customHeight="1">
      <c r="A85" s="41">
        <v>45977</v>
      </c>
      <c r="B85" s="42" t="s">
        <v>431</v>
      </c>
      <c r="C85" s="443">
        <f t="shared" ref="C85" si="196">(M85*E85*O85*Q85)/100000000</f>
        <v>51.933326444999999</v>
      </c>
      <c r="D85" s="42" t="s">
        <v>434</v>
      </c>
      <c r="E85" s="43">
        <v>15.5</v>
      </c>
      <c r="F85" s="43">
        <v>1</v>
      </c>
      <c r="G85" s="498">
        <v>1170</v>
      </c>
      <c r="H85" s="45">
        <f t="shared" ref="H85" si="197">+N85</f>
        <v>0.22999999999999998</v>
      </c>
      <c r="I85" s="46">
        <v>0.88</v>
      </c>
      <c r="J85" s="83">
        <f t="shared" ref="J85" si="198">E85*G85*(1-H85)*1440/1000000*2.74</f>
        <v>55.096161119999998</v>
      </c>
      <c r="K85" s="83">
        <f>(IF(G85&lt;L85,L85,G85)*(1-IF(H85&lt;N85,H85,N85))*E85*O85*Q85)/100000000</f>
        <v>51.933326444999999</v>
      </c>
      <c r="L85" s="36">
        <v>1170</v>
      </c>
      <c r="M85" s="36">
        <v>900.9</v>
      </c>
      <c r="N85" s="47">
        <f t="shared" ref="N85" si="199">1-(M85/L85)</f>
        <v>0.22999999999999998</v>
      </c>
      <c r="O85" s="48">
        <f>+'Trim Rwd'!H51</f>
        <v>269.5</v>
      </c>
      <c r="P85" s="49">
        <f t="shared" ref="P85" si="200">O85*(Q85-R85-S85)</f>
        <v>362208</v>
      </c>
      <c r="Q85" s="48">
        <v>1380</v>
      </c>
      <c r="R85" s="499">
        <v>0</v>
      </c>
      <c r="S85" s="499">
        <v>36</v>
      </c>
      <c r="T85" s="38">
        <f t="shared" ref="T85" si="201">E85*M85*O85*Q85/100000000</f>
        <v>51.933326444999999</v>
      </c>
      <c r="U85" s="38">
        <f t="shared" ref="U85" si="202">E85*M85*O85*(Q85-R85-S85)/100000000</f>
        <v>50.578544015999995</v>
      </c>
      <c r="V85" s="38">
        <f t="shared" ref="V85" si="203">E85*G85*(1-N85)*O85/100*(R85+S85)/1000000</f>
        <v>1.3547824290000003</v>
      </c>
      <c r="W85" s="38">
        <f>+'16'!K16/1000</f>
        <v>52.406999999999996</v>
      </c>
      <c r="X85" s="500">
        <f>SUM(W85:W88)/SUM(K85:K88)</f>
        <v>0.96297080014302994</v>
      </c>
      <c r="Y85" s="212">
        <f>+SUM(RBP!AG76:AG77)</f>
        <v>0</v>
      </c>
      <c r="Z85" s="38">
        <v>0</v>
      </c>
      <c r="AA85" s="50">
        <f>SUM(U85:U88)-SUM(W85:W88)-SUM(Z85:Z88)-SUM(Y85:Y88)</f>
        <v>0.32857723200000066</v>
      </c>
      <c r="AB85" s="50">
        <f>(SUM(K85:K88)-SUM(W85:W88)-SUM(Y85:Y88)-SUM(Z85:Z88)-SUM(AC85:AC88)-SUM(V85:V88))-AA85</f>
        <v>2.6198784000004194E-2</v>
      </c>
      <c r="AC85" s="38">
        <f>K85-T85</f>
        <v>0</v>
      </c>
      <c r="AD85" s="38">
        <f>+AM85+BA85</f>
        <v>0</v>
      </c>
      <c r="AE85" s="231" t="s">
        <v>390</v>
      </c>
      <c r="AF85" s="38">
        <v>0</v>
      </c>
      <c r="AG85" s="38"/>
      <c r="AH85" s="38"/>
      <c r="AI85" s="501"/>
      <c r="AJ85" s="38"/>
      <c r="AK85" s="38"/>
      <c r="AL85" s="38"/>
      <c r="AM85" s="38">
        <f>SUM(AF85:AL85)+AT85</f>
        <v>0</v>
      </c>
      <c r="AN85" s="38"/>
      <c r="AO85" s="38"/>
      <c r="AP85" s="38"/>
      <c r="AQ85" s="38"/>
      <c r="AR85" s="38">
        <f>SUM(AN85:AQ85)</f>
        <v>0</v>
      </c>
      <c r="AS85" s="38"/>
      <c r="AT85" s="38"/>
      <c r="AU85" s="38"/>
      <c r="AV85" s="38"/>
      <c r="AW85" s="38"/>
      <c r="AX85" s="38"/>
      <c r="AY85" s="38"/>
      <c r="AZ85" s="38"/>
      <c r="BA85" s="38">
        <f>+AR85+AS85+AU85+AV85+AX85</f>
        <v>0</v>
      </c>
      <c r="BB85" s="34">
        <v>0</v>
      </c>
      <c r="BC85" s="52"/>
      <c r="BD85" s="52"/>
      <c r="BE85" s="34"/>
      <c r="BF85" s="52"/>
    </row>
    <row r="86" spans="1:58" ht="12.95" customHeight="1">
      <c r="A86" s="41"/>
      <c r="B86" s="42" t="s">
        <v>431</v>
      </c>
      <c r="C86" s="443">
        <f t="shared" ref="C86" si="204">(M86*E86*O86*Q86)/100000000</f>
        <v>2.4888844800000003</v>
      </c>
      <c r="D86" s="42" t="s">
        <v>434</v>
      </c>
      <c r="E86" s="43">
        <v>16</v>
      </c>
      <c r="F86" s="43">
        <v>1</v>
      </c>
      <c r="G86" s="498">
        <v>1050</v>
      </c>
      <c r="H86" s="45">
        <f t="shared" ref="H86" si="205">+N86</f>
        <v>0.16999999999999993</v>
      </c>
      <c r="I86" s="46">
        <v>0.88</v>
      </c>
      <c r="J86" s="83">
        <f t="shared" ref="J86" si="206">E86*G86*(1-H86)*1440/1000000*2.74</f>
        <v>55.017446400000019</v>
      </c>
      <c r="K86" s="83">
        <f>(IF(G86&lt;L86,L86,G86)*(1-IF(H86&lt;N86,H86,N86))*E86*O86*Q86)/100000000</f>
        <v>2.4888844800000003</v>
      </c>
      <c r="L86" s="36">
        <v>1140</v>
      </c>
      <c r="M86" s="36">
        <v>946.2</v>
      </c>
      <c r="N86" s="47">
        <f t="shared" ref="N86" si="207">1-(M86/L86)</f>
        <v>0.16999999999999993</v>
      </c>
      <c r="O86" s="48">
        <f>+'Trim Rwd'!H52</f>
        <v>274</v>
      </c>
      <c r="P86" s="49">
        <f t="shared" ref="P86" si="208">O86*(Q86-R86-S86)</f>
        <v>14248</v>
      </c>
      <c r="Q86" s="48">
        <v>60</v>
      </c>
      <c r="R86" s="499">
        <v>0</v>
      </c>
      <c r="S86" s="499">
        <v>8</v>
      </c>
      <c r="T86" s="38">
        <f t="shared" ref="T86" si="209">E86*M86*O86*Q86/100000000</f>
        <v>2.4888844800000003</v>
      </c>
      <c r="U86" s="38">
        <f t="shared" ref="U86" si="210">E86*M86*O86*(Q86-R86-S86)/100000000</f>
        <v>2.1570332160000003</v>
      </c>
      <c r="V86" s="38">
        <f t="shared" ref="V86" si="211">E86*G86*(1-N86)*O86/100*(R86+S86)/1000000</f>
        <v>0.30565248000000006</v>
      </c>
      <c r="W86" s="38">
        <f>+'14'!K26/1000</f>
        <v>0</v>
      </c>
      <c r="X86" s="39"/>
      <c r="Y86" s="212"/>
      <c r="Z86" s="38"/>
      <c r="AA86" s="38"/>
      <c r="AB86" s="38"/>
      <c r="AC86" s="38">
        <f>K86-T86</f>
        <v>0</v>
      </c>
      <c r="AD86" s="38">
        <f t="shared" ref="AD86:AD88" si="212">+AM86+BA86</f>
        <v>10</v>
      </c>
      <c r="AE86" s="231" t="s">
        <v>570</v>
      </c>
      <c r="AF86" s="38"/>
      <c r="AG86" s="38">
        <v>10</v>
      </c>
      <c r="AH86" s="38"/>
      <c r="AI86" s="501"/>
      <c r="AJ86" s="38"/>
      <c r="AK86" s="38"/>
      <c r="AL86" s="38"/>
      <c r="AM86" s="38">
        <f t="shared" ref="AM86:AM88" si="213">SUM(AF86:AL86)+AT86</f>
        <v>10</v>
      </c>
      <c r="AN86" s="84"/>
      <c r="AO86" s="38"/>
      <c r="AP86" s="38"/>
      <c r="AQ86" s="38"/>
      <c r="AR86" s="38">
        <f t="shared" ref="AR86:AR88" si="214">SUM(AN86:AQ86)</f>
        <v>0</v>
      </c>
      <c r="AS86" s="38"/>
      <c r="AT86" s="38"/>
      <c r="AU86" s="38"/>
      <c r="AV86" s="38"/>
      <c r="AW86" s="38"/>
      <c r="AX86" s="38"/>
      <c r="AY86" s="38"/>
      <c r="AZ86" s="38"/>
      <c r="BA86" s="38">
        <f t="shared" ref="BA86:BA88" si="215">+AR86+AS86+AU86+AV86+AX86</f>
        <v>0</v>
      </c>
      <c r="BB86" s="51"/>
      <c r="BC86" s="52">
        <v>9</v>
      </c>
      <c r="BD86" s="52"/>
      <c r="BE86" s="51"/>
      <c r="BF86" s="52"/>
    </row>
    <row r="87" spans="1:58" ht="12.95" customHeight="1">
      <c r="A87" s="41"/>
      <c r="B87" s="42"/>
      <c r="C87" s="443"/>
      <c r="D87" s="42"/>
      <c r="E87" s="43"/>
      <c r="F87" s="43"/>
      <c r="G87" s="44"/>
      <c r="H87" s="45"/>
      <c r="I87" s="46"/>
      <c r="J87" s="83"/>
      <c r="K87" s="83"/>
      <c r="L87" s="36"/>
      <c r="M87" s="36"/>
      <c r="N87" s="47"/>
      <c r="O87" s="48"/>
      <c r="P87" s="49"/>
      <c r="Q87" s="48"/>
      <c r="R87" s="499"/>
      <c r="S87" s="499"/>
      <c r="T87" s="38"/>
      <c r="U87" s="38"/>
      <c r="V87" s="38"/>
      <c r="W87" s="38"/>
      <c r="X87" s="39"/>
      <c r="Y87" s="212"/>
      <c r="Z87" s="38"/>
      <c r="AA87" s="38"/>
      <c r="AB87" s="38"/>
      <c r="AC87" s="38"/>
      <c r="AD87" s="38">
        <f t="shared" si="212"/>
        <v>26</v>
      </c>
      <c r="AE87" s="231" t="s">
        <v>436</v>
      </c>
      <c r="AF87" s="34"/>
      <c r="AG87" s="34"/>
      <c r="AH87" s="34">
        <v>26</v>
      </c>
      <c r="AJ87" s="38"/>
      <c r="AK87" s="38"/>
      <c r="AL87" s="38"/>
      <c r="AM87" s="38">
        <f t="shared" si="213"/>
        <v>26</v>
      </c>
      <c r="AN87" s="38"/>
      <c r="AO87" s="38"/>
      <c r="AP87" s="38"/>
      <c r="AQ87" s="38"/>
      <c r="AR87" s="38">
        <f t="shared" si="214"/>
        <v>0</v>
      </c>
      <c r="AS87" s="38"/>
      <c r="AT87" s="38"/>
      <c r="AU87" s="38"/>
      <c r="AV87" s="38"/>
      <c r="AW87" s="38"/>
      <c r="AX87" s="38"/>
      <c r="AY87" s="38"/>
      <c r="AZ87" s="38"/>
      <c r="BA87" s="38">
        <f t="shared" si="215"/>
        <v>0</v>
      </c>
      <c r="BB87" s="34"/>
      <c r="BC87" s="502"/>
      <c r="BD87" s="502"/>
      <c r="BE87" s="34"/>
      <c r="BF87" s="502"/>
    </row>
    <row r="88" spans="1:58" ht="12.95" customHeight="1">
      <c r="A88" s="41"/>
      <c r="B88" s="42"/>
      <c r="C88" s="443"/>
      <c r="D88" s="42"/>
      <c r="E88" s="43"/>
      <c r="F88" s="43"/>
      <c r="G88" s="44"/>
      <c r="H88" s="45"/>
      <c r="I88" s="46"/>
      <c r="J88" s="83"/>
      <c r="K88" s="83"/>
      <c r="L88" s="36"/>
      <c r="M88" s="36"/>
      <c r="N88" s="47"/>
      <c r="O88" s="48"/>
      <c r="P88" s="49"/>
      <c r="Q88" s="35"/>
      <c r="R88" s="499"/>
      <c r="S88" s="499"/>
      <c r="T88" s="38"/>
      <c r="U88" s="38"/>
      <c r="V88" s="38"/>
      <c r="W88" s="38"/>
      <c r="X88" s="39"/>
      <c r="Y88" s="212"/>
      <c r="Z88" s="38"/>
      <c r="AA88" s="38"/>
      <c r="AB88" s="38"/>
      <c r="AC88" s="38"/>
      <c r="AD88" s="38">
        <f t="shared" si="212"/>
        <v>8</v>
      </c>
      <c r="AE88" s="234" t="s">
        <v>228</v>
      </c>
      <c r="AF88" s="38"/>
      <c r="AG88" s="38"/>
      <c r="AH88" s="38"/>
      <c r="AI88" s="501">
        <v>8</v>
      </c>
      <c r="AJ88" s="38"/>
      <c r="AK88" s="38"/>
      <c r="AL88" s="38"/>
      <c r="AM88" s="38">
        <f t="shared" si="213"/>
        <v>8</v>
      </c>
      <c r="AN88" s="38"/>
      <c r="AO88" s="38"/>
      <c r="AP88" s="38"/>
      <c r="AQ88" s="38"/>
      <c r="AR88" s="38">
        <f t="shared" si="214"/>
        <v>0</v>
      </c>
      <c r="AS88" s="38"/>
      <c r="AT88" s="38"/>
      <c r="AU88" s="38"/>
      <c r="AV88" s="38"/>
      <c r="AW88" s="38"/>
      <c r="AX88" s="38"/>
      <c r="AY88" s="38"/>
      <c r="AZ88" s="38"/>
      <c r="BA88" s="38">
        <f t="shared" si="215"/>
        <v>0</v>
      </c>
      <c r="BB88" s="51"/>
      <c r="BC88" s="52"/>
      <c r="BD88" s="52"/>
      <c r="BE88" s="51"/>
      <c r="BF88" s="52"/>
    </row>
    <row r="89" spans="1:58" ht="12.95" customHeight="1">
      <c r="A89" s="41"/>
      <c r="B89" s="42"/>
      <c r="C89" s="443"/>
      <c r="D89" s="42"/>
      <c r="E89" s="43"/>
      <c r="F89" s="43"/>
      <c r="G89" s="44"/>
      <c r="H89" s="44"/>
      <c r="I89" s="46"/>
      <c r="J89" s="83"/>
      <c r="K89" s="83"/>
      <c r="L89" s="36"/>
      <c r="M89" s="36"/>
      <c r="N89" s="47"/>
      <c r="O89" s="48"/>
      <c r="P89" s="49"/>
      <c r="Q89" s="48"/>
      <c r="R89" s="499"/>
      <c r="S89" s="499"/>
      <c r="T89" s="38"/>
      <c r="U89" s="38"/>
      <c r="V89" s="38"/>
      <c r="W89" s="38"/>
      <c r="X89" s="39"/>
      <c r="Y89" s="212"/>
      <c r="Z89" s="38"/>
      <c r="AA89" s="38"/>
      <c r="AB89" s="38"/>
      <c r="AC89" s="38"/>
      <c r="AD89" s="38"/>
      <c r="AE89" s="231"/>
      <c r="AF89" s="38"/>
      <c r="AG89" s="38"/>
      <c r="AH89" s="38"/>
      <c r="AI89" s="501"/>
      <c r="AJ89" s="38"/>
      <c r="AK89" s="38"/>
      <c r="AL89" s="38"/>
      <c r="AM89" s="38"/>
      <c r="AN89" s="84"/>
      <c r="AO89" s="38"/>
      <c r="AP89" s="38"/>
      <c r="AQ89" s="38"/>
      <c r="AR89" s="38"/>
      <c r="AS89" s="38"/>
      <c r="AT89" s="38"/>
      <c r="AU89" s="38"/>
      <c r="AV89" s="38"/>
      <c r="AW89" s="38"/>
      <c r="AX89" s="38"/>
      <c r="AY89" s="38"/>
      <c r="AZ89" s="38"/>
      <c r="BA89" s="38"/>
      <c r="BB89" s="51"/>
      <c r="BC89" s="52"/>
      <c r="BD89" s="52"/>
      <c r="BE89" s="52"/>
      <c r="BF89" s="52"/>
    </row>
    <row r="90" spans="1:58" ht="12" customHeight="1">
      <c r="A90" s="41">
        <v>45978</v>
      </c>
      <c r="B90" s="42" t="s">
        <v>431</v>
      </c>
      <c r="C90" s="443">
        <f t="shared" ref="C90:C91" si="216">(M90*E90*O90*Q90)/100000000</f>
        <v>12.475139040000002</v>
      </c>
      <c r="D90" s="42" t="s">
        <v>434</v>
      </c>
      <c r="E90" s="43">
        <v>16</v>
      </c>
      <c r="F90" s="43">
        <v>1</v>
      </c>
      <c r="G90" s="498">
        <v>1050</v>
      </c>
      <c r="H90" s="45">
        <f t="shared" ref="H90:H91" si="217">+N90</f>
        <v>0.16999999999999993</v>
      </c>
      <c r="I90" s="46">
        <v>0.88</v>
      </c>
      <c r="J90" s="83">
        <f t="shared" ref="J90:J91" si="218">E90*G90*(1-H90)*1440/1000000*2.74</f>
        <v>55.017446400000019</v>
      </c>
      <c r="K90" s="83">
        <f>(IF(G90&lt;L90,L90,G90)*(1-IF(H90&lt;N90,H90,N90))*E90*O90*Q90)/100000000</f>
        <v>12.475139040000002</v>
      </c>
      <c r="L90" s="36">
        <v>1140</v>
      </c>
      <c r="M90" s="36">
        <v>946.2</v>
      </c>
      <c r="N90" s="47">
        <f t="shared" ref="N90:N91" si="219">1-(M90/L90)</f>
        <v>0.16999999999999993</v>
      </c>
      <c r="O90" s="48">
        <f>+'Trim Rwd'!H54</f>
        <v>261.59649122807019</v>
      </c>
      <c r="P90" s="49">
        <f t="shared" ref="P90:P91" si="220">O90*(Q90-R90-S90)</f>
        <v>79786.929824561405</v>
      </c>
      <c r="Q90" s="48">
        <v>315</v>
      </c>
      <c r="R90" s="499">
        <v>0</v>
      </c>
      <c r="S90" s="499">
        <v>10</v>
      </c>
      <c r="T90" s="38">
        <f t="shared" ref="T90:T91" si="221">E90*M90*O90*Q90/100000000</f>
        <v>12.475139040000002</v>
      </c>
      <c r="U90" s="38">
        <f t="shared" ref="U90:U91" si="222">E90*M90*O90*(Q90-R90-S90)/100000000</f>
        <v>12.079102880000002</v>
      </c>
      <c r="V90" s="38">
        <f t="shared" ref="V90:V91" si="223">E90*G90*(1-N90)*O90/100*(R90+S90)/1000000</f>
        <v>0.36477014736842106</v>
      </c>
      <c r="W90" s="38">
        <f>+'17'!K17/1000</f>
        <v>13.542</v>
      </c>
      <c r="X90" s="500">
        <f>SUM(W90:W93)/SUM(K90:K93)</f>
        <v>0.93426728035711137</v>
      </c>
      <c r="Y90" s="212">
        <f>+SUM(RBP!AG81:AG82)</f>
        <v>0</v>
      </c>
      <c r="Z90" s="38">
        <v>0</v>
      </c>
      <c r="AA90" s="50">
        <f>SUM(U90:U93)-SUM(W90:W93)-SUM(Z90:Z93)-SUM(Y90:Y93)</f>
        <v>2.111748324079997</v>
      </c>
      <c r="AB90" s="50">
        <f>(SUM(K90:K93)-SUM(W90:W93)-SUM(Y90:Y93)-SUM(Z90:Z93)-SUM(AC90:AC93)-SUM(V90:V93))-AA90</f>
        <v>3.5501800551581031E-2</v>
      </c>
      <c r="AC90" s="38">
        <f>K90-T90</f>
        <v>0</v>
      </c>
      <c r="AD90" s="38">
        <f>+AM90+BA90</f>
        <v>0</v>
      </c>
      <c r="AE90" s="231" t="s">
        <v>390</v>
      </c>
      <c r="AF90" s="38">
        <v>0</v>
      </c>
      <c r="AG90" s="38"/>
      <c r="AH90" s="38"/>
      <c r="AI90" s="501"/>
      <c r="AJ90" s="38"/>
      <c r="AK90" s="38"/>
      <c r="AL90" s="38"/>
      <c r="AM90" s="38">
        <f>SUM(AF90:AL90)+AT90</f>
        <v>0</v>
      </c>
      <c r="AN90" s="38"/>
      <c r="AO90" s="38"/>
      <c r="AP90" s="38"/>
      <c r="AQ90" s="38"/>
      <c r="AR90" s="38">
        <f>SUM(AN90:AQ90)</f>
        <v>0</v>
      </c>
      <c r="AS90" s="38"/>
      <c r="AT90" s="38"/>
      <c r="AU90" s="38"/>
      <c r="AV90" s="38"/>
      <c r="AW90" s="38"/>
      <c r="AX90" s="38"/>
      <c r="AY90" s="38"/>
      <c r="AZ90" s="38"/>
      <c r="BA90" s="38">
        <f>+AR90+AS90+AU90+AV90+AX90</f>
        <v>0</v>
      </c>
      <c r="BB90" s="34">
        <v>0</v>
      </c>
      <c r="BC90" s="52"/>
      <c r="BD90" s="52"/>
      <c r="BE90" s="34"/>
      <c r="BF90" s="52"/>
    </row>
    <row r="91" spans="1:58" ht="12.95" customHeight="1">
      <c r="A91" s="41"/>
      <c r="B91" s="42" t="s">
        <v>431</v>
      </c>
      <c r="C91" s="443">
        <f t="shared" si="216"/>
        <v>43.202717921999998</v>
      </c>
      <c r="D91" s="42" t="s">
        <v>434</v>
      </c>
      <c r="E91" s="43">
        <v>15.5</v>
      </c>
      <c r="F91" s="43">
        <v>1</v>
      </c>
      <c r="G91" s="498">
        <v>1155</v>
      </c>
      <c r="H91" s="45">
        <f t="shared" si="217"/>
        <v>0.21999999999999997</v>
      </c>
      <c r="I91" s="46">
        <v>0.88</v>
      </c>
      <c r="J91" s="83">
        <f t="shared" si="218"/>
        <v>55.096161119999998</v>
      </c>
      <c r="K91" s="83">
        <f>(IF(G91&lt;L91,L91,G91)*(1-IF(H91&lt;N91,H91,N91))*E91*O91*Q91)/100000000</f>
        <v>43.202717921999998</v>
      </c>
      <c r="L91" s="36">
        <v>1159.2622222222221</v>
      </c>
      <c r="M91" s="36">
        <v>904.22453333333328</v>
      </c>
      <c r="N91" s="47">
        <f t="shared" si="219"/>
        <v>0.21999999999999997</v>
      </c>
      <c r="O91" s="48">
        <f>+'Trim Rwd'!H56</f>
        <v>274</v>
      </c>
      <c r="P91" s="49">
        <f t="shared" si="220"/>
        <v>300030</v>
      </c>
      <c r="Q91" s="48">
        <v>1125</v>
      </c>
      <c r="R91" s="499">
        <v>0</v>
      </c>
      <c r="S91" s="499">
        <v>30</v>
      </c>
      <c r="T91" s="38">
        <f t="shared" si="221"/>
        <v>43.202717921999998</v>
      </c>
      <c r="U91" s="38">
        <f t="shared" si="222"/>
        <v>42.050645444079997</v>
      </c>
      <c r="V91" s="38">
        <f t="shared" si="223"/>
        <v>1.1478366900000001</v>
      </c>
      <c r="W91" s="38">
        <f>+'17'!K16/1000</f>
        <v>38.475999999999999</v>
      </c>
      <c r="X91" s="39"/>
      <c r="Y91" s="212"/>
      <c r="Z91" s="38"/>
      <c r="AA91" s="38"/>
      <c r="AB91" s="38"/>
      <c r="AC91" s="38">
        <f>K91-T91</f>
        <v>0</v>
      </c>
      <c r="AD91" s="38">
        <f t="shared" ref="AD91:AD93" si="224">+AM91+BA91</f>
        <v>11</v>
      </c>
      <c r="AE91" s="231" t="s">
        <v>617</v>
      </c>
      <c r="AF91" s="38"/>
      <c r="AG91" s="38">
        <v>11</v>
      </c>
      <c r="AH91" s="38"/>
      <c r="AI91" s="501"/>
      <c r="AJ91" s="38"/>
      <c r="AK91" s="38"/>
      <c r="AL91" s="38"/>
      <c r="AM91" s="38">
        <f t="shared" ref="AM91:AM93" si="225">SUM(AF91:AL91)+AT91</f>
        <v>11</v>
      </c>
      <c r="AN91" s="84"/>
      <c r="AO91" s="38"/>
      <c r="AP91" s="38"/>
      <c r="AQ91" s="38"/>
      <c r="AR91" s="38">
        <f t="shared" ref="AR91:AR93" si="226">SUM(AN91:AQ91)</f>
        <v>0</v>
      </c>
      <c r="AS91" s="38"/>
      <c r="AT91" s="38"/>
      <c r="AU91" s="38"/>
      <c r="AV91" s="38"/>
      <c r="AW91" s="38"/>
      <c r="AX91" s="38"/>
      <c r="AY91" s="38"/>
      <c r="AZ91" s="38"/>
      <c r="BA91" s="38">
        <f t="shared" ref="BA91:BA93" si="227">+AR91+AS91+AU91+AV91+AX91</f>
        <v>0</v>
      </c>
      <c r="BB91" s="51"/>
      <c r="BC91" s="52">
        <v>8</v>
      </c>
      <c r="BD91" s="52"/>
      <c r="BE91" s="51"/>
      <c r="BF91" s="52"/>
    </row>
    <row r="92" spans="1:58" ht="12.95" customHeight="1">
      <c r="A92" s="41"/>
      <c r="B92" s="42"/>
      <c r="C92" s="443"/>
      <c r="D92" s="42"/>
      <c r="E92" s="43"/>
      <c r="F92" s="43"/>
      <c r="G92" s="44"/>
      <c r="H92" s="45"/>
      <c r="I92" s="46"/>
      <c r="J92" s="83"/>
      <c r="K92" s="83"/>
      <c r="L92" s="36"/>
      <c r="M92" s="36"/>
      <c r="N92" s="47"/>
      <c r="O92" s="48"/>
      <c r="P92" s="49"/>
      <c r="Q92" s="48"/>
      <c r="R92" s="499"/>
      <c r="S92" s="499"/>
      <c r="T92" s="38"/>
      <c r="U92" s="38"/>
      <c r="V92" s="38"/>
      <c r="W92" s="38"/>
      <c r="X92" s="39"/>
      <c r="Y92" s="212"/>
      <c r="Z92" s="38"/>
      <c r="AA92" s="38"/>
      <c r="AB92" s="38"/>
      <c r="AC92" s="38"/>
      <c r="AD92" s="38">
        <f t="shared" si="224"/>
        <v>24</v>
      </c>
      <c r="AE92" s="231" t="s">
        <v>436</v>
      </c>
      <c r="AF92" s="34"/>
      <c r="AG92" s="34"/>
      <c r="AH92" s="34">
        <v>24</v>
      </c>
      <c r="AJ92" s="38"/>
      <c r="AK92" s="38"/>
      <c r="AL92" s="38"/>
      <c r="AM92" s="38">
        <f t="shared" si="225"/>
        <v>24</v>
      </c>
      <c r="AN92" s="38"/>
      <c r="AO92" s="38"/>
      <c r="AP92" s="38"/>
      <c r="AQ92" s="38"/>
      <c r="AR92" s="38">
        <f t="shared" si="226"/>
        <v>0</v>
      </c>
      <c r="AS92" s="38"/>
      <c r="AT92" s="38"/>
      <c r="AU92" s="38"/>
      <c r="AV92" s="38"/>
      <c r="AW92" s="38"/>
      <c r="AX92" s="38"/>
      <c r="AY92" s="38"/>
      <c r="AZ92" s="38"/>
      <c r="BA92" s="38">
        <f t="shared" si="227"/>
        <v>0</v>
      </c>
      <c r="BB92" s="34"/>
      <c r="BC92" s="502"/>
      <c r="BD92" s="502"/>
      <c r="BE92" s="34"/>
      <c r="BF92" s="502"/>
    </row>
    <row r="93" spans="1:58" ht="12.95" customHeight="1">
      <c r="A93" s="41"/>
      <c r="B93" s="42"/>
      <c r="C93" s="443"/>
      <c r="D93" s="42"/>
      <c r="E93" s="43"/>
      <c r="F93" s="43"/>
      <c r="G93" s="44"/>
      <c r="H93" s="45"/>
      <c r="I93" s="46"/>
      <c r="J93" s="83"/>
      <c r="K93" s="83"/>
      <c r="L93" s="36"/>
      <c r="M93" s="36"/>
      <c r="N93" s="47"/>
      <c r="O93" s="48"/>
      <c r="P93" s="49"/>
      <c r="Q93" s="35"/>
      <c r="R93" s="499"/>
      <c r="S93" s="499"/>
      <c r="T93" s="38"/>
      <c r="U93" s="38"/>
      <c r="V93" s="38"/>
      <c r="W93" s="38"/>
      <c r="X93" s="39"/>
      <c r="Y93" s="212"/>
      <c r="Z93" s="38"/>
      <c r="AA93" s="38"/>
      <c r="AB93" s="38"/>
      <c r="AC93" s="38"/>
      <c r="AD93" s="38">
        <f t="shared" si="224"/>
        <v>5</v>
      </c>
      <c r="AE93" s="234" t="s">
        <v>228</v>
      </c>
      <c r="AF93" s="38"/>
      <c r="AG93" s="38"/>
      <c r="AH93" s="38"/>
      <c r="AI93" s="501">
        <v>5</v>
      </c>
      <c r="AJ93" s="38"/>
      <c r="AK93" s="38"/>
      <c r="AL93" s="38"/>
      <c r="AM93" s="38">
        <f t="shared" si="225"/>
        <v>5</v>
      </c>
      <c r="AN93" s="38"/>
      <c r="AO93" s="38"/>
      <c r="AP93" s="38"/>
      <c r="AQ93" s="38"/>
      <c r="AR93" s="38">
        <f t="shared" si="226"/>
        <v>0</v>
      </c>
      <c r="AS93" s="38"/>
      <c r="AT93" s="38"/>
      <c r="AU93" s="38"/>
      <c r="AV93" s="38"/>
      <c r="AW93" s="38"/>
      <c r="AX93" s="38"/>
      <c r="AY93" s="38"/>
      <c r="AZ93" s="38"/>
      <c r="BA93" s="38">
        <f t="shared" si="227"/>
        <v>0</v>
      </c>
      <c r="BB93" s="51"/>
      <c r="BC93" s="52"/>
      <c r="BD93" s="52"/>
      <c r="BE93" s="51"/>
      <c r="BF93" s="52"/>
    </row>
    <row r="94" spans="1:58" ht="12.95" customHeight="1">
      <c r="A94" s="41"/>
      <c r="B94" s="42"/>
      <c r="C94" s="443"/>
      <c r="D94" s="42"/>
      <c r="E94" s="43"/>
      <c r="F94" s="43"/>
      <c r="G94" s="44"/>
      <c r="H94" s="44"/>
      <c r="I94" s="46"/>
      <c r="J94" s="83"/>
      <c r="K94" s="83"/>
      <c r="L94" s="36"/>
      <c r="M94" s="36"/>
      <c r="N94" s="47"/>
      <c r="O94" s="48"/>
      <c r="P94" s="49"/>
      <c r="Q94" s="48"/>
      <c r="R94" s="499"/>
      <c r="S94" s="499"/>
      <c r="T94" s="38"/>
      <c r="U94" s="38"/>
      <c r="V94" s="38"/>
      <c r="W94" s="38"/>
      <c r="X94" s="39"/>
      <c r="Y94" s="212"/>
      <c r="Z94" s="38"/>
      <c r="AA94" s="38"/>
      <c r="AB94" s="38"/>
      <c r="AC94" s="38"/>
      <c r="AD94" s="38"/>
      <c r="AE94" s="231"/>
      <c r="AF94" s="38"/>
      <c r="AG94" s="38"/>
      <c r="AH94" s="38"/>
      <c r="AI94" s="501"/>
      <c r="AJ94" s="38"/>
      <c r="AK94" s="38"/>
      <c r="AL94" s="38"/>
      <c r="AM94" s="38"/>
      <c r="AN94" s="84"/>
      <c r="AO94" s="38"/>
      <c r="AP94" s="38"/>
      <c r="AQ94" s="38"/>
      <c r="AR94" s="38"/>
      <c r="AS94" s="38"/>
      <c r="AT94" s="38"/>
      <c r="AU94" s="38"/>
      <c r="AV94" s="38"/>
      <c r="AW94" s="38"/>
      <c r="AX94" s="38"/>
      <c r="AY94" s="38"/>
      <c r="AZ94" s="38"/>
      <c r="BA94" s="38"/>
      <c r="BB94" s="51"/>
      <c r="BC94" s="52"/>
      <c r="BD94" s="52"/>
      <c r="BE94" s="52"/>
      <c r="BF94" s="52"/>
    </row>
    <row r="95" spans="1:58" ht="12" customHeight="1">
      <c r="A95" s="41">
        <v>45979</v>
      </c>
      <c r="B95" s="42" t="s">
        <v>431</v>
      </c>
      <c r="C95" s="443">
        <f t="shared" ref="C95:C96" si="228">(M95*E95*O95*Q95)/100000000</f>
        <v>41.053216641973826</v>
      </c>
      <c r="D95" s="42" t="s">
        <v>434</v>
      </c>
      <c r="E95" s="43">
        <v>15.5</v>
      </c>
      <c r="F95" s="43">
        <v>1</v>
      </c>
      <c r="G95" s="498">
        <v>1160</v>
      </c>
      <c r="H95" s="45">
        <f t="shared" ref="H95:H96" si="229">+N95</f>
        <v>0.22240767773113435</v>
      </c>
      <c r="I95" s="46">
        <v>0.88</v>
      </c>
      <c r="J95" s="83">
        <f t="shared" ref="J95:J96" si="230">E95*G95*(1-H95)*1440/1000000*2.74</f>
        <v>55.163867436057771</v>
      </c>
      <c r="K95" s="83">
        <f>(IF(G95&lt;L95,L95,G95)*(1-IF(H95&lt;N95,H95,N95))*E95*O95*Q95)/100000000</f>
        <v>41.234487588494822</v>
      </c>
      <c r="L95" s="36">
        <v>1154.9005235602094</v>
      </c>
      <c r="M95" s="36">
        <v>898.04178010471207</v>
      </c>
      <c r="N95" s="47">
        <f t="shared" ref="N95:N96" si="231">1-(M95/L95)</f>
        <v>0.22240767773113435</v>
      </c>
      <c r="O95" s="48">
        <f>+'Trim Rwd'!H58</f>
        <v>261</v>
      </c>
      <c r="P95" s="49">
        <f t="shared" ref="P95:P96" si="232">O95*(Q95-R95-S95)</f>
        <v>241425</v>
      </c>
      <c r="Q95" s="48">
        <f>955+175</f>
        <v>1130</v>
      </c>
      <c r="R95" s="499">
        <v>175</v>
      </c>
      <c r="S95" s="499">
        <v>30</v>
      </c>
      <c r="T95" s="38">
        <f t="shared" ref="T95:T96" si="233">E95*M95*O95*Q95/100000000</f>
        <v>41.053216641973826</v>
      </c>
      <c r="U95" s="38">
        <f t="shared" ref="U95:U96" si="234">E95*M95*O95*(Q95-R95-S95)/100000000</f>
        <v>33.605509198075922</v>
      </c>
      <c r="V95" s="38">
        <f t="shared" ref="V95:V96" si="235">E95*G95*(1-N95)*O95/100*(R95+S95)/1000000</f>
        <v>7.4805928810986195</v>
      </c>
      <c r="W95" s="38">
        <f>+'18'!K16/1000</f>
        <v>31.056000000000001</v>
      </c>
      <c r="X95" s="500">
        <f>SUM(W95:W98)/SUM(K95:K98)</f>
        <v>0.85466379693890182</v>
      </c>
      <c r="Y95" s="212">
        <f>+SUM(RBP!AG86:AG87)</f>
        <v>0</v>
      </c>
      <c r="Z95" s="38">
        <v>0</v>
      </c>
      <c r="AA95" s="50">
        <f>SUM(U95:U98)-SUM(W95:W98)-SUM(Z95:Z98)-SUM(Y95:Y98)</f>
        <v>-0.19418133095634005</v>
      </c>
      <c r="AB95" s="50">
        <f>(SUM(K95:K98)-SUM(W95:W98)-SUM(Y95:Y98)-SUM(Z95:Z98)-SUM(AC95:AC98)-SUM(V95:V98))-AA95</f>
        <v>-5.1045664658433409E-3</v>
      </c>
      <c r="AC95" s="38">
        <f>K95-T95</f>
        <v>0.18127094652099629</v>
      </c>
      <c r="AD95" s="38">
        <f>+AM95+BA95</f>
        <v>0</v>
      </c>
      <c r="AE95" s="231" t="s">
        <v>390</v>
      </c>
      <c r="AF95" s="38">
        <v>0</v>
      </c>
      <c r="AG95" s="38"/>
      <c r="AH95" s="38"/>
      <c r="AI95" s="501"/>
      <c r="AJ95" s="38"/>
      <c r="AK95" s="38"/>
      <c r="AL95" s="38"/>
      <c r="AM95" s="38">
        <f>SUM(AF95:AL95)+AT95</f>
        <v>0</v>
      </c>
      <c r="AN95" s="38"/>
      <c r="AO95" s="38"/>
      <c r="AP95" s="38"/>
      <c r="AQ95" s="38"/>
      <c r="AR95" s="38">
        <f>SUM(AN95:AQ95)</f>
        <v>0</v>
      </c>
      <c r="AS95" s="38"/>
      <c r="AT95" s="38"/>
      <c r="AU95" s="38"/>
      <c r="AV95" s="38"/>
      <c r="AW95" s="38"/>
      <c r="AX95" s="38"/>
      <c r="AY95" s="38"/>
      <c r="AZ95" s="38"/>
      <c r="BA95" s="38">
        <f>+AR95+AS95+AU95+AV95+AX95</f>
        <v>0</v>
      </c>
      <c r="BB95" s="34">
        <v>0</v>
      </c>
      <c r="BC95" s="52"/>
      <c r="BD95" s="52"/>
      <c r="BE95" s="34"/>
      <c r="BF95" s="52">
        <v>2</v>
      </c>
    </row>
    <row r="96" spans="1:58" ht="12.95" customHeight="1">
      <c r="A96" s="41"/>
      <c r="B96" s="42" t="s">
        <v>431</v>
      </c>
      <c r="C96" s="443">
        <f t="shared" si="228"/>
        <v>12.75165312</v>
      </c>
      <c r="D96" s="42" t="s">
        <v>434</v>
      </c>
      <c r="E96" s="43">
        <v>16</v>
      </c>
      <c r="F96" s="43">
        <v>1</v>
      </c>
      <c r="G96" s="498">
        <v>1060</v>
      </c>
      <c r="H96" s="45">
        <f t="shared" si="229"/>
        <v>0.17460839954597052</v>
      </c>
      <c r="I96" s="46">
        <v>0.88</v>
      </c>
      <c r="J96" s="83">
        <f t="shared" si="230"/>
        <v>55.233040074824061</v>
      </c>
      <c r="K96" s="83">
        <f>(IF(G96&lt;L96,L96,G96)*(1-IF(H96&lt;N96,H96,N96))*E96*O96*Q96)/100000000</f>
        <v>12.75165312</v>
      </c>
      <c r="L96" s="36">
        <v>1136.7741935483871</v>
      </c>
      <c r="M96" s="36">
        <v>938.2838709677419</v>
      </c>
      <c r="N96" s="47">
        <f t="shared" si="231"/>
        <v>0.17460839954597052</v>
      </c>
      <c r="O96" s="48">
        <f>+'Trim Rwd'!H59</f>
        <v>274</v>
      </c>
      <c r="P96" s="49">
        <f t="shared" si="232"/>
        <v>82200</v>
      </c>
      <c r="Q96" s="48">
        <v>310</v>
      </c>
      <c r="R96" s="499">
        <v>0</v>
      </c>
      <c r="S96" s="499">
        <v>10</v>
      </c>
      <c r="T96" s="38">
        <f t="shared" si="233"/>
        <v>12.75165312</v>
      </c>
      <c r="U96" s="38">
        <f t="shared" si="234"/>
        <v>12.340309470967741</v>
      </c>
      <c r="V96" s="38">
        <f t="shared" si="235"/>
        <v>0.38356277829738927</v>
      </c>
      <c r="W96" s="38">
        <f>+'18'!K17/1000</f>
        <v>15.084</v>
      </c>
      <c r="X96" s="39"/>
      <c r="Y96" s="212"/>
      <c r="Z96" s="38"/>
      <c r="AA96" s="38"/>
      <c r="AB96" s="38"/>
      <c r="AC96" s="38">
        <f>K96-T96</f>
        <v>0</v>
      </c>
      <c r="AD96" s="38">
        <f t="shared" ref="AD96:AD99" si="236">+AM96+BA96</f>
        <v>9</v>
      </c>
      <c r="AE96" s="231" t="s">
        <v>617</v>
      </c>
      <c r="AF96" s="38"/>
      <c r="AG96" s="38">
        <v>9</v>
      </c>
      <c r="AH96" s="38"/>
      <c r="AI96" s="501"/>
      <c r="AJ96" s="38"/>
      <c r="AK96" s="38"/>
      <c r="AL96" s="38"/>
      <c r="AM96" s="38">
        <f t="shared" ref="AM96:AM98" si="237">SUM(AF96:AL96)+AT96</f>
        <v>9</v>
      </c>
      <c r="AN96" s="84"/>
      <c r="AO96" s="38"/>
      <c r="AP96" s="38"/>
      <c r="AQ96" s="38"/>
      <c r="AR96" s="38">
        <f t="shared" ref="AR96:AR98" si="238">SUM(AN96:AQ96)</f>
        <v>0</v>
      </c>
      <c r="AS96" s="38"/>
      <c r="AT96" s="38"/>
      <c r="AU96" s="38"/>
      <c r="AV96" s="38"/>
      <c r="AW96" s="38"/>
      <c r="AX96" s="38"/>
      <c r="AY96" s="38"/>
      <c r="AZ96" s="38"/>
      <c r="BA96" s="38">
        <f t="shared" ref="BA96:BA99" si="239">+AR96+AS96+AU96+AV96+AX96</f>
        <v>0</v>
      </c>
      <c r="BB96" s="51"/>
      <c r="BC96" s="52">
        <v>8</v>
      </c>
      <c r="BD96" s="52"/>
      <c r="BE96" s="51"/>
      <c r="BF96" s="52"/>
    </row>
    <row r="97" spans="1:58" ht="12.95" customHeight="1">
      <c r="A97" s="41"/>
      <c r="B97" s="42"/>
      <c r="C97" s="443"/>
      <c r="D97" s="42"/>
      <c r="E97" s="43"/>
      <c r="F97" s="43"/>
      <c r="G97" s="44"/>
      <c r="H97" s="45"/>
      <c r="I97" s="46"/>
      <c r="J97" s="83"/>
      <c r="K97" s="83"/>
      <c r="L97" s="36"/>
      <c r="M97" s="36"/>
      <c r="N97" s="47"/>
      <c r="O97" s="48"/>
      <c r="P97" s="49"/>
      <c r="Q97" s="48"/>
      <c r="R97" s="499"/>
      <c r="S97" s="499"/>
      <c r="T97" s="38"/>
      <c r="U97" s="38"/>
      <c r="V97" s="38"/>
      <c r="W97" s="38"/>
      <c r="X97" s="39"/>
      <c r="Y97" s="212"/>
      <c r="Z97" s="38"/>
      <c r="AA97" s="38"/>
      <c r="AB97" s="38"/>
      <c r="AC97" s="38"/>
      <c r="AD97" s="38">
        <f t="shared" si="236"/>
        <v>21</v>
      </c>
      <c r="AE97" s="231" t="s">
        <v>607</v>
      </c>
      <c r="AF97" s="34"/>
      <c r="AG97" s="34"/>
      <c r="AH97" s="34">
        <v>21</v>
      </c>
      <c r="AJ97" s="38"/>
      <c r="AK97" s="38"/>
      <c r="AL97" s="38"/>
      <c r="AM97" s="38">
        <f t="shared" si="237"/>
        <v>21</v>
      </c>
      <c r="AN97" s="38"/>
      <c r="AO97" s="38"/>
      <c r="AP97" s="38"/>
      <c r="AQ97" s="38"/>
      <c r="AR97" s="38">
        <f t="shared" si="238"/>
        <v>0</v>
      </c>
      <c r="AS97" s="38"/>
      <c r="AT97" s="38"/>
      <c r="AU97" s="38"/>
      <c r="AV97" s="38"/>
      <c r="AW97" s="38"/>
      <c r="AX97" s="38"/>
      <c r="AY97" s="38"/>
      <c r="AZ97" s="38"/>
      <c r="BA97" s="38">
        <f t="shared" si="239"/>
        <v>0</v>
      </c>
      <c r="BB97" s="34"/>
      <c r="BC97" s="502"/>
      <c r="BD97" s="502"/>
      <c r="BE97" s="34"/>
      <c r="BF97" s="502"/>
    </row>
    <row r="98" spans="1:58" ht="12.95" customHeight="1">
      <c r="A98" s="41"/>
      <c r="B98" s="42"/>
      <c r="C98" s="443"/>
      <c r="D98" s="42"/>
      <c r="E98" s="43"/>
      <c r="F98" s="43"/>
      <c r="G98" s="44"/>
      <c r="H98" s="45"/>
      <c r="I98" s="46"/>
      <c r="J98" s="83"/>
      <c r="K98" s="83"/>
      <c r="L98" s="36"/>
      <c r="M98" s="36"/>
      <c r="N98" s="47"/>
      <c r="O98" s="48"/>
      <c r="P98" s="49"/>
      <c r="Q98" s="35"/>
      <c r="R98" s="499"/>
      <c r="S98" s="499"/>
      <c r="T98" s="38"/>
      <c r="U98" s="38"/>
      <c r="V98" s="38"/>
      <c r="W98" s="38"/>
      <c r="X98" s="39"/>
      <c r="Y98" s="212"/>
      <c r="Z98" s="38"/>
      <c r="AA98" s="38"/>
      <c r="AB98" s="38"/>
      <c r="AC98" s="38"/>
      <c r="AD98" s="38">
        <f t="shared" si="236"/>
        <v>10</v>
      </c>
      <c r="AE98" s="234" t="s">
        <v>228</v>
      </c>
      <c r="AF98" s="38"/>
      <c r="AG98" s="38"/>
      <c r="AH98" s="38"/>
      <c r="AI98" s="501">
        <v>10</v>
      </c>
      <c r="AJ98" s="38"/>
      <c r="AK98" s="38"/>
      <c r="AL98" s="38"/>
      <c r="AM98" s="38">
        <f t="shared" si="237"/>
        <v>10</v>
      </c>
      <c r="AN98" s="38"/>
      <c r="AO98" s="38"/>
      <c r="AP98" s="38"/>
      <c r="AQ98" s="38"/>
      <c r="AR98" s="38">
        <f t="shared" si="238"/>
        <v>0</v>
      </c>
      <c r="AS98" s="38"/>
      <c r="AT98" s="38"/>
      <c r="AU98" s="38"/>
      <c r="AV98" s="38"/>
      <c r="AW98" s="38"/>
      <c r="AX98" s="38"/>
      <c r="AY98" s="38"/>
      <c r="AZ98" s="38"/>
      <c r="BA98" s="38">
        <f t="shared" si="239"/>
        <v>0</v>
      </c>
      <c r="BB98" s="51"/>
      <c r="BC98" s="52"/>
      <c r="BD98" s="52"/>
      <c r="BE98" s="51"/>
      <c r="BF98" s="52"/>
    </row>
    <row r="99" spans="1:58" ht="12.95" customHeight="1">
      <c r="A99" s="41"/>
      <c r="B99" s="42"/>
      <c r="C99" s="443"/>
      <c r="D99" s="42"/>
      <c r="E99" s="43"/>
      <c r="F99" s="43"/>
      <c r="G99" s="44"/>
      <c r="H99" s="45"/>
      <c r="I99" s="46"/>
      <c r="J99" s="83"/>
      <c r="K99" s="83"/>
      <c r="L99" s="36"/>
      <c r="M99" s="36"/>
      <c r="N99" s="47"/>
      <c r="O99" s="48"/>
      <c r="P99" s="49"/>
      <c r="Q99" s="35"/>
      <c r="R99" s="499"/>
      <c r="S99" s="499"/>
      <c r="T99" s="38"/>
      <c r="U99" s="38"/>
      <c r="V99" s="38"/>
      <c r="W99" s="38"/>
      <c r="X99" s="39"/>
      <c r="Y99" s="212"/>
      <c r="Z99" s="38"/>
      <c r="AA99" s="38"/>
      <c r="AB99" s="38"/>
      <c r="AC99" s="38"/>
      <c r="AD99" s="38">
        <f t="shared" si="236"/>
        <v>175</v>
      </c>
      <c r="AE99" s="234" t="s">
        <v>632</v>
      </c>
      <c r="AF99" s="38"/>
      <c r="AG99" s="38"/>
      <c r="AH99" s="38"/>
      <c r="AI99" s="501"/>
      <c r="AJ99" s="38"/>
      <c r="AK99" s="38"/>
      <c r="AL99" s="38"/>
      <c r="AM99" s="38">
        <f t="shared" ref="AM99" si="240">SUM(AF99:AL99)+AT99</f>
        <v>0</v>
      </c>
      <c r="AN99" s="38">
        <v>175</v>
      </c>
      <c r="AO99" s="38"/>
      <c r="AP99" s="38"/>
      <c r="AQ99" s="38"/>
      <c r="AR99" s="38">
        <f t="shared" ref="AR99" si="241">SUM(AN99:AQ99)</f>
        <v>175</v>
      </c>
      <c r="AS99" s="38"/>
      <c r="AT99" s="38"/>
      <c r="AU99" s="38"/>
      <c r="AV99" s="38"/>
      <c r="AW99" s="38"/>
      <c r="AX99" s="38"/>
      <c r="AY99" s="38"/>
      <c r="AZ99" s="38"/>
      <c r="BA99" s="38">
        <f t="shared" si="239"/>
        <v>175</v>
      </c>
      <c r="BB99" s="51"/>
      <c r="BC99" s="52"/>
      <c r="BD99" s="52"/>
      <c r="BE99" s="51"/>
      <c r="BF99" s="52"/>
    </row>
    <row r="100" spans="1:58" ht="12.95" customHeight="1">
      <c r="A100" s="41"/>
      <c r="B100" s="42"/>
      <c r="C100" s="443"/>
      <c r="D100" s="42"/>
      <c r="E100" s="43"/>
      <c r="F100" s="43"/>
      <c r="G100" s="44"/>
      <c r="H100" s="44"/>
      <c r="I100" s="46"/>
      <c r="J100" s="83"/>
      <c r="K100" s="83"/>
      <c r="L100" s="36"/>
      <c r="M100" s="36"/>
      <c r="N100" s="47"/>
      <c r="O100" s="48"/>
      <c r="P100" s="49"/>
      <c r="Q100" s="48"/>
      <c r="R100" s="499"/>
      <c r="S100" s="499"/>
      <c r="T100" s="38"/>
      <c r="U100" s="38"/>
      <c r="V100" s="38"/>
      <c r="W100" s="38"/>
      <c r="X100" s="39"/>
      <c r="Y100" s="212"/>
      <c r="Z100" s="38"/>
      <c r="AA100" s="38"/>
      <c r="AB100" s="38"/>
      <c r="AC100" s="38"/>
      <c r="AD100" s="38"/>
      <c r="AE100" s="231"/>
      <c r="AF100" s="38"/>
      <c r="AG100" s="38"/>
      <c r="AH100" s="38"/>
      <c r="AI100" s="501"/>
      <c r="AJ100" s="38"/>
      <c r="AK100" s="38"/>
      <c r="AL100" s="38"/>
      <c r="AM100" s="38"/>
      <c r="AN100" s="84"/>
      <c r="AO100" s="38"/>
      <c r="AP100" s="38"/>
      <c r="AQ100" s="38"/>
      <c r="AR100" s="38"/>
      <c r="AS100" s="38"/>
      <c r="AT100" s="38"/>
      <c r="AU100" s="38"/>
      <c r="AV100" s="38"/>
      <c r="AW100" s="38"/>
      <c r="AX100" s="38"/>
      <c r="AY100" s="38"/>
      <c r="AZ100" s="38"/>
      <c r="BA100" s="38"/>
      <c r="BB100" s="51"/>
      <c r="BC100" s="52"/>
      <c r="BD100" s="52"/>
      <c r="BE100" s="52"/>
      <c r="BF100" s="52"/>
    </row>
    <row r="101" spans="1:58" ht="12" customHeight="1">
      <c r="A101" s="41">
        <v>45980</v>
      </c>
      <c r="B101" s="42" t="s">
        <v>431</v>
      </c>
      <c r="C101" s="443">
        <f t="shared" ref="C101" si="242">(M101*E101*O101*Q101)/100000000</f>
        <v>52.854161274782612</v>
      </c>
      <c r="D101" s="42" t="s">
        <v>434</v>
      </c>
      <c r="E101" s="43">
        <v>15.5</v>
      </c>
      <c r="F101" s="43">
        <v>1</v>
      </c>
      <c r="G101" s="498">
        <v>1135</v>
      </c>
      <c r="H101" s="45">
        <f t="shared" ref="H101" si="243">+N101</f>
        <v>0.20693759071117557</v>
      </c>
      <c r="I101" s="46">
        <v>0.88</v>
      </c>
      <c r="J101" s="83">
        <f t="shared" ref="J101" si="244">E101*G101*(1-H101)*1440/1000000*2.74</f>
        <v>55.048815637968083</v>
      </c>
      <c r="K101" s="83">
        <f>(IF(G101&lt;L101,L101,G101)*(1-IF(H101&lt;N101,H101,N101))*E101*O101*Q101)/100000000</f>
        <v>52.854161274782612</v>
      </c>
      <c r="L101" s="36">
        <v>1148.3333333333333</v>
      </c>
      <c r="M101" s="36">
        <v>910.7</v>
      </c>
      <c r="N101" s="47">
        <f t="shared" ref="N101" si="245">1-(M101/L101)</f>
        <v>0.20693759071117557</v>
      </c>
      <c r="O101" s="48">
        <f>+'Trim Rwd'!H61</f>
        <v>260.02173913043481</v>
      </c>
      <c r="P101" s="49">
        <f t="shared" ref="P101" si="246">O101*(Q101-R101-S101)</f>
        <v>361170.19565217395</v>
      </c>
      <c r="Q101" s="48">
        <v>1440</v>
      </c>
      <c r="R101" s="499">
        <v>0</v>
      </c>
      <c r="S101" s="499">
        <v>51</v>
      </c>
      <c r="T101" s="38">
        <f t="shared" ref="T101" si="247">E101*M101*O101*Q101/100000000</f>
        <v>52.854161274782612</v>
      </c>
      <c r="U101" s="38">
        <f t="shared" ref="U101" si="248">E101*M101*O101*(Q101-R101-S101)/100000000</f>
        <v>50.982243062967399</v>
      </c>
      <c r="V101" s="38">
        <f t="shared" ref="V101" si="249">E101*G101*(1-N101)*O101/100*(R101+S101)/1000000</f>
        <v>1.8501833124037204</v>
      </c>
      <c r="W101" s="38">
        <f>+'19'!K16/1000</f>
        <v>50.061</v>
      </c>
      <c r="X101" s="500">
        <f>SUM(W101:W104)/SUM(K101:K104)</f>
        <v>0.94715342732880969</v>
      </c>
      <c r="Y101" s="212">
        <f>+SUM(RBP!AG92:AG93)</f>
        <v>0</v>
      </c>
      <c r="Z101" s="38">
        <v>0</v>
      </c>
      <c r="AA101" s="50">
        <f>SUM(U101:U104)-SUM(W101:W104)-SUM(Z101:Z104)-SUM(Y101:Y104)</f>
        <v>0.92124306296739888</v>
      </c>
      <c r="AB101" s="50">
        <f>(SUM(K101:K104)-SUM(W101:W104)-SUM(Y101:Y104)-SUM(Z101:Z104)-SUM(AC101:AC104)-SUM(V101:V104))-AA101</f>
        <v>2.1734899411492981E-2</v>
      </c>
      <c r="AC101" s="38">
        <f>K101-T101</f>
        <v>0</v>
      </c>
      <c r="AD101" s="38">
        <f>+AM101+BA101</f>
        <v>0</v>
      </c>
      <c r="AE101" s="231" t="s">
        <v>390</v>
      </c>
      <c r="AF101" s="38">
        <v>0</v>
      </c>
      <c r="AG101" s="38"/>
      <c r="AH101" s="38"/>
      <c r="AI101" s="501"/>
      <c r="AJ101" s="38"/>
      <c r="AK101" s="38"/>
      <c r="AL101" s="38"/>
      <c r="AM101" s="38">
        <f>SUM(AF101:AL101)+AT101</f>
        <v>0</v>
      </c>
      <c r="AN101" s="38"/>
      <c r="AO101" s="38"/>
      <c r="AP101" s="38"/>
      <c r="AQ101" s="38"/>
      <c r="AR101" s="38">
        <f>SUM(AN101:AQ101)</f>
        <v>0</v>
      </c>
      <c r="AS101" s="38"/>
      <c r="AT101" s="38"/>
      <c r="AU101" s="38"/>
      <c r="AV101" s="38"/>
      <c r="AW101" s="38"/>
      <c r="AX101" s="38"/>
      <c r="AY101" s="38"/>
      <c r="AZ101" s="38"/>
      <c r="BA101" s="38">
        <f>+AR101+AS101+AU101+AV101+AX101</f>
        <v>0</v>
      </c>
      <c r="BB101" s="34">
        <v>0</v>
      </c>
      <c r="BC101" s="52"/>
      <c r="BD101" s="52"/>
      <c r="BE101" s="34"/>
      <c r="BF101" s="52">
        <v>1</v>
      </c>
    </row>
    <row r="102" spans="1:58" ht="12.95" customHeight="1">
      <c r="A102" s="41"/>
      <c r="B102" s="42"/>
      <c r="C102" s="443"/>
      <c r="D102" s="42"/>
      <c r="E102" s="43"/>
      <c r="F102" s="43"/>
      <c r="G102" s="498"/>
      <c r="H102" s="45"/>
      <c r="I102" s="46"/>
      <c r="J102" s="83"/>
      <c r="K102" s="83"/>
      <c r="L102" s="36"/>
      <c r="M102" s="36"/>
      <c r="N102" s="47"/>
      <c r="O102" s="48"/>
      <c r="P102" s="49"/>
      <c r="Q102" s="48"/>
      <c r="R102" s="499"/>
      <c r="S102" s="499"/>
      <c r="T102" s="38"/>
      <c r="U102" s="38"/>
      <c r="V102" s="38"/>
      <c r="W102" s="38"/>
      <c r="X102" s="39"/>
      <c r="Y102" s="212"/>
      <c r="Z102" s="38"/>
      <c r="AA102" s="38"/>
      <c r="AB102" s="38"/>
      <c r="AC102" s="38">
        <f>K102-T102</f>
        <v>0</v>
      </c>
      <c r="AD102" s="38">
        <f t="shared" ref="AD102:AD104" si="250">+AM102+BA102</f>
        <v>11</v>
      </c>
      <c r="AE102" s="231" t="s">
        <v>570</v>
      </c>
      <c r="AF102" s="38"/>
      <c r="AG102" s="38">
        <v>11</v>
      </c>
      <c r="AH102" s="38"/>
      <c r="AI102" s="501"/>
      <c r="AJ102" s="38"/>
      <c r="AK102" s="38"/>
      <c r="AL102" s="38"/>
      <c r="AM102" s="38">
        <f t="shared" ref="AM102:AM104" si="251">SUM(AF102:AL102)+AT102</f>
        <v>11</v>
      </c>
      <c r="AN102" s="84"/>
      <c r="AO102" s="38"/>
      <c r="AP102" s="38"/>
      <c r="AQ102" s="38"/>
      <c r="AR102" s="38">
        <f t="shared" ref="AR102:AR104" si="252">SUM(AN102:AQ102)</f>
        <v>0</v>
      </c>
      <c r="AS102" s="38"/>
      <c r="AT102" s="38"/>
      <c r="AU102" s="38"/>
      <c r="AV102" s="38"/>
      <c r="AW102" s="38"/>
      <c r="AX102" s="38"/>
      <c r="AY102" s="38"/>
      <c r="AZ102" s="38"/>
      <c r="BA102" s="38">
        <f t="shared" ref="BA102:BA104" si="253">+AR102+AS102+AU102+AV102+AX102</f>
        <v>0</v>
      </c>
      <c r="BB102" s="51"/>
      <c r="BC102" s="52">
        <v>9</v>
      </c>
      <c r="BD102" s="52"/>
      <c r="BE102" s="51"/>
      <c r="BF102" s="52"/>
    </row>
    <row r="103" spans="1:58" ht="12.95" customHeight="1">
      <c r="A103" s="41"/>
      <c r="B103" s="42"/>
      <c r="C103" s="443"/>
      <c r="D103" s="42"/>
      <c r="E103" s="43"/>
      <c r="F103" s="43"/>
      <c r="G103" s="44"/>
      <c r="H103" s="45"/>
      <c r="I103" s="46"/>
      <c r="J103" s="83"/>
      <c r="K103" s="83"/>
      <c r="L103" s="36"/>
      <c r="M103" s="36"/>
      <c r="N103" s="47"/>
      <c r="O103" s="48"/>
      <c r="P103" s="49"/>
      <c r="Q103" s="48"/>
      <c r="R103" s="499"/>
      <c r="S103" s="499"/>
      <c r="T103" s="38"/>
      <c r="U103" s="38"/>
      <c r="V103" s="38"/>
      <c r="W103" s="38"/>
      <c r="X103" s="39"/>
      <c r="Y103" s="212"/>
      <c r="Z103" s="38"/>
      <c r="AA103" s="38"/>
      <c r="AB103" s="38"/>
      <c r="AC103" s="38"/>
      <c r="AD103" s="38">
        <f t="shared" si="250"/>
        <v>22</v>
      </c>
      <c r="AE103" s="231" t="s">
        <v>594</v>
      </c>
      <c r="AF103" s="34"/>
      <c r="AG103" s="34"/>
      <c r="AH103" s="34">
        <v>22</v>
      </c>
      <c r="AJ103" s="38"/>
      <c r="AK103" s="38"/>
      <c r="AL103" s="38"/>
      <c r="AM103" s="38">
        <f t="shared" si="251"/>
        <v>22</v>
      </c>
      <c r="AN103" s="38"/>
      <c r="AO103" s="38"/>
      <c r="AP103" s="38"/>
      <c r="AQ103" s="38"/>
      <c r="AR103" s="38">
        <f t="shared" si="252"/>
        <v>0</v>
      </c>
      <c r="AS103" s="38"/>
      <c r="AT103" s="38"/>
      <c r="AU103" s="38"/>
      <c r="AV103" s="38"/>
      <c r="AW103" s="38"/>
      <c r="AX103" s="38"/>
      <c r="AY103" s="38"/>
      <c r="AZ103" s="38"/>
      <c r="BA103" s="38">
        <f t="shared" si="253"/>
        <v>0</v>
      </c>
      <c r="BB103" s="34"/>
      <c r="BC103" s="502"/>
      <c r="BD103" s="502"/>
      <c r="BE103" s="34"/>
      <c r="BF103" s="502"/>
    </row>
    <row r="104" spans="1:58" ht="12.95" customHeight="1">
      <c r="A104" s="41"/>
      <c r="B104" s="42"/>
      <c r="C104" s="443"/>
      <c r="D104" s="42"/>
      <c r="E104" s="43"/>
      <c r="F104" s="43"/>
      <c r="G104" s="44"/>
      <c r="H104" s="45"/>
      <c r="I104" s="46"/>
      <c r="J104" s="83"/>
      <c r="K104" s="83"/>
      <c r="L104" s="36"/>
      <c r="M104" s="36"/>
      <c r="N104" s="47"/>
      <c r="O104" s="48"/>
      <c r="P104" s="49"/>
      <c r="Q104" s="35"/>
      <c r="R104" s="499"/>
      <c r="S104" s="499"/>
      <c r="T104" s="38"/>
      <c r="U104" s="38"/>
      <c r="V104" s="38"/>
      <c r="W104" s="38"/>
      <c r="X104" s="39"/>
      <c r="Y104" s="212"/>
      <c r="Z104" s="38"/>
      <c r="AA104" s="38"/>
      <c r="AB104" s="38"/>
      <c r="AC104" s="38"/>
      <c r="AD104" s="38">
        <f t="shared" si="250"/>
        <v>18</v>
      </c>
      <c r="AE104" s="234" t="s">
        <v>228</v>
      </c>
      <c r="AF104" s="38"/>
      <c r="AG104" s="38"/>
      <c r="AH104" s="38"/>
      <c r="AI104" s="501">
        <v>18</v>
      </c>
      <c r="AJ104" s="38"/>
      <c r="AK104" s="38"/>
      <c r="AL104" s="38"/>
      <c r="AM104" s="38">
        <f t="shared" si="251"/>
        <v>18</v>
      </c>
      <c r="AN104" s="38"/>
      <c r="AO104" s="38"/>
      <c r="AP104" s="38"/>
      <c r="AQ104" s="38"/>
      <c r="AR104" s="38">
        <f t="shared" si="252"/>
        <v>0</v>
      </c>
      <c r="AS104" s="38"/>
      <c r="AT104" s="38"/>
      <c r="AU104" s="38"/>
      <c r="AV104" s="38"/>
      <c r="AW104" s="38"/>
      <c r="AX104" s="38"/>
      <c r="AY104" s="38"/>
      <c r="AZ104" s="38"/>
      <c r="BA104" s="38">
        <f t="shared" si="253"/>
        <v>0</v>
      </c>
      <c r="BB104" s="51"/>
      <c r="BC104" s="52"/>
      <c r="BD104" s="52"/>
      <c r="BE104" s="51"/>
      <c r="BF104" s="52"/>
    </row>
    <row r="105" spans="1:58" ht="12.95" customHeight="1">
      <c r="A105" s="41"/>
      <c r="B105" s="42"/>
      <c r="C105" s="443"/>
      <c r="D105" s="42"/>
      <c r="E105" s="43"/>
      <c r="F105" s="43"/>
      <c r="G105" s="44"/>
      <c r="H105" s="44"/>
      <c r="I105" s="46"/>
      <c r="J105" s="83"/>
      <c r="K105" s="83"/>
      <c r="L105" s="36"/>
      <c r="M105" s="36"/>
      <c r="N105" s="47"/>
      <c r="O105" s="48"/>
      <c r="P105" s="49"/>
      <c r="Q105" s="48"/>
      <c r="R105" s="499"/>
      <c r="S105" s="499"/>
      <c r="T105" s="38"/>
      <c r="U105" s="38"/>
      <c r="V105" s="38"/>
      <c r="W105" s="38"/>
      <c r="X105" s="500"/>
      <c r="Y105" s="212"/>
      <c r="Z105" s="38"/>
      <c r="AA105" s="50"/>
      <c r="AB105" s="50"/>
      <c r="AC105" s="38"/>
      <c r="AD105" s="38"/>
      <c r="AE105" s="231"/>
      <c r="AF105" s="38"/>
      <c r="AG105" s="38"/>
      <c r="AH105" s="38"/>
      <c r="AI105" s="501"/>
      <c r="AJ105" s="38"/>
      <c r="AK105" s="38"/>
      <c r="AL105" s="38"/>
      <c r="AM105" s="38"/>
      <c r="AN105" s="38"/>
      <c r="AO105" s="38"/>
      <c r="AP105" s="38"/>
      <c r="AQ105" s="38"/>
      <c r="AR105" s="38"/>
      <c r="AS105" s="38"/>
      <c r="AT105" s="38"/>
      <c r="AU105" s="38"/>
      <c r="AV105" s="38"/>
      <c r="AW105" s="38"/>
      <c r="AX105" s="38"/>
      <c r="AY105" s="38"/>
      <c r="AZ105" s="38"/>
      <c r="BA105" s="38"/>
      <c r="BB105" s="34"/>
      <c r="BC105" s="52"/>
      <c r="BD105" s="52"/>
      <c r="BE105" s="52"/>
      <c r="BF105" s="52"/>
    </row>
    <row r="106" spans="1:58" ht="12" customHeight="1">
      <c r="A106" s="41">
        <v>45981</v>
      </c>
      <c r="B106" s="42" t="s">
        <v>431</v>
      </c>
      <c r="C106" s="443">
        <f t="shared" ref="C106:C107" si="254">(M106*E106*O106*Q106)/100000000</f>
        <v>1.0981105200000001</v>
      </c>
      <c r="D106" s="42" t="s">
        <v>434</v>
      </c>
      <c r="E106" s="43">
        <v>15.5</v>
      </c>
      <c r="F106" s="43">
        <v>1</v>
      </c>
      <c r="G106" s="498">
        <v>1155</v>
      </c>
      <c r="H106" s="45">
        <f t="shared" ref="H106:H107" si="255">+N106</f>
        <v>0.22000000000000008</v>
      </c>
      <c r="I106" s="46">
        <v>0.88</v>
      </c>
      <c r="J106" s="83">
        <f t="shared" ref="J106:J107" si="256">E106*G106*(1-H106)*1440/1000000*2.74</f>
        <v>55.096161119999998</v>
      </c>
      <c r="K106" s="83">
        <f>(IF(G106&lt;L106,L106,G106)*(1-IF(H106&lt;N106,H106,N106))*E106*O106*Q106)/100000000</f>
        <v>1.0981105200000001</v>
      </c>
      <c r="L106" s="36">
        <v>1160</v>
      </c>
      <c r="M106" s="36">
        <v>904.8</v>
      </c>
      <c r="N106" s="47">
        <f t="shared" ref="N106:N107" si="257">1-(M106/L106)</f>
        <v>0.22000000000000008</v>
      </c>
      <c r="O106" s="48">
        <f>+'Trim Rwd'!H64</f>
        <v>261</v>
      </c>
      <c r="P106" s="49">
        <f t="shared" ref="P106:P107" si="258">O106*(Q106-R106-S106)</f>
        <v>6525</v>
      </c>
      <c r="Q106" s="48">
        <v>30</v>
      </c>
      <c r="R106" s="499">
        <v>0</v>
      </c>
      <c r="S106" s="499">
        <v>5</v>
      </c>
      <c r="T106" s="38">
        <f t="shared" ref="T106:T107" si="259">E106*M106*O106*Q106/100000000</f>
        <v>1.0981105200000001</v>
      </c>
      <c r="U106" s="38">
        <f t="shared" ref="U106:U107" si="260">E106*M106*O106*(Q106-R106-S106)/100000000</f>
        <v>0.91509209999999996</v>
      </c>
      <c r="V106" s="38">
        <f t="shared" ref="V106:V107" si="261">E106*G106*(1-N106)*O106/100*(R106+S106)/1000000</f>
        <v>0.18222954749999998</v>
      </c>
      <c r="W106" s="38">
        <f>+'20'!K16/1000</f>
        <v>5.4269999999999996</v>
      </c>
      <c r="X106" s="500">
        <f>SUM(W106:W109)/SUM(K106:K109)</f>
        <v>0.96062044160805338</v>
      </c>
      <c r="Y106" s="212">
        <f>+SUM(RBP!AG97:AG98)</f>
        <v>0</v>
      </c>
      <c r="Z106" s="38">
        <v>0</v>
      </c>
      <c r="AA106" s="50">
        <f>SUM(U106:U109)-SUM(W106:W109)-SUM(Z106:Z109)-SUM(Y106:Y109)</f>
        <v>0.38642869520644041</v>
      </c>
      <c r="AB106" s="50">
        <f>(SUM(K106:K109)-SUM(W106:W109)-SUM(Y106:Y109)-SUM(Z106:Z109)-SUM(AC106:AC109)-SUM(V106:V109))-AA106</f>
        <v>7.0867221293559046E-2</v>
      </c>
      <c r="AC106" s="38">
        <f>K106-T106</f>
        <v>0</v>
      </c>
      <c r="AD106" s="38">
        <f>+AM106+BA106</f>
        <v>0</v>
      </c>
      <c r="AE106" s="231" t="s">
        <v>390</v>
      </c>
      <c r="AF106" s="38">
        <v>0</v>
      </c>
      <c r="AG106" s="38"/>
      <c r="AH106" s="38"/>
      <c r="AI106" s="501"/>
      <c r="AJ106" s="38"/>
      <c r="AK106" s="38"/>
      <c r="AL106" s="38"/>
      <c r="AM106" s="38">
        <f>SUM(AF106:AL106)+AT106</f>
        <v>0</v>
      </c>
      <c r="AN106" s="38"/>
      <c r="AO106" s="38"/>
      <c r="AP106" s="38"/>
      <c r="AQ106" s="38"/>
      <c r="AR106" s="38">
        <f>SUM(AN106:AQ106)</f>
        <v>0</v>
      </c>
      <c r="AS106" s="38"/>
      <c r="AT106" s="38"/>
      <c r="AU106" s="38"/>
      <c r="AV106" s="38"/>
      <c r="AW106" s="38"/>
      <c r="AX106" s="38"/>
      <c r="AY106" s="38"/>
      <c r="AZ106" s="38"/>
      <c r="BA106" s="38">
        <f>+AR106+AS106+AU106+AV106+AX106</f>
        <v>0</v>
      </c>
      <c r="BB106" s="34">
        <v>0</v>
      </c>
      <c r="BC106" s="52"/>
      <c r="BD106" s="52"/>
      <c r="BE106" s="34"/>
      <c r="BF106" s="52">
        <v>1</v>
      </c>
    </row>
    <row r="107" spans="1:58" ht="12.95" customHeight="1">
      <c r="A107" s="41"/>
      <c r="B107" s="42" t="s">
        <v>431</v>
      </c>
      <c r="C107" s="443">
        <f t="shared" si="254"/>
        <v>16.080013728000001</v>
      </c>
      <c r="D107" s="42" t="s">
        <v>434</v>
      </c>
      <c r="E107" s="43">
        <v>16</v>
      </c>
      <c r="F107" s="43">
        <v>1</v>
      </c>
      <c r="G107" s="498">
        <v>1080</v>
      </c>
      <c r="H107" s="45">
        <f t="shared" si="255"/>
        <v>0.18999999999999995</v>
      </c>
      <c r="I107" s="46">
        <v>0.88</v>
      </c>
      <c r="J107" s="83">
        <f t="shared" si="256"/>
        <v>55.225774080000001</v>
      </c>
      <c r="K107" s="83">
        <f>(IF(G107&lt;L107,L107,G107)*(1-IF(H107&lt;N107,H107,N107))*E107*O107*Q107)/100000000</f>
        <v>16.080013728000001</v>
      </c>
      <c r="L107" s="36">
        <v>1160</v>
      </c>
      <c r="M107" s="36">
        <v>939.6</v>
      </c>
      <c r="N107" s="47">
        <f t="shared" si="257"/>
        <v>0.18999999999999995</v>
      </c>
      <c r="O107" s="48">
        <f>+'Trim Rwd'!H65</f>
        <v>256.5</v>
      </c>
      <c r="P107" s="49">
        <f t="shared" si="258"/>
        <v>102600</v>
      </c>
      <c r="Q107" s="48">
        <v>417</v>
      </c>
      <c r="R107" s="499">
        <v>0</v>
      </c>
      <c r="S107" s="499">
        <f>47-S106-S108</f>
        <v>17</v>
      </c>
      <c r="T107" s="38">
        <f t="shared" si="259"/>
        <v>16.080013728000001</v>
      </c>
      <c r="U107" s="38">
        <f t="shared" si="260"/>
        <v>15.424473600000001</v>
      </c>
      <c r="V107" s="38">
        <f t="shared" si="261"/>
        <v>0.61033046400000002</v>
      </c>
      <c r="W107" s="38">
        <f>+'20'!K17/1000</f>
        <v>14.609</v>
      </c>
      <c r="X107" s="39"/>
      <c r="Y107" s="212"/>
      <c r="Z107" s="38"/>
      <c r="AA107" s="38"/>
      <c r="AB107" s="38"/>
      <c r="AC107" s="38">
        <f>K107-T107</f>
        <v>0</v>
      </c>
      <c r="AD107" s="38">
        <f t="shared" ref="AD107:AD109" si="262">+AM107+BA107</f>
        <v>12</v>
      </c>
      <c r="AE107" s="231" t="s">
        <v>570</v>
      </c>
      <c r="AF107" s="38"/>
      <c r="AG107" s="38">
        <v>12</v>
      </c>
      <c r="AH107" s="38"/>
      <c r="AI107" s="501"/>
      <c r="AJ107" s="38"/>
      <c r="AK107" s="38"/>
      <c r="AL107" s="38"/>
      <c r="AM107" s="38">
        <f t="shared" ref="AM107:AM109" si="263">SUM(AF107:AL107)+AT107</f>
        <v>12</v>
      </c>
      <c r="AN107" s="84"/>
      <c r="AO107" s="38"/>
      <c r="AP107" s="38"/>
      <c r="AQ107" s="38"/>
      <c r="AR107" s="38">
        <f t="shared" ref="AR107:AR109" si="264">SUM(AN107:AQ107)</f>
        <v>0</v>
      </c>
      <c r="AS107" s="38"/>
      <c r="AT107" s="38"/>
      <c r="AU107" s="38"/>
      <c r="AV107" s="38"/>
      <c r="AW107" s="38"/>
      <c r="AX107" s="38"/>
      <c r="AY107" s="38"/>
      <c r="AZ107" s="38"/>
      <c r="BA107" s="38">
        <f t="shared" ref="BA107:BA109" si="265">+AR107+AS107+AU107+AV107+AX107</f>
        <v>0</v>
      </c>
      <c r="BB107" s="51"/>
      <c r="BC107" s="52">
        <v>9</v>
      </c>
      <c r="BD107" s="52"/>
      <c r="BE107" s="51"/>
      <c r="BF107" s="52"/>
    </row>
    <row r="108" spans="1:58" ht="12.95" customHeight="1">
      <c r="A108" s="41"/>
      <c r="B108" s="42" t="s">
        <v>431</v>
      </c>
      <c r="C108" s="443">
        <f t="shared" ref="C108" si="266">(M108*E108*O108*Q108)/100000000</f>
        <v>38.619147679999998</v>
      </c>
      <c r="D108" s="42" t="s">
        <v>434</v>
      </c>
      <c r="E108" s="43">
        <v>19</v>
      </c>
      <c r="F108" s="43">
        <v>1</v>
      </c>
      <c r="G108" s="498">
        <v>920</v>
      </c>
      <c r="H108" s="45">
        <f t="shared" ref="H108" si="267">+N108</f>
        <v>0.20000000000000007</v>
      </c>
      <c r="I108" s="46">
        <v>0.88</v>
      </c>
      <c r="J108" s="83">
        <f t="shared" ref="J108" si="268">E108*G108*(1-H108)*1440/1000000*2.74</f>
        <v>55.175270399999988</v>
      </c>
      <c r="K108" s="83">
        <f>(IF(G108&lt;L108,L108,G108)*(1-IF(H108&lt;N108,H108,N108))*E108*O108*Q108)/100000000</f>
        <v>38.619147679999998</v>
      </c>
      <c r="L108" s="36">
        <v>944.14904330312186</v>
      </c>
      <c r="M108" s="36">
        <v>755.31923464249746</v>
      </c>
      <c r="N108" s="47">
        <f t="shared" ref="N108" si="269">1-(M108/L108)</f>
        <v>0.20000000000000007</v>
      </c>
      <c r="O108" s="48">
        <f>+'Trim Rwd'!H66</f>
        <v>271</v>
      </c>
      <c r="P108" s="49">
        <f t="shared" ref="P108" si="270">O108*(Q108-R108-S108)</f>
        <v>262328</v>
      </c>
      <c r="Q108" s="48">
        <v>993</v>
      </c>
      <c r="R108" s="499">
        <v>0</v>
      </c>
      <c r="S108" s="499">
        <v>25</v>
      </c>
      <c r="T108" s="38">
        <f t="shared" ref="T108" si="271">E108*M108*O108*Q108/100000000</f>
        <v>38.619147679999998</v>
      </c>
      <c r="U108" s="38">
        <f t="shared" ref="U108" si="272">E108*M108*O108*(Q108-R108-S108)/100000000</f>
        <v>37.64686299520644</v>
      </c>
      <c r="V108" s="38">
        <f t="shared" ref="V108" si="273">E108*G108*(1-N108)*O108/100*(R108+S108)/1000000</f>
        <v>0.94741599999999981</v>
      </c>
      <c r="W108" s="38">
        <f>+'20'!K18/1000</f>
        <v>33.564</v>
      </c>
      <c r="X108" s="39"/>
      <c r="Y108" s="212"/>
      <c r="Z108" s="38"/>
      <c r="AA108" s="38"/>
      <c r="AB108" s="38"/>
      <c r="AC108" s="38">
        <f>K108-T108</f>
        <v>0</v>
      </c>
      <c r="AD108" s="38">
        <f t="shared" si="262"/>
        <v>27</v>
      </c>
      <c r="AE108" s="231" t="s">
        <v>436</v>
      </c>
      <c r="AF108" s="34"/>
      <c r="AG108" s="34"/>
      <c r="AH108" s="34">
        <v>27</v>
      </c>
      <c r="AJ108" s="38"/>
      <c r="AK108" s="38"/>
      <c r="AL108" s="38"/>
      <c r="AM108" s="38">
        <f t="shared" si="263"/>
        <v>27</v>
      </c>
      <c r="AN108" s="38"/>
      <c r="AO108" s="38"/>
      <c r="AP108" s="38"/>
      <c r="AQ108" s="38"/>
      <c r="AR108" s="38">
        <f t="shared" si="264"/>
        <v>0</v>
      </c>
      <c r="AS108" s="38"/>
      <c r="AT108" s="38"/>
      <c r="AU108" s="38"/>
      <c r="AV108" s="38"/>
      <c r="AW108" s="38"/>
      <c r="AX108" s="38"/>
      <c r="AY108" s="38"/>
      <c r="AZ108" s="38"/>
      <c r="BA108" s="38">
        <f t="shared" si="265"/>
        <v>0</v>
      </c>
      <c r="BB108" s="34"/>
      <c r="BC108" s="502"/>
      <c r="BD108" s="502"/>
      <c r="BE108" s="34"/>
      <c r="BF108" s="502"/>
    </row>
    <row r="109" spans="1:58" ht="12.95" customHeight="1">
      <c r="A109" s="41"/>
      <c r="B109" s="42"/>
      <c r="C109" s="443"/>
      <c r="D109" s="42"/>
      <c r="E109" s="43"/>
      <c r="F109" s="43"/>
      <c r="G109" s="44"/>
      <c r="H109" s="45"/>
      <c r="I109" s="46"/>
      <c r="J109" s="83"/>
      <c r="K109" s="83"/>
      <c r="L109" s="36"/>
      <c r="M109" s="36"/>
      <c r="N109" s="47"/>
      <c r="O109" s="48"/>
      <c r="P109" s="49"/>
      <c r="Q109" s="35"/>
      <c r="R109" s="499"/>
      <c r="S109" s="499"/>
      <c r="T109" s="38"/>
      <c r="U109" s="38"/>
      <c r="V109" s="38"/>
      <c r="W109" s="38"/>
      <c r="X109" s="39"/>
      <c r="Y109" s="212"/>
      <c r="Z109" s="38"/>
      <c r="AA109" s="38"/>
      <c r="AB109" s="38"/>
      <c r="AC109" s="38"/>
      <c r="AD109" s="38">
        <f t="shared" si="262"/>
        <v>8</v>
      </c>
      <c r="AE109" s="234" t="s">
        <v>228</v>
      </c>
      <c r="AF109" s="38"/>
      <c r="AG109" s="38"/>
      <c r="AH109" s="38"/>
      <c r="AI109" s="501">
        <v>8</v>
      </c>
      <c r="AJ109" s="38"/>
      <c r="AK109" s="38"/>
      <c r="AL109" s="38"/>
      <c r="AM109" s="38">
        <f t="shared" si="263"/>
        <v>8</v>
      </c>
      <c r="AN109" s="38"/>
      <c r="AO109" s="38"/>
      <c r="AP109" s="38"/>
      <c r="AQ109" s="38"/>
      <c r="AR109" s="38">
        <f t="shared" si="264"/>
        <v>0</v>
      </c>
      <c r="AS109" s="38"/>
      <c r="AT109" s="38"/>
      <c r="AU109" s="38"/>
      <c r="AV109" s="38"/>
      <c r="AW109" s="38"/>
      <c r="AX109" s="38"/>
      <c r="AY109" s="38"/>
      <c r="AZ109" s="38"/>
      <c r="BA109" s="38">
        <f t="shared" si="265"/>
        <v>0</v>
      </c>
      <c r="BB109" s="51"/>
      <c r="BC109" s="52"/>
      <c r="BD109" s="52"/>
      <c r="BE109" s="51"/>
      <c r="BF109" s="52"/>
    </row>
    <row r="110" spans="1:58" ht="12.95" customHeight="1">
      <c r="A110" s="41"/>
      <c r="B110" s="42"/>
      <c r="C110" s="443"/>
      <c r="D110" s="42"/>
      <c r="E110" s="43"/>
      <c r="F110" s="43"/>
      <c r="G110" s="44"/>
      <c r="H110" s="44"/>
      <c r="I110" s="46"/>
      <c r="J110" s="83"/>
      <c r="K110" s="83"/>
      <c r="L110" s="36"/>
      <c r="M110" s="36"/>
      <c r="N110" s="47"/>
      <c r="O110" s="48"/>
      <c r="P110" s="49"/>
      <c r="Q110" s="48"/>
      <c r="R110" s="499"/>
      <c r="S110" s="499"/>
      <c r="T110" s="38"/>
      <c r="U110" s="38"/>
      <c r="V110" s="38"/>
      <c r="W110" s="38"/>
      <c r="X110" s="39"/>
      <c r="Y110" s="212"/>
      <c r="Z110" s="38"/>
      <c r="AA110" s="38"/>
      <c r="AB110" s="38"/>
      <c r="AC110" s="38"/>
      <c r="AD110" s="38"/>
      <c r="AE110" s="231"/>
      <c r="AF110" s="38"/>
      <c r="AG110" s="38"/>
      <c r="AH110" s="38"/>
      <c r="AI110" s="501"/>
      <c r="AJ110" s="38"/>
      <c r="AK110" s="38"/>
      <c r="AL110" s="38"/>
      <c r="AM110" s="38"/>
      <c r="AN110" s="84"/>
      <c r="AO110" s="38"/>
      <c r="AP110" s="38"/>
      <c r="AQ110" s="38"/>
      <c r="AR110" s="38"/>
      <c r="AS110" s="38"/>
      <c r="AT110" s="38"/>
      <c r="AU110" s="38"/>
      <c r="AV110" s="38"/>
      <c r="AW110" s="38"/>
      <c r="AX110" s="38"/>
      <c r="AY110" s="38"/>
      <c r="AZ110" s="38"/>
      <c r="BA110" s="38"/>
      <c r="BB110" s="51"/>
      <c r="BC110" s="52"/>
      <c r="BD110" s="52"/>
      <c r="BE110" s="52"/>
      <c r="BF110" s="52"/>
    </row>
    <row r="111" spans="1:58" ht="12" customHeight="1">
      <c r="A111" s="41">
        <v>45982</v>
      </c>
      <c r="B111" s="42" t="s">
        <v>431</v>
      </c>
      <c r="C111" s="443">
        <f t="shared" ref="C111" si="274">(M111*E111*O111*Q111)/100000000</f>
        <v>29.810650400000004</v>
      </c>
      <c r="D111" s="42" t="s">
        <v>434</v>
      </c>
      <c r="E111" s="43">
        <v>19</v>
      </c>
      <c r="F111" s="43">
        <v>1</v>
      </c>
      <c r="G111" s="498">
        <v>920</v>
      </c>
      <c r="H111" s="45">
        <f t="shared" ref="H111" si="275">+N111</f>
        <v>0.19999999999999996</v>
      </c>
      <c r="I111" s="46">
        <v>0.88</v>
      </c>
      <c r="J111" s="83">
        <f t="shared" ref="J111" si="276">E111*G111*(1-H111)*1440/1000000*2.74</f>
        <v>55.175270400000002</v>
      </c>
      <c r="K111" s="83">
        <f>(IF(G111&lt;L111,L111,G111)*(1-IF(H111&lt;N111,H111,N111))*E111*O111*Q111)/100000000</f>
        <v>29.938345600000002</v>
      </c>
      <c r="L111" s="36">
        <v>916.07594936708858</v>
      </c>
      <c r="M111" s="36">
        <v>732.86075949367091</v>
      </c>
      <c r="N111" s="47">
        <f t="shared" ref="N111" si="277">1-(M111/L111)</f>
        <v>0.19999999999999996</v>
      </c>
      <c r="O111" s="48">
        <f>+'Trim Rwd'!H68</f>
        <v>271</v>
      </c>
      <c r="P111" s="49">
        <f t="shared" ref="P111" si="278">O111*(Q111-R111-S111)</f>
        <v>208128</v>
      </c>
      <c r="Q111" s="48">
        <v>790</v>
      </c>
      <c r="R111" s="499">
        <v>0</v>
      </c>
      <c r="S111" s="499">
        <v>22</v>
      </c>
      <c r="T111" s="38">
        <f t="shared" ref="T111" si="279">E111*M111*O111*Q111/100000000</f>
        <v>29.810650400000004</v>
      </c>
      <c r="U111" s="38">
        <f t="shared" ref="U111" si="280">E111*M111*O111*(Q111-R111-S111)/100000000</f>
        <v>28.980480388860759</v>
      </c>
      <c r="V111" s="38">
        <f t="shared" ref="V111" si="281">E111*G111*(1-N111)*O111/100*(R111+S111)/1000000</f>
        <v>0.83372607999999993</v>
      </c>
      <c r="W111" s="38">
        <f>+'21'!K18/1000</f>
        <v>33.189</v>
      </c>
      <c r="X111" s="500">
        <f>SUM(W111:W114)/SUM(K111:K114)</f>
        <v>0.97684577591390198</v>
      </c>
      <c r="Y111" s="212">
        <f>+SUM(RBP!AG102:AG103)</f>
        <v>0</v>
      </c>
      <c r="Z111" s="38">
        <v>0</v>
      </c>
      <c r="AA111" s="50">
        <f>SUM(U111:U114)-SUM(W111:W114)-SUM(Z111:Z114)-SUM(Y111:Y114)</f>
        <v>-0.93278201113923986</v>
      </c>
      <c r="AB111" s="50">
        <f>(SUM(K111:K114)-SUM(W111:W114)-SUM(Y111:Y114)-SUM(Z111:Z114)-SUM(AC111:AC114)-SUM(V111:V114))-AA111</f>
        <v>4.4386331139244062E-2</v>
      </c>
      <c r="AC111" s="38">
        <f>K111-T111</f>
        <v>0.12769519999999801</v>
      </c>
      <c r="AD111" s="38">
        <f>+AM111+BA111</f>
        <v>0</v>
      </c>
      <c r="AE111" s="231" t="s">
        <v>390</v>
      </c>
      <c r="AF111" s="38">
        <v>0</v>
      </c>
      <c r="AG111" s="38"/>
      <c r="AH111" s="38"/>
      <c r="AI111" s="501"/>
      <c r="AJ111" s="38"/>
      <c r="AK111" s="38"/>
      <c r="AL111" s="38"/>
      <c r="AM111" s="38">
        <f>SUM(AF111:AL111)+AT111</f>
        <v>0</v>
      </c>
      <c r="AN111" s="38"/>
      <c r="AO111" s="38"/>
      <c r="AP111" s="38"/>
      <c r="AQ111" s="38"/>
      <c r="AR111" s="38">
        <f>SUM(AN111:AQ111)</f>
        <v>0</v>
      </c>
      <c r="AS111" s="38"/>
      <c r="AT111" s="38"/>
      <c r="AU111" s="38"/>
      <c r="AV111" s="38"/>
      <c r="AW111" s="38"/>
      <c r="AX111" s="38"/>
      <c r="AY111" s="38"/>
      <c r="AZ111" s="38"/>
      <c r="BA111" s="38">
        <f>+AR111+AS111+AU111+AV111+AX111</f>
        <v>0</v>
      </c>
      <c r="BB111" s="34">
        <v>0</v>
      </c>
      <c r="BC111" s="52"/>
      <c r="BD111" s="52"/>
      <c r="BE111" s="34"/>
      <c r="BF111" s="52">
        <v>1</v>
      </c>
    </row>
    <row r="112" spans="1:58" ht="12.95" customHeight="1">
      <c r="A112" s="41"/>
      <c r="B112" s="42" t="s">
        <v>431</v>
      </c>
      <c r="C112" s="443">
        <f t="shared" ref="C112" si="282">(M112*E112*O112*Q112)/100000000</f>
        <v>25.07648</v>
      </c>
      <c r="D112" s="42" t="s">
        <v>434</v>
      </c>
      <c r="E112" s="43">
        <v>20</v>
      </c>
      <c r="F112" s="43">
        <v>1</v>
      </c>
      <c r="G112" s="498">
        <v>875</v>
      </c>
      <c r="H112" s="45">
        <f t="shared" ref="H112" si="283">+N112</f>
        <v>0.19999999999999996</v>
      </c>
      <c r="I112" s="46">
        <v>0.88</v>
      </c>
      <c r="J112" s="83">
        <f t="shared" ref="J112" si="284">E112*G112*(1-H112)*1440/1000000*2.74</f>
        <v>55.238400000000006</v>
      </c>
      <c r="K112" s="83">
        <f>(IF(G112&lt;L112,L112,G112)*(1-IF(H112&lt;N112,H112,N112))*E112*O112*Q112)/100000000</f>
        <v>25.07648</v>
      </c>
      <c r="L112" s="36">
        <v>927.38461538461536</v>
      </c>
      <c r="M112" s="36">
        <v>741.90769230769229</v>
      </c>
      <c r="N112" s="47">
        <f t="shared" ref="N112" si="285">1-(M112/L112)</f>
        <v>0.19999999999999996</v>
      </c>
      <c r="O112" s="48">
        <f>+'Trim Rwd'!H69</f>
        <v>260</v>
      </c>
      <c r="P112" s="49">
        <f t="shared" ref="P112" si="286">O112*(Q112-R112-S112)</f>
        <v>163280</v>
      </c>
      <c r="Q112" s="48">
        <v>650</v>
      </c>
      <c r="R112" s="499">
        <v>0</v>
      </c>
      <c r="S112" s="499">
        <v>22</v>
      </c>
      <c r="T112" s="38">
        <f t="shared" ref="T112" si="287">E112*M112*O112*Q112/100000000</f>
        <v>25.07648</v>
      </c>
      <c r="U112" s="38">
        <f t="shared" ref="U112" si="288">E112*M112*O112*(Q112-R112-S112)/100000000</f>
        <v>24.227737600000001</v>
      </c>
      <c r="V112" s="38">
        <f t="shared" ref="V112" si="289">E112*G112*(1-N112)*O112/100*(R112+S112)/1000000</f>
        <v>0.80079999999999996</v>
      </c>
      <c r="W112" s="38">
        <f>+'21'!K19/1000</f>
        <v>20.552</v>
      </c>
      <c r="X112" s="39"/>
      <c r="Y112" s="212"/>
      <c r="Z112" s="38">
        <f>+'21'!D17/1000</f>
        <v>0.4</v>
      </c>
      <c r="AA112" s="38"/>
      <c r="AB112" s="38"/>
      <c r="AC112" s="38">
        <f>K112-T112</f>
        <v>0</v>
      </c>
      <c r="AD112" s="38">
        <f t="shared" ref="AD112:AD114" si="290">+AM112+BA112</f>
        <v>8</v>
      </c>
      <c r="AE112" s="231" t="s">
        <v>525</v>
      </c>
      <c r="AF112" s="38"/>
      <c r="AG112" s="38">
        <v>8</v>
      </c>
      <c r="AH112" s="38"/>
      <c r="AI112" s="501"/>
      <c r="AJ112" s="38"/>
      <c r="AK112" s="38"/>
      <c r="AL112" s="38"/>
      <c r="AM112" s="38">
        <f t="shared" ref="AM112:AM114" si="291">SUM(AF112:AL112)+AT112</f>
        <v>8</v>
      </c>
      <c r="AN112" s="84"/>
      <c r="AO112" s="38"/>
      <c r="AP112" s="38"/>
      <c r="AQ112" s="38"/>
      <c r="AR112" s="38">
        <f t="shared" ref="AR112:AR114" si="292">SUM(AN112:AQ112)</f>
        <v>0</v>
      </c>
      <c r="AS112" s="38"/>
      <c r="AT112" s="38"/>
      <c r="AU112" s="38"/>
      <c r="AV112" s="38"/>
      <c r="AW112" s="38"/>
      <c r="AX112" s="38"/>
      <c r="AY112" s="38"/>
      <c r="AZ112" s="38"/>
      <c r="BA112" s="38">
        <f t="shared" ref="BA112:BA114" si="293">+AR112+AS112+AU112+AV112+AX112</f>
        <v>0</v>
      </c>
      <c r="BB112" s="51"/>
      <c r="BC112" s="52">
        <v>7</v>
      </c>
      <c r="BD112" s="52"/>
      <c r="BE112" s="51"/>
      <c r="BF112" s="52"/>
    </row>
    <row r="113" spans="1:58" ht="12.95" customHeight="1">
      <c r="A113" s="41"/>
      <c r="B113" s="42"/>
      <c r="C113" s="443"/>
      <c r="D113" s="42"/>
      <c r="E113" s="43"/>
      <c r="F113" s="43"/>
      <c r="G113" s="44"/>
      <c r="H113" s="45"/>
      <c r="I113" s="46"/>
      <c r="J113" s="83"/>
      <c r="K113" s="83"/>
      <c r="L113" s="36"/>
      <c r="M113" s="36"/>
      <c r="N113" s="47"/>
      <c r="O113" s="48"/>
      <c r="P113" s="49"/>
      <c r="Q113" s="48"/>
      <c r="R113" s="499"/>
      <c r="S113" s="499"/>
      <c r="T113" s="38"/>
      <c r="U113" s="38"/>
      <c r="V113" s="38"/>
      <c r="W113" s="38"/>
      <c r="X113" s="39"/>
      <c r="Y113" s="212"/>
      <c r="Z113" s="38"/>
      <c r="AA113" s="38"/>
      <c r="AB113" s="38"/>
      <c r="AC113" s="38"/>
      <c r="AD113" s="38">
        <f t="shared" si="290"/>
        <v>18</v>
      </c>
      <c r="AE113" s="231" t="s">
        <v>661</v>
      </c>
      <c r="AF113" s="34"/>
      <c r="AG113" s="34"/>
      <c r="AH113" s="34">
        <v>18</v>
      </c>
      <c r="AJ113" s="38"/>
      <c r="AK113" s="38"/>
      <c r="AL113" s="38"/>
      <c r="AM113" s="38">
        <f t="shared" si="291"/>
        <v>18</v>
      </c>
      <c r="AN113" s="38"/>
      <c r="AO113" s="38"/>
      <c r="AP113" s="38"/>
      <c r="AQ113" s="38"/>
      <c r="AR113" s="38">
        <f t="shared" si="292"/>
        <v>0</v>
      </c>
      <c r="AS113" s="38"/>
      <c r="AT113" s="38"/>
      <c r="AU113" s="38"/>
      <c r="AV113" s="38"/>
      <c r="AW113" s="38"/>
      <c r="AX113" s="38"/>
      <c r="AY113" s="38"/>
      <c r="AZ113" s="38"/>
      <c r="BA113" s="38">
        <f t="shared" si="293"/>
        <v>0</v>
      </c>
      <c r="BB113" s="34"/>
      <c r="BC113" s="502"/>
      <c r="BD113" s="502"/>
      <c r="BE113" s="34"/>
      <c r="BF113" s="502"/>
    </row>
    <row r="114" spans="1:58" ht="12.95" customHeight="1">
      <c r="A114" s="41"/>
      <c r="B114" s="42"/>
      <c r="C114" s="443"/>
      <c r="D114" s="42"/>
      <c r="E114" s="43"/>
      <c r="F114" s="43"/>
      <c r="G114" s="44"/>
      <c r="H114" s="45"/>
      <c r="I114" s="46"/>
      <c r="J114" s="83"/>
      <c r="K114" s="83"/>
      <c r="L114" s="36"/>
      <c r="M114" s="36"/>
      <c r="N114" s="47"/>
      <c r="O114" s="48"/>
      <c r="P114" s="49"/>
      <c r="Q114" s="35"/>
      <c r="R114" s="499"/>
      <c r="S114" s="499"/>
      <c r="T114" s="38"/>
      <c r="U114" s="38"/>
      <c r="V114" s="38"/>
      <c r="W114" s="38"/>
      <c r="X114" s="39"/>
      <c r="Y114" s="212"/>
      <c r="Z114" s="38"/>
      <c r="AA114" s="38"/>
      <c r="AB114" s="38"/>
      <c r="AC114" s="38"/>
      <c r="AD114" s="38">
        <f t="shared" si="290"/>
        <v>18</v>
      </c>
      <c r="AE114" s="234" t="s">
        <v>228</v>
      </c>
      <c r="AF114" s="38"/>
      <c r="AG114" s="38"/>
      <c r="AH114" s="38"/>
      <c r="AI114" s="501">
        <v>18</v>
      </c>
      <c r="AJ114" s="38"/>
      <c r="AK114" s="38"/>
      <c r="AL114" s="38"/>
      <c r="AM114" s="38">
        <f t="shared" si="291"/>
        <v>18</v>
      </c>
      <c r="AN114" s="38"/>
      <c r="AO114" s="38"/>
      <c r="AP114" s="38"/>
      <c r="AQ114" s="38"/>
      <c r="AR114" s="38">
        <f t="shared" si="292"/>
        <v>0</v>
      </c>
      <c r="AS114" s="38"/>
      <c r="AT114" s="38"/>
      <c r="AU114" s="38"/>
      <c r="AV114" s="38"/>
      <c r="AW114" s="38"/>
      <c r="AX114" s="38"/>
      <c r="AY114" s="38"/>
      <c r="AZ114" s="38"/>
      <c r="BA114" s="38">
        <f t="shared" si="293"/>
        <v>0</v>
      </c>
      <c r="BB114" s="51"/>
      <c r="BC114" s="52"/>
      <c r="BD114" s="52"/>
      <c r="BE114" s="51"/>
      <c r="BF114" s="52"/>
    </row>
    <row r="115" spans="1:58" ht="12.95" customHeight="1">
      <c r="A115" s="41"/>
      <c r="B115" s="42"/>
      <c r="C115" s="443"/>
      <c r="D115" s="42"/>
      <c r="E115" s="43"/>
      <c r="F115" s="43"/>
      <c r="G115" s="44"/>
      <c r="H115" s="44"/>
      <c r="I115" s="46"/>
      <c r="J115" s="83"/>
      <c r="K115" s="83"/>
      <c r="L115" s="36"/>
      <c r="M115" s="36"/>
      <c r="N115" s="47"/>
      <c r="O115" s="48"/>
      <c r="P115" s="49"/>
      <c r="Q115" s="48"/>
      <c r="R115" s="499"/>
      <c r="S115" s="499"/>
      <c r="T115" s="38"/>
      <c r="U115" s="38"/>
      <c r="V115" s="38"/>
      <c r="W115" s="38"/>
      <c r="X115" s="39"/>
      <c r="Y115" s="212"/>
      <c r="Z115" s="38"/>
      <c r="AA115" s="38"/>
      <c r="AB115" s="38"/>
      <c r="AC115" s="38"/>
      <c r="AD115" s="38"/>
      <c r="AE115" s="231"/>
      <c r="AF115" s="38"/>
      <c r="AG115" s="38"/>
      <c r="AH115" s="38"/>
      <c r="AI115" s="501"/>
      <c r="AJ115" s="38"/>
      <c r="AK115" s="38"/>
      <c r="AL115" s="38"/>
      <c r="AM115" s="38"/>
      <c r="AN115" s="84"/>
      <c r="AO115" s="38"/>
      <c r="AP115" s="38"/>
      <c r="AQ115" s="38"/>
      <c r="AR115" s="38"/>
      <c r="AS115" s="38"/>
      <c r="AT115" s="38"/>
      <c r="AU115" s="38"/>
      <c r="AV115" s="38"/>
      <c r="AW115" s="38"/>
      <c r="AX115" s="38"/>
      <c r="AY115" s="38"/>
      <c r="AZ115" s="38"/>
      <c r="BA115" s="38"/>
      <c r="BB115" s="51"/>
      <c r="BC115" s="52"/>
      <c r="BD115" s="52"/>
      <c r="BE115" s="52"/>
      <c r="BF115" s="52"/>
    </row>
    <row r="116" spans="1:58" ht="12" customHeight="1">
      <c r="A116" s="41">
        <v>45983</v>
      </c>
      <c r="B116" s="42" t="s">
        <v>431</v>
      </c>
      <c r="C116" s="443">
        <f t="shared" ref="C116" si="294">(M116*E116*O116*Q116)/100000000</f>
        <v>8.3050239999999995</v>
      </c>
      <c r="D116" s="42" t="s">
        <v>434</v>
      </c>
      <c r="E116" s="43">
        <v>20</v>
      </c>
      <c r="F116" s="43">
        <v>1</v>
      </c>
      <c r="G116" s="498">
        <v>875</v>
      </c>
      <c r="H116" s="45">
        <f t="shared" ref="H116" si="295">+N116</f>
        <v>0.19999999999999996</v>
      </c>
      <c r="I116" s="46">
        <v>0.88</v>
      </c>
      <c r="J116" s="83">
        <f t="shared" ref="J116" si="296">E116*G116*(1-H116)*1440/1000000*2.74</f>
        <v>55.238400000000006</v>
      </c>
      <c r="K116" s="83">
        <f>(IF(G116&lt;L116,L116,G116)*(1-IF(H116&lt;N116,H116,N116))*E116*O116*Q116)/100000000</f>
        <v>8.3050239999999995</v>
      </c>
      <c r="L116" s="36">
        <v>920</v>
      </c>
      <c r="M116" s="36">
        <v>736</v>
      </c>
      <c r="N116" s="47">
        <f t="shared" ref="N116" si="297">1-(M116/L116)</f>
        <v>0.19999999999999996</v>
      </c>
      <c r="O116" s="48">
        <f>+'Trim Rwd'!H71</f>
        <v>260</v>
      </c>
      <c r="P116" s="49">
        <f t="shared" ref="P116" si="298">O116*(Q116-R116-S116)</f>
        <v>50960</v>
      </c>
      <c r="Q116" s="48">
        <v>217</v>
      </c>
      <c r="R116" s="499">
        <v>0</v>
      </c>
      <c r="S116" s="499">
        <v>21</v>
      </c>
      <c r="T116" s="38">
        <f t="shared" ref="T116" si="299">E116*M116*O116*Q116/100000000</f>
        <v>8.3050239999999995</v>
      </c>
      <c r="U116" s="38">
        <f t="shared" ref="U116" si="300">E116*M116*O116*(Q116-R116-S116)/100000000</f>
        <v>7.5013120000000004</v>
      </c>
      <c r="V116" s="38">
        <f t="shared" ref="V116" si="301">E116*G116*(1-N116)*O116/100*(R116+S116)/1000000</f>
        <v>0.76439999999999997</v>
      </c>
      <c r="W116" s="38">
        <f>+'22'!K19/1000</f>
        <v>12.606</v>
      </c>
      <c r="X116" s="500">
        <f>SUM(W116:W119)/SUM(K116:K119)</f>
        <v>0.93131034253043377</v>
      </c>
      <c r="Y116" s="212">
        <v>0</v>
      </c>
      <c r="Z116" s="38">
        <f>+'22'!D7/1000</f>
        <v>0.44500000000000001</v>
      </c>
      <c r="AA116" s="50">
        <f>SUM(U116:U119)-SUM(W116:W119)-SUM(Z116:Z119)-SUM(Y116:Y119)</f>
        <v>8.6063343754546218E-2</v>
      </c>
      <c r="AB116" s="50">
        <f>(SUM(K116:K119)-SUM(W116:W119)-SUM(Y116:Y119)-SUM(Z116:Z119)-SUM(AC116:AC119)-SUM(V116:V119))-AA116</f>
        <v>8.3528548658071133E-3</v>
      </c>
      <c r="AC116" s="38">
        <f>K116-T116</f>
        <v>0</v>
      </c>
      <c r="AD116" s="38">
        <f>+AM116+BA116</f>
        <v>0</v>
      </c>
      <c r="AE116" s="231" t="s">
        <v>390</v>
      </c>
      <c r="AF116" s="38">
        <v>0</v>
      </c>
      <c r="AG116" s="38"/>
      <c r="AH116" s="38"/>
      <c r="AI116" s="501"/>
      <c r="AJ116" s="38"/>
      <c r="AK116" s="38"/>
      <c r="AL116" s="38"/>
      <c r="AM116" s="38">
        <f>SUM(AF116:AL116)+AT116</f>
        <v>0</v>
      </c>
      <c r="AN116" s="38"/>
      <c r="AO116" s="38"/>
      <c r="AP116" s="38"/>
      <c r="AQ116" s="38"/>
      <c r="AR116" s="38">
        <f>SUM(AN116:AQ116)</f>
        <v>0</v>
      </c>
      <c r="AS116" s="38"/>
      <c r="AT116" s="38"/>
      <c r="AU116" s="38"/>
      <c r="AV116" s="38"/>
      <c r="AW116" s="38"/>
      <c r="AX116" s="38"/>
      <c r="AY116" s="38"/>
      <c r="AZ116" s="38"/>
      <c r="BA116" s="38">
        <f>+AR116+AS116+AU116+AV116+AX116</f>
        <v>0</v>
      </c>
      <c r="BB116" s="34">
        <v>0</v>
      </c>
      <c r="BC116" s="52"/>
      <c r="BD116" s="52"/>
      <c r="BE116" s="34"/>
      <c r="BF116" s="52"/>
    </row>
    <row r="117" spans="1:58" ht="12.95" customHeight="1">
      <c r="A117" s="41"/>
      <c r="B117" s="42" t="s">
        <v>431</v>
      </c>
      <c r="C117" s="443">
        <f t="shared" ref="C117" si="302">(M117*E117*O117*Q117)/100000000</f>
        <v>45.739736173636359</v>
      </c>
      <c r="D117" s="42" t="s">
        <v>434</v>
      </c>
      <c r="E117" s="43">
        <v>15</v>
      </c>
      <c r="F117" s="43">
        <v>1</v>
      </c>
      <c r="G117" s="498">
        <v>1180</v>
      </c>
      <c r="H117" s="45">
        <f t="shared" ref="H117" si="303">+N117</f>
        <v>0.21196791806942594</v>
      </c>
      <c r="I117" s="46">
        <v>0.88</v>
      </c>
      <c r="J117" s="83">
        <f t="shared" ref="J117" si="304">E117*G117*(1-H117)*1440/1000000*2.74</f>
        <v>55.033891069635338</v>
      </c>
      <c r="K117" s="83">
        <f>(IF(G117&lt;L117,L117,G117)*(1-IF(H117&lt;N117,H117,N117))*E117*O117*Q117)/100000000</f>
        <v>46.686312036114515</v>
      </c>
      <c r="L117" s="36">
        <v>1156.0752248569092</v>
      </c>
      <c r="M117" s="36">
        <v>911.02436631234673</v>
      </c>
      <c r="N117" s="47">
        <f t="shared" ref="N117" si="305">1-(M117/L117)</f>
        <v>0.21196791806942594</v>
      </c>
      <c r="O117" s="48">
        <f>+'Trim Rwd'!H72</f>
        <v>273.68181818181819</v>
      </c>
      <c r="P117" s="49">
        <f t="shared" ref="P117" si="306">O117*(Q117-R117-S117)</f>
        <v>323765.59090909094</v>
      </c>
      <c r="Q117" s="48">
        <v>1223</v>
      </c>
      <c r="R117" s="499">
        <v>0</v>
      </c>
      <c r="S117" s="499">
        <v>40</v>
      </c>
      <c r="T117" s="38">
        <f t="shared" ref="T117" si="307">E117*M117*O117*Q117/100000000</f>
        <v>45.739736173636359</v>
      </c>
      <c r="U117" s="38">
        <f t="shared" ref="U117" si="308">E117*M117*O117*(Q117-R117-S117)/100000000</f>
        <v>44.243751343754546</v>
      </c>
      <c r="V117" s="38">
        <f t="shared" ref="V117" si="309">E117*G117*(1-N117)*O117/100*(R117+S117)/1000000</f>
        <v>1.5269439750160103</v>
      </c>
      <c r="W117" s="38">
        <f>+'22'!K9/1000</f>
        <v>38.607999999999997</v>
      </c>
      <c r="X117" s="39"/>
      <c r="Y117" s="212"/>
      <c r="Z117" s="38">
        <f>+'21'!D22/1000</f>
        <v>0</v>
      </c>
      <c r="AA117" s="38"/>
      <c r="AB117" s="38"/>
      <c r="AC117" s="38">
        <f>K117-T117</f>
        <v>0.94657586247815573</v>
      </c>
      <c r="AD117" s="38">
        <f t="shared" ref="AD117:AD119" si="310">+AM117+BA117</f>
        <v>15</v>
      </c>
      <c r="AE117" s="231" t="s">
        <v>435</v>
      </c>
      <c r="AF117" s="38"/>
      <c r="AG117" s="38">
        <v>15</v>
      </c>
      <c r="AH117" s="38"/>
      <c r="AI117" s="501"/>
      <c r="AJ117" s="38"/>
      <c r="AK117" s="38"/>
      <c r="AL117" s="38"/>
      <c r="AM117" s="38">
        <f t="shared" ref="AM117:AM119" si="311">SUM(AF117:AL117)+AT117</f>
        <v>15</v>
      </c>
      <c r="AN117" s="84"/>
      <c r="AO117" s="38"/>
      <c r="AP117" s="38"/>
      <c r="AQ117" s="38"/>
      <c r="AR117" s="38">
        <f t="shared" ref="AR117:AR119" si="312">SUM(AN117:AQ117)</f>
        <v>0</v>
      </c>
      <c r="AS117" s="38"/>
      <c r="AT117" s="38"/>
      <c r="AU117" s="38"/>
      <c r="AV117" s="38"/>
      <c r="AW117" s="38"/>
      <c r="AX117" s="38"/>
      <c r="AY117" s="38"/>
      <c r="AZ117" s="38"/>
      <c r="BA117" s="38">
        <f t="shared" ref="BA117:BA119" si="313">+AR117+AS117+AU117+AV117+AX117</f>
        <v>0</v>
      </c>
      <c r="BB117" s="51"/>
      <c r="BC117" s="52">
        <v>11</v>
      </c>
      <c r="BD117" s="52"/>
      <c r="BE117" s="51"/>
      <c r="BF117" s="52"/>
    </row>
    <row r="118" spans="1:58" ht="12.95" customHeight="1">
      <c r="A118" s="41"/>
      <c r="B118" s="42"/>
      <c r="C118" s="443"/>
      <c r="D118" s="42"/>
      <c r="E118" s="43"/>
      <c r="F118" s="43"/>
      <c r="G118" s="44"/>
      <c r="H118" s="45"/>
      <c r="I118" s="46"/>
      <c r="J118" s="83"/>
      <c r="K118" s="83"/>
      <c r="L118" s="36"/>
      <c r="M118" s="36"/>
      <c r="N118" s="47"/>
      <c r="O118" s="48"/>
      <c r="P118" s="49"/>
      <c r="Q118" s="48"/>
      <c r="R118" s="499"/>
      <c r="S118" s="499"/>
      <c r="T118" s="38"/>
      <c r="U118" s="38"/>
      <c r="V118" s="38"/>
      <c r="W118" s="38"/>
      <c r="X118" s="39"/>
      <c r="Y118" s="212"/>
      <c r="Z118" s="38"/>
      <c r="AA118" s="38"/>
      <c r="AB118" s="38"/>
      <c r="AC118" s="38"/>
      <c r="AD118" s="38">
        <f t="shared" si="310"/>
        <v>28</v>
      </c>
      <c r="AE118" s="231" t="s">
        <v>436</v>
      </c>
      <c r="AF118" s="34"/>
      <c r="AG118" s="34"/>
      <c r="AH118" s="34">
        <v>28</v>
      </c>
      <c r="AJ118" s="38"/>
      <c r="AK118" s="38"/>
      <c r="AL118" s="38"/>
      <c r="AM118" s="38">
        <f t="shared" si="311"/>
        <v>28</v>
      </c>
      <c r="AN118" s="38"/>
      <c r="AO118" s="38"/>
      <c r="AP118" s="38"/>
      <c r="AQ118" s="38"/>
      <c r="AR118" s="38">
        <f t="shared" si="312"/>
        <v>0</v>
      </c>
      <c r="AS118" s="38"/>
      <c r="AT118" s="38"/>
      <c r="AU118" s="38"/>
      <c r="AV118" s="38"/>
      <c r="AW118" s="38"/>
      <c r="AX118" s="38"/>
      <c r="AY118" s="38"/>
      <c r="AZ118" s="38"/>
      <c r="BA118" s="38">
        <f t="shared" si="313"/>
        <v>0</v>
      </c>
      <c r="BB118" s="34"/>
      <c r="BC118" s="502"/>
      <c r="BD118" s="502"/>
      <c r="BE118" s="34"/>
      <c r="BF118" s="502"/>
    </row>
    <row r="119" spans="1:58" ht="12.95" customHeight="1">
      <c r="A119" s="41"/>
      <c r="B119" s="42"/>
      <c r="C119" s="443"/>
      <c r="D119" s="42"/>
      <c r="E119" s="43"/>
      <c r="F119" s="43"/>
      <c r="G119" s="44"/>
      <c r="H119" s="45"/>
      <c r="I119" s="46"/>
      <c r="J119" s="83"/>
      <c r="K119" s="83"/>
      <c r="L119" s="36"/>
      <c r="M119" s="36"/>
      <c r="N119" s="47"/>
      <c r="O119" s="48"/>
      <c r="P119" s="49"/>
      <c r="Q119" s="35"/>
      <c r="R119" s="499"/>
      <c r="S119" s="499"/>
      <c r="T119" s="38"/>
      <c r="U119" s="38"/>
      <c r="V119" s="38"/>
      <c r="W119" s="38"/>
      <c r="X119" s="39"/>
      <c r="Y119" s="212"/>
      <c r="Z119" s="38"/>
      <c r="AA119" s="38"/>
      <c r="AB119" s="38"/>
      <c r="AC119" s="38"/>
      <c r="AD119" s="38">
        <f t="shared" si="310"/>
        <v>18</v>
      </c>
      <c r="AE119" s="234" t="s">
        <v>228</v>
      </c>
      <c r="AF119" s="38"/>
      <c r="AG119" s="38"/>
      <c r="AH119" s="38"/>
      <c r="AI119" s="501">
        <v>18</v>
      </c>
      <c r="AJ119" s="38"/>
      <c r="AK119" s="38"/>
      <c r="AL119" s="38"/>
      <c r="AM119" s="38">
        <f t="shared" si="311"/>
        <v>18</v>
      </c>
      <c r="AN119" s="38"/>
      <c r="AO119" s="38"/>
      <c r="AP119" s="38"/>
      <c r="AQ119" s="38"/>
      <c r="AR119" s="38">
        <f t="shared" si="312"/>
        <v>0</v>
      </c>
      <c r="AS119" s="38"/>
      <c r="AT119" s="38"/>
      <c r="AU119" s="38"/>
      <c r="AV119" s="38"/>
      <c r="AW119" s="38"/>
      <c r="AX119" s="38"/>
      <c r="AY119" s="38"/>
      <c r="AZ119" s="38"/>
      <c r="BA119" s="38">
        <f t="shared" si="313"/>
        <v>0</v>
      </c>
      <c r="BB119" s="51"/>
      <c r="BC119" s="52"/>
      <c r="BD119" s="52"/>
      <c r="BE119" s="51"/>
      <c r="BF119" s="52"/>
    </row>
    <row r="120" spans="1:58" ht="12.95" customHeight="1">
      <c r="A120" s="41"/>
      <c r="B120" s="42"/>
      <c r="C120" s="443"/>
      <c r="D120" s="42"/>
      <c r="E120" s="43"/>
      <c r="F120" s="43"/>
      <c r="G120" s="44"/>
      <c r="H120" s="44"/>
      <c r="I120" s="46"/>
      <c r="J120" s="83"/>
      <c r="K120" s="83"/>
      <c r="L120" s="36"/>
      <c r="M120" s="36"/>
      <c r="N120" s="47"/>
      <c r="O120" s="48"/>
      <c r="P120" s="49"/>
      <c r="Q120" s="48"/>
      <c r="R120" s="499"/>
      <c r="S120" s="499"/>
      <c r="T120" s="38"/>
      <c r="U120" s="38"/>
      <c r="V120" s="38"/>
      <c r="W120" s="38"/>
      <c r="X120" s="500"/>
      <c r="Y120" s="212"/>
      <c r="Z120" s="38"/>
      <c r="AA120" s="50"/>
      <c r="AB120" s="50"/>
      <c r="AC120" s="38"/>
      <c r="AD120" s="38"/>
      <c r="AE120" s="231"/>
      <c r="AF120" s="38"/>
      <c r="AG120" s="38"/>
      <c r="AH120" s="38"/>
      <c r="AI120" s="501"/>
      <c r="AJ120" s="38"/>
      <c r="AK120" s="38"/>
      <c r="AL120" s="38"/>
      <c r="AM120" s="38"/>
      <c r="AN120" s="38"/>
      <c r="AO120" s="38"/>
      <c r="AP120" s="38"/>
      <c r="AQ120" s="38"/>
      <c r="AR120" s="38"/>
      <c r="AS120" s="38"/>
      <c r="AT120" s="38"/>
      <c r="AU120" s="38"/>
      <c r="AV120" s="38"/>
      <c r="AW120" s="38"/>
      <c r="AX120" s="38"/>
      <c r="AY120" s="38"/>
      <c r="AZ120" s="38"/>
      <c r="BA120" s="38"/>
      <c r="BB120" s="34"/>
      <c r="BC120" s="52"/>
      <c r="BD120" s="52"/>
      <c r="BE120" s="52"/>
      <c r="BF120" s="52"/>
    </row>
    <row r="121" spans="1:58" ht="12" customHeight="1">
      <c r="A121" s="41">
        <v>45984</v>
      </c>
      <c r="B121" s="42" t="s">
        <v>431</v>
      </c>
      <c r="C121" s="443">
        <f t="shared" ref="C121" si="314">(M121*E121*O121*Q121)/100000000</f>
        <v>52.35753181935484</v>
      </c>
      <c r="D121" s="42" t="s">
        <v>434</v>
      </c>
      <c r="E121" s="43">
        <v>15</v>
      </c>
      <c r="F121" s="43">
        <v>1</v>
      </c>
      <c r="G121" s="498">
        <v>1190</v>
      </c>
      <c r="H121" s="45">
        <f t="shared" ref="H121" si="315">+N121</f>
        <v>0.21682080924855485</v>
      </c>
      <c r="I121" s="46">
        <v>0.88</v>
      </c>
      <c r="J121" s="83">
        <f t="shared" ref="J121" si="316">E121*G121*(1-H121)*1440/1000000*2.74</f>
        <v>55.158495898265912</v>
      </c>
      <c r="K121" s="83">
        <f>(IF(G121&lt;L121,L121,G121)*(1-IF(H121&lt;N121,H121,N121))*E121*O121*Q121)/100000000</f>
        <v>54.022077628640687</v>
      </c>
      <c r="L121" s="36">
        <v>1153.3333333333333</v>
      </c>
      <c r="M121" s="36">
        <v>903.26666666666665</v>
      </c>
      <c r="N121" s="47">
        <f t="shared" ref="N121" si="317">1-(M121/L121)</f>
        <v>0.21682080924855485</v>
      </c>
      <c r="O121" s="48">
        <f>+'Trim Rwd'!H75</f>
        <v>268.35483870967744</v>
      </c>
      <c r="P121" s="49">
        <f t="shared" ref="P121" si="318">O121*(Q121-R121-S121)</f>
        <v>365767.64516129036</v>
      </c>
      <c r="Q121" s="48">
        <v>1440</v>
      </c>
      <c r="R121" s="499">
        <v>0</v>
      </c>
      <c r="S121" s="499">
        <v>77</v>
      </c>
      <c r="T121" s="38">
        <f t="shared" ref="T121" si="319">E121*M121*O121*Q121/100000000</f>
        <v>52.35753181935484</v>
      </c>
      <c r="U121" s="38">
        <f t="shared" ref="U121" si="320">E121*M121*O121*(Q121-R121-S121)/100000000</f>
        <v>49.557858242903229</v>
      </c>
      <c r="V121" s="38">
        <f t="shared" ref="V121" si="321">E121*G121*(1-N121)*O121/100*(R121+S121)/1000000</f>
        <v>2.8886805398648145</v>
      </c>
      <c r="W121" s="38">
        <f>+'23'!K9/1000</f>
        <v>48.63</v>
      </c>
      <c r="X121" s="500">
        <f>SUM(W121:W124)/SUM(K121:K124)</f>
        <v>0.90018751841225031</v>
      </c>
      <c r="Y121" s="212">
        <f>+SUM(RBP!AG112:AG113)</f>
        <v>0</v>
      </c>
      <c r="Z121" s="38">
        <v>0</v>
      </c>
      <c r="AA121" s="50">
        <f>SUM(U121:U124)-SUM(W121:W124)-SUM(Z121:Z124)-SUM(Y121:Y124)</f>
        <v>0.92785824290322694</v>
      </c>
      <c r="AB121" s="50">
        <f>(SUM(K121:K124)-SUM(W121:W124)-SUM(Y121:Y124)-SUM(Z121:Z124)-SUM(AC121:AC124)-SUM(V121:V124))-AA121</f>
        <v>-8.9006963413204243E-2</v>
      </c>
      <c r="AC121" s="38">
        <f>K121-T121</f>
        <v>1.6645458092858476</v>
      </c>
      <c r="AD121" s="38">
        <f>+AM121+BA121</f>
        <v>0</v>
      </c>
      <c r="AE121" s="231" t="s">
        <v>390</v>
      </c>
      <c r="AF121" s="38">
        <v>0</v>
      </c>
      <c r="AG121" s="38"/>
      <c r="AH121" s="38"/>
      <c r="AI121" s="501"/>
      <c r="AJ121" s="38"/>
      <c r="AK121" s="38"/>
      <c r="AL121" s="38"/>
      <c r="AM121" s="38">
        <f>SUM(AF121:AL121)+AT121</f>
        <v>0</v>
      </c>
      <c r="AN121" s="38"/>
      <c r="AO121" s="38"/>
      <c r="AP121" s="38"/>
      <c r="AQ121" s="38"/>
      <c r="AR121" s="38">
        <f>SUM(AN121:AQ121)</f>
        <v>0</v>
      </c>
      <c r="AS121" s="38"/>
      <c r="AT121" s="38"/>
      <c r="AU121" s="38"/>
      <c r="AV121" s="38"/>
      <c r="AW121" s="38"/>
      <c r="AX121" s="38"/>
      <c r="AY121" s="38"/>
      <c r="AZ121" s="38"/>
      <c r="BA121" s="38">
        <f>+AR121+AS121+AU121+AV121+AX121</f>
        <v>0</v>
      </c>
      <c r="BB121" s="34">
        <v>0</v>
      </c>
      <c r="BC121" s="52"/>
      <c r="BD121" s="52"/>
      <c r="BE121" s="34"/>
      <c r="BF121" s="52"/>
    </row>
    <row r="122" spans="1:58" ht="12.95" customHeight="1">
      <c r="A122" s="41"/>
      <c r="B122" s="42"/>
      <c r="C122" s="443"/>
      <c r="D122" s="42"/>
      <c r="E122" s="43"/>
      <c r="F122" s="43"/>
      <c r="G122" s="44"/>
      <c r="H122" s="45"/>
      <c r="I122" s="46"/>
      <c r="J122" s="83"/>
      <c r="K122" s="83"/>
      <c r="L122" s="36"/>
      <c r="M122" s="36"/>
      <c r="N122" s="47"/>
      <c r="O122" s="48"/>
      <c r="P122" s="49"/>
      <c r="Q122" s="48"/>
      <c r="R122" s="499"/>
      <c r="S122" s="499"/>
      <c r="T122" s="38"/>
      <c r="U122" s="38"/>
      <c r="V122" s="38"/>
      <c r="W122" s="38"/>
      <c r="X122" s="39"/>
      <c r="Y122" s="212"/>
      <c r="Z122" s="38">
        <f>+'21'!D27/1000</f>
        <v>0</v>
      </c>
      <c r="AA122" s="38"/>
      <c r="AB122" s="38"/>
      <c r="AC122" s="38">
        <f>K122-T122</f>
        <v>0</v>
      </c>
      <c r="AD122" s="38">
        <f t="shared" ref="AD122:AD124" si="322">+AM122+BA122</f>
        <v>12</v>
      </c>
      <c r="AE122" s="231" t="s">
        <v>438</v>
      </c>
      <c r="AF122" s="38"/>
      <c r="AG122" s="38">
        <v>12</v>
      </c>
      <c r="AH122" s="38"/>
      <c r="AI122" s="501"/>
      <c r="AJ122" s="38"/>
      <c r="AK122" s="38"/>
      <c r="AL122" s="38"/>
      <c r="AM122" s="38">
        <f t="shared" ref="AM122:AM124" si="323">SUM(AF122:AL122)+AT122</f>
        <v>12</v>
      </c>
      <c r="AN122" s="84"/>
      <c r="AO122" s="38"/>
      <c r="AP122" s="38"/>
      <c r="AQ122" s="38"/>
      <c r="AR122" s="38">
        <f t="shared" ref="AR122:AR124" si="324">SUM(AN122:AQ122)</f>
        <v>0</v>
      </c>
      <c r="AS122" s="38"/>
      <c r="AT122" s="38"/>
      <c r="AU122" s="38"/>
      <c r="AV122" s="38"/>
      <c r="AW122" s="38"/>
      <c r="AX122" s="38"/>
      <c r="AY122" s="38"/>
      <c r="AZ122" s="38"/>
      <c r="BA122" s="38">
        <f t="shared" ref="BA122:BA124" si="325">+AR122+AS122+AU122+AV122+AX122</f>
        <v>0</v>
      </c>
      <c r="BB122" s="51"/>
      <c r="BC122" s="52">
        <v>10</v>
      </c>
      <c r="BD122" s="52"/>
      <c r="BE122" s="51"/>
      <c r="BF122" s="52"/>
    </row>
    <row r="123" spans="1:58" ht="12.95" customHeight="1">
      <c r="A123" s="41"/>
      <c r="B123" s="42"/>
      <c r="C123" s="443"/>
      <c r="D123" s="42"/>
      <c r="E123" s="43"/>
      <c r="F123" s="43"/>
      <c r="G123" s="44"/>
      <c r="H123" s="45"/>
      <c r="I123" s="46"/>
      <c r="J123" s="83"/>
      <c r="K123" s="83"/>
      <c r="L123" s="36"/>
      <c r="M123" s="36"/>
      <c r="N123" s="47"/>
      <c r="O123" s="48"/>
      <c r="P123" s="49"/>
      <c r="Q123" s="48"/>
      <c r="R123" s="499"/>
      <c r="S123" s="499"/>
      <c r="T123" s="38"/>
      <c r="U123" s="38"/>
      <c r="V123" s="38"/>
      <c r="W123" s="38"/>
      <c r="X123" s="39"/>
      <c r="Y123" s="212"/>
      <c r="Z123" s="38"/>
      <c r="AA123" s="38"/>
      <c r="AB123" s="38"/>
      <c r="AC123" s="38"/>
      <c r="AD123" s="38">
        <f t="shared" si="322"/>
        <v>24</v>
      </c>
      <c r="AE123" s="231" t="s">
        <v>594</v>
      </c>
      <c r="AF123" s="34"/>
      <c r="AG123" s="34"/>
      <c r="AH123" s="34">
        <v>24</v>
      </c>
      <c r="AJ123" s="38"/>
      <c r="AK123" s="38"/>
      <c r="AL123" s="38"/>
      <c r="AM123" s="38">
        <f t="shared" si="323"/>
        <v>24</v>
      </c>
      <c r="AN123" s="38"/>
      <c r="AO123" s="38"/>
      <c r="AP123" s="38"/>
      <c r="AQ123" s="38"/>
      <c r="AR123" s="38">
        <f t="shared" si="324"/>
        <v>0</v>
      </c>
      <c r="AS123" s="38"/>
      <c r="AT123" s="38"/>
      <c r="AU123" s="38"/>
      <c r="AV123" s="38"/>
      <c r="AW123" s="38"/>
      <c r="AX123" s="38"/>
      <c r="AY123" s="38"/>
      <c r="AZ123" s="38"/>
      <c r="BA123" s="38">
        <f t="shared" si="325"/>
        <v>0</v>
      </c>
      <c r="BB123" s="34"/>
      <c r="BC123" s="502"/>
      <c r="BD123" s="502"/>
      <c r="BE123" s="34"/>
      <c r="BF123" s="502"/>
    </row>
    <row r="124" spans="1:58" ht="12.95" customHeight="1">
      <c r="A124" s="41"/>
      <c r="B124" s="42"/>
      <c r="C124" s="443"/>
      <c r="D124" s="42"/>
      <c r="E124" s="43"/>
      <c r="F124" s="43"/>
      <c r="G124" s="44"/>
      <c r="H124" s="45"/>
      <c r="I124" s="46"/>
      <c r="J124" s="83"/>
      <c r="K124" s="83"/>
      <c r="L124" s="36"/>
      <c r="M124" s="36"/>
      <c r="N124" s="47"/>
      <c r="O124" s="48"/>
      <c r="P124" s="49"/>
      <c r="Q124" s="35"/>
      <c r="R124" s="499"/>
      <c r="S124" s="499"/>
      <c r="T124" s="38"/>
      <c r="U124" s="38"/>
      <c r="V124" s="38"/>
      <c r="W124" s="38"/>
      <c r="X124" s="39"/>
      <c r="Y124" s="212"/>
      <c r="Z124" s="38"/>
      <c r="AA124" s="38"/>
      <c r="AB124" s="38"/>
      <c r="AC124" s="38"/>
      <c r="AD124" s="38">
        <f t="shared" si="322"/>
        <v>8</v>
      </c>
      <c r="AE124" s="234" t="s">
        <v>228</v>
      </c>
      <c r="AF124" s="38"/>
      <c r="AG124" s="38"/>
      <c r="AH124" s="38"/>
      <c r="AI124" s="501">
        <v>8</v>
      </c>
      <c r="AJ124" s="38"/>
      <c r="AK124" s="38"/>
      <c r="AL124" s="38"/>
      <c r="AM124" s="38">
        <f t="shared" si="323"/>
        <v>8</v>
      </c>
      <c r="AN124" s="38"/>
      <c r="AO124" s="38"/>
      <c r="AP124" s="38"/>
      <c r="AQ124" s="38"/>
      <c r="AR124" s="38">
        <f t="shared" si="324"/>
        <v>0</v>
      </c>
      <c r="AS124" s="38"/>
      <c r="AT124" s="38"/>
      <c r="AU124" s="38"/>
      <c r="AV124" s="38"/>
      <c r="AW124" s="38"/>
      <c r="AX124" s="38"/>
      <c r="AY124" s="38"/>
      <c r="AZ124" s="38"/>
      <c r="BA124" s="38">
        <f t="shared" si="325"/>
        <v>0</v>
      </c>
      <c r="BB124" s="51"/>
      <c r="BC124" s="52"/>
      <c r="BD124" s="52"/>
      <c r="BE124" s="51"/>
      <c r="BF124" s="52"/>
    </row>
    <row r="125" spans="1:58" ht="12.95" customHeight="1">
      <c r="A125" s="41"/>
      <c r="B125" s="42"/>
      <c r="C125" s="443"/>
      <c r="D125" s="42"/>
      <c r="E125" s="43"/>
      <c r="F125" s="43"/>
      <c r="G125" s="44"/>
      <c r="H125" s="45"/>
      <c r="I125" s="46"/>
      <c r="J125" s="83"/>
      <c r="K125" s="83"/>
      <c r="L125" s="36"/>
      <c r="M125" s="36"/>
      <c r="N125" s="47"/>
      <c r="O125" s="48"/>
      <c r="P125" s="49"/>
      <c r="Q125" s="35"/>
      <c r="R125" s="499"/>
      <c r="S125" s="499"/>
      <c r="T125" s="38"/>
      <c r="U125" s="38"/>
      <c r="V125" s="38"/>
      <c r="W125" s="38"/>
      <c r="X125" s="39"/>
      <c r="Y125" s="212"/>
      <c r="Z125" s="38"/>
      <c r="AA125" s="38"/>
      <c r="AB125" s="38"/>
      <c r="AC125" s="38"/>
      <c r="AD125" s="38">
        <f t="shared" ref="AD125" si="326">+AM125+BA125</f>
        <v>33</v>
      </c>
      <c r="AE125" s="234" t="s">
        <v>683</v>
      </c>
      <c r="AF125" s="38"/>
      <c r="AG125" s="38"/>
      <c r="AH125" s="38"/>
      <c r="AI125" s="501"/>
      <c r="AJ125" s="38"/>
      <c r="AK125" s="38">
        <v>33</v>
      </c>
      <c r="AL125" s="38"/>
      <c r="AM125" s="38">
        <f t="shared" ref="AM125" si="327">SUM(AF125:AL125)+AT125</f>
        <v>33</v>
      </c>
      <c r="AN125" s="38"/>
      <c r="AO125" s="38"/>
      <c r="AP125" s="38"/>
      <c r="AQ125" s="38"/>
      <c r="AR125" s="38">
        <f t="shared" ref="AR125" si="328">SUM(AN125:AQ125)</f>
        <v>0</v>
      </c>
      <c r="AS125" s="38"/>
      <c r="AT125" s="38"/>
      <c r="AU125" s="38"/>
      <c r="AV125" s="38"/>
      <c r="AW125" s="38"/>
      <c r="AX125" s="38"/>
      <c r="AY125" s="38"/>
      <c r="AZ125" s="38"/>
      <c r="BA125" s="38">
        <f t="shared" ref="BA125" si="329">+AR125+AS125+AU125+AV125+AX125</f>
        <v>0</v>
      </c>
      <c r="BB125" s="51"/>
      <c r="BC125" s="52"/>
      <c r="BD125" s="52"/>
      <c r="BE125" s="51"/>
      <c r="BF125" s="52"/>
    </row>
    <row r="126" spans="1:58" ht="12.95" customHeight="1">
      <c r="A126" s="41"/>
      <c r="B126" s="42"/>
      <c r="C126" s="443"/>
      <c r="D126" s="42"/>
      <c r="E126" s="43"/>
      <c r="F126" s="43"/>
      <c r="G126" s="498"/>
      <c r="H126" s="45"/>
      <c r="I126" s="46"/>
      <c r="J126" s="83"/>
      <c r="K126" s="83"/>
      <c r="L126" s="36"/>
      <c r="M126" s="36"/>
      <c r="N126" s="47"/>
      <c r="O126" s="48"/>
      <c r="P126" s="49"/>
      <c r="Q126" s="48"/>
      <c r="R126" s="499"/>
      <c r="S126" s="499"/>
      <c r="T126" s="38"/>
      <c r="U126" s="38"/>
      <c r="V126" s="38"/>
      <c r="W126" s="38"/>
      <c r="X126" s="500"/>
      <c r="Y126" s="212"/>
      <c r="Z126" s="38"/>
      <c r="AA126" s="50"/>
      <c r="AB126" s="50"/>
      <c r="AC126" s="38"/>
      <c r="AD126" s="38"/>
      <c r="AE126" s="231"/>
      <c r="AF126" s="38"/>
      <c r="AG126" s="38"/>
      <c r="AH126" s="38"/>
      <c r="AI126" s="501"/>
      <c r="AJ126" s="38"/>
      <c r="AK126" s="38"/>
      <c r="AL126" s="38"/>
      <c r="AM126" s="38"/>
      <c r="AN126" s="38"/>
      <c r="AO126" s="38"/>
      <c r="AP126" s="38"/>
      <c r="AQ126" s="38"/>
      <c r="AR126" s="38"/>
      <c r="AS126" s="38"/>
      <c r="AT126" s="38"/>
      <c r="AU126" s="38"/>
      <c r="AV126" s="38"/>
      <c r="AW126" s="38"/>
      <c r="AX126" s="38"/>
      <c r="AY126" s="38"/>
      <c r="AZ126" s="38"/>
      <c r="BA126" s="38"/>
      <c r="BB126" s="34"/>
      <c r="BC126" s="52"/>
      <c r="BD126" s="52"/>
      <c r="BE126" s="52"/>
      <c r="BF126" s="52"/>
    </row>
    <row r="127" spans="1:58" ht="12" customHeight="1">
      <c r="A127" s="41">
        <v>45985</v>
      </c>
      <c r="B127" s="42" t="s">
        <v>431</v>
      </c>
      <c r="C127" s="443">
        <f t="shared" ref="C127" si="330">(M127*E127*O127*Q127)/100000000</f>
        <v>52.863148799999998</v>
      </c>
      <c r="D127" s="42" t="s">
        <v>434</v>
      </c>
      <c r="E127" s="43">
        <v>15</v>
      </c>
      <c r="F127" s="43">
        <v>1</v>
      </c>
      <c r="G127" s="498">
        <v>1210</v>
      </c>
      <c r="H127" s="45">
        <f t="shared" ref="H127" si="331">+N127</f>
        <v>0.22999999999999998</v>
      </c>
      <c r="I127" s="46">
        <v>0.88</v>
      </c>
      <c r="J127" s="83">
        <f t="shared" ref="J127" si="332">E127*G127*(1-H127)*1440/1000000*2.74</f>
        <v>55.141732800000007</v>
      </c>
      <c r="K127" s="83">
        <f>(IF(G127&lt;L127,L127,G127)*(1-IF(H127&lt;N127,H127,N127))*E127*O127*Q127)/100000000</f>
        <v>55.1417328</v>
      </c>
      <c r="L127" s="36">
        <v>1160</v>
      </c>
      <c r="M127" s="36">
        <v>893.2</v>
      </c>
      <c r="N127" s="47">
        <f t="shared" ref="N127" si="333">1-(M127/L127)</f>
        <v>0.22999999999999998</v>
      </c>
      <c r="O127" s="48">
        <f>+'Trim Rwd'!H78</f>
        <v>274</v>
      </c>
      <c r="P127" s="49">
        <f t="shared" ref="P127" si="334">O127*(Q127-R127-S127)</f>
        <v>380586</v>
      </c>
      <c r="Q127" s="48">
        <v>1440</v>
      </c>
      <c r="R127" s="499">
        <v>0</v>
      </c>
      <c r="S127" s="499">
        <v>51</v>
      </c>
      <c r="T127" s="38">
        <f t="shared" ref="T127" si="335">E127*M127*O127*Q127/100000000</f>
        <v>52.863148799999998</v>
      </c>
      <c r="U127" s="38">
        <f t="shared" ref="U127" si="336">E127*M127*O127*(Q127-R127-S127)/100000000</f>
        <v>50.990912280000003</v>
      </c>
      <c r="V127" s="38">
        <f t="shared" ref="V127" si="337">E127*G127*(1-N127)*O127/100*(R127+S127)/1000000</f>
        <v>1.9529363700000002</v>
      </c>
      <c r="W127" s="38">
        <f>+'24'!K9/1000</f>
        <v>51.286999999999999</v>
      </c>
      <c r="X127" s="500">
        <f>SUM(W127:W130)/SUM(K127:K130)</f>
        <v>0.93009409381491182</v>
      </c>
      <c r="Y127" s="212">
        <f>+SUM(RBP!AG118:AG119)</f>
        <v>0</v>
      </c>
      <c r="Z127" s="38">
        <v>0</v>
      </c>
      <c r="AA127" s="50">
        <f>SUM(U127:U130)-SUM(W127:W130)-SUM(Z127:Z130)-SUM(Y127:Y130)</f>
        <v>-0.29608771999999561</v>
      </c>
      <c r="AB127" s="50">
        <f>(SUM(K127:K130)-SUM(W127:W130)-SUM(Y127:Y130)-SUM(Z127:Z130)-SUM(AC127:AC130)-SUM(V127:V130))-AA127</f>
        <v>-8.0699850000006013E-2</v>
      </c>
      <c r="AC127" s="38">
        <f>K127-T127</f>
        <v>2.2785840000000022</v>
      </c>
      <c r="AD127" s="38">
        <f>+AM127+BA127</f>
        <v>0</v>
      </c>
      <c r="AE127" s="231" t="s">
        <v>390</v>
      </c>
      <c r="AF127" s="38">
        <v>0</v>
      </c>
      <c r="AG127" s="38"/>
      <c r="AH127" s="38"/>
      <c r="AI127" s="501"/>
      <c r="AJ127" s="38"/>
      <c r="AK127" s="38"/>
      <c r="AL127" s="38"/>
      <c r="AM127" s="38">
        <f>SUM(AF127:AL127)+AT127</f>
        <v>0</v>
      </c>
      <c r="AN127" s="38"/>
      <c r="AO127" s="38"/>
      <c r="AP127" s="38"/>
      <c r="AQ127" s="38"/>
      <c r="AR127" s="38">
        <f>SUM(AN127:AQ127)</f>
        <v>0</v>
      </c>
      <c r="AS127" s="38"/>
      <c r="AT127" s="38"/>
      <c r="AU127" s="38"/>
      <c r="AV127" s="38"/>
      <c r="AW127" s="38"/>
      <c r="AX127" s="38"/>
      <c r="AY127" s="38"/>
      <c r="AZ127" s="38"/>
      <c r="BA127" s="38">
        <f>+AR127+AS127+AU127+AV127+AX127</f>
        <v>0</v>
      </c>
      <c r="BB127" s="34">
        <v>0</v>
      </c>
      <c r="BC127" s="52"/>
      <c r="BD127" s="52"/>
      <c r="BE127" s="34"/>
      <c r="BF127" s="52"/>
    </row>
    <row r="128" spans="1:58" ht="12.95" customHeight="1">
      <c r="A128" s="41"/>
      <c r="B128" s="42"/>
      <c r="C128" s="443"/>
      <c r="D128" s="42"/>
      <c r="E128" s="43"/>
      <c r="F128" s="43"/>
      <c r="G128" s="44"/>
      <c r="H128" s="45"/>
      <c r="I128" s="46"/>
      <c r="J128" s="83"/>
      <c r="K128" s="83"/>
      <c r="L128" s="36"/>
      <c r="M128" s="36"/>
      <c r="N128" s="47"/>
      <c r="O128" s="48"/>
      <c r="P128" s="49"/>
      <c r="Q128" s="48"/>
      <c r="R128" s="499"/>
      <c r="S128" s="499"/>
      <c r="T128" s="38"/>
      <c r="U128" s="38"/>
      <c r="V128" s="38"/>
      <c r="W128" s="38"/>
      <c r="X128" s="39"/>
      <c r="Y128" s="212"/>
      <c r="Z128" s="38">
        <f>+'21'!D33/1000</f>
        <v>0</v>
      </c>
      <c r="AA128" s="38"/>
      <c r="AB128" s="38"/>
      <c r="AC128" s="38">
        <f>K128-T128</f>
        <v>0</v>
      </c>
      <c r="AD128" s="38">
        <f t="shared" ref="AD128:AD130" si="338">+AM128+BA128</f>
        <v>14</v>
      </c>
      <c r="AE128" s="231" t="s">
        <v>435</v>
      </c>
      <c r="AF128" s="38"/>
      <c r="AG128" s="38">
        <v>14</v>
      </c>
      <c r="AH128" s="38"/>
      <c r="AI128" s="501"/>
      <c r="AJ128" s="38"/>
      <c r="AK128" s="38"/>
      <c r="AL128" s="38"/>
      <c r="AM128" s="38">
        <f t="shared" ref="AM128:AM130" si="339">SUM(AF128:AL128)+AT128</f>
        <v>14</v>
      </c>
      <c r="AN128" s="84"/>
      <c r="AO128" s="38"/>
      <c r="AP128" s="38"/>
      <c r="AQ128" s="38"/>
      <c r="AR128" s="38">
        <f t="shared" ref="AR128:AR130" si="340">SUM(AN128:AQ128)</f>
        <v>0</v>
      </c>
      <c r="AS128" s="38"/>
      <c r="AT128" s="38"/>
      <c r="AU128" s="38"/>
      <c r="AV128" s="38"/>
      <c r="AW128" s="38"/>
      <c r="AX128" s="38"/>
      <c r="AY128" s="38"/>
      <c r="AZ128" s="38"/>
      <c r="BA128" s="38">
        <f t="shared" ref="BA128:BA130" si="341">+AR128+AS128+AU128+AV128+AX128</f>
        <v>0</v>
      </c>
      <c r="BB128" s="51"/>
      <c r="BC128" s="52">
        <v>11</v>
      </c>
      <c r="BD128" s="52"/>
      <c r="BE128" s="51"/>
      <c r="BF128" s="52"/>
    </row>
    <row r="129" spans="1:58" ht="12.95" customHeight="1">
      <c r="A129" s="41"/>
      <c r="B129" s="42"/>
      <c r="C129" s="443"/>
      <c r="D129" s="42"/>
      <c r="E129" s="43"/>
      <c r="F129" s="43"/>
      <c r="G129" s="44"/>
      <c r="H129" s="45"/>
      <c r="I129" s="46"/>
      <c r="J129" s="83"/>
      <c r="K129" s="83"/>
      <c r="L129" s="36"/>
      <c r="M129" s="36"/>
      <c r="N129" s="47"/>
      <c r="O129" s="48"/>
      <c r="P129" s="49"/>
      <c r="Q129" s="48"/>
      <c r="R129" s="499"/>
      <c r="S129" s="499"/>
      <c r="T129" s="38"/>
      <c r="U129" s="38"/>
      <c r="V129" s="38"/>
      <c r="W129" s="38"/>
      <c r="X129" s="39"/>
      <c r="Y129" s="212"/>
      <c r="Z129" s="38"/>
      <c r="AA129" s="38"/>
      <c r="AB129" s="38"/>
      <c r="AC129" s="38"/>
      <c r="AD129" s="38">
        <f t="shared" si="338"/>
        <v>29</v>
      </c>
      <c r="AE129" s="231" t="s">
        <v>436</v>
      </c>
      <c r="AF129" s="34"/>
      <c r="AG129" s="34"/>
      <c r="AH129" s="34">
        <v>29</v>
      </c>
      <c r="AJ129" s="38"/>
      <c r="AK129" s="38"/>
      <c r="AL129" s="38"/>
      <c r="AM129" s="38">
        <f t="shared" si="339"/>
        <v>29</v>
      </c>
      <c r="AN129" s="38"/>
      <c r="AO129" s="38"/>
      <c r="AP129" s="38"/>
      <c r="AQ129" s="38"/>
      <c r="AR129" s="38">
        <f t="shared" si="340"/>
        <v>0</v>
      </c>
      <c r="AS129" s="38"/>
      <c r="AT129" s="38"/>
      <c r="AU129" s="38"/>
      <c r="AV129" s="38"/>
      <c r="AW129" s="38"/>
      <c r="AX129" s="38"/>
      <c r="AY129" s="38"/>
      <c r="AZ129" s="38"/>
      <c r="BA129" s="38">
        <f t="shared" si="341"/>
        <v>0</v>
      </c>
      <c r="BB129" s="34"/>
      <c r="BC129" s="502"/>
      <c r="BD129" s="502"/>
      <c r="BE129" s="34"/>
      <c r="BF129" s="502"/>
    </row>
    <row r="130" spans="1:58" ht="12.95" customHeight="1">
      <c r="A130" s="41"/>
      <c r="B130" s="42"/>
      <c r="C130" s="443"/>
      <c r="D130" s="42"/>
      <c r="E130" s="43"/>
      <c r="F130" s="43"/>
      <c r="G130" s="44"/>
      <c r="H130" s="45"/>
      <c r="I130" s="46"/>
      <c r="J130" s="83"/>
      <c r="K130" s="83"/>
      <c r="L130" s="36"/>
      <c r="M130" s="36"/>
      <c r="N130" s="47"/>
      <c r="O130" s="48"/>
      <c r="P130" s="49"/>
      <c r="Q130" s="35"/>
      <c r="R130" s="499"/>
      <c r="S130" s="499"/>
      <c r="T130" s="38"/>
      <c r="U130" s="38"/>
      <c r="V130" s="38"/>
      <c r="W130" s="38"/>
      <c r="X130" s="39"/>
      <c r="Y130" s="212"/>
      <c r="Z130" s="38"/>
      <c r="AA130" s="38"/>
      <c r="AB130" s="38"/>
      <c r="AC130" s="38"/>
      <c r="AD130" s="38">
        <f t="shared" si="338"/>
        <v>8</v>
      </c>
      <c r="AE130" s="234" t="s">
        <v>228</v>
      </c>
      <c r="AF130" s="38"/>
      <c r="AG130" s="38"/>
      <c r="AH130" s="38"/>
      <c r="AI130" s="501">
        <v>8</v>
      </c>
      <c r="AJ130" s="38"/>
      <c r="AK130" s="38"/>
      <c r="AL130" s="38"/>
      <c r="AM130" s="38">
        <f t="shared" si="339"/>
        <v>8</v>
      </c>
      <c r="AN130" s="38"/>
      <c r="AO130" s="38"/>
      <c r="AP130" s="38"/>
      <c r="AQ130" s="38"/>
      <c r="AR130" s="38">
        <f t="shared" si="340"/>
        <v>0</v>
      </c>
      <c r="AS130" s="38"/>
      <c r="AT130" s="38"/>
      <c r="AU130" s="38"/>
      <c r="AV130" s="38"/>
      <c r="AW130" s="38"/>
      <c r="AX130" s="38"/>
      <c r="AY130" s="38"/>
      <c r="AZ130" s="38"/>
      <c r="BA130" s="38">
        <f t="shared" si="341"/>
        <v>0</v>
      </c>
      <c r="BB130" s="51"/>
      <c r="BC130" s="52"/>
      <c r="BD130" s="52"/>
      <c r="BE130" s="51"/>
      <c r="BF130" s="52"/>
    </row>
    <row r="131" spans="1:58" ht="12.95" customHeight="1">
      <c r="A131" s="41"/>
      <c r="B131" s="42"/>
      <c r="C131" s="443"/>
      <c r="D131" s="42"/>
      <c r="E131" s="43"/>
      <c r="F131" s="43"/>
      <c r="G131" s="44"/>
      <c r="H131" s="45"/>
      <c r="I131" s="46"/>
      <c r="J131" s="83"/>
      <c r="K131" s="83"/>
      <c r="L131" s="36"/>
      <c r="M131" s="36"/>
      <c r="N131" s="47"/>
      <c r="O131" s="48"/>
      <c r="P131" s="49"/>
      <c r="Q131" s="35"/>
      <c r="R131" s="499"/>
      <c r="S131" s="499"/>
      <c r="T131" s="38"/>
      <c r="U131" s="38"/>
      <c r="V131" s="38"/>
      <c r="W131" s="38"/>
      <c r="X131" s="39"/>
      <c r="Y131" s="212"/>
      <c r="Z131" s="38"/>
      <c r="AA131" s="38"/>
      <c r="AB131" s="38"/>
      <c r="AC131" s="38"/>
      <c r="AD131" s="38"/>
      <c r="AE131" s="234"/>
      <c r="AF131" s="38"/>
      <c r="AG131" s="38"/>
      <c r="AH131" s="38"/>
      <c r="AI131" s="501"/>
      <c r="AJ131" s="38"/>
      <c r="AK131" s="38"/>
      <c r="AL131" s="38"/>
      <c r="AM131" s="38"/>
      <c r="AN131" s="38"/>
      <c r="AO131" s="38"/>
      <c r="AP131" s="38"/>
      <c r="AQ131" s="38"/>
      <c r="AR131" s="38"/>
      <c r="AS131" s="38"/>
      <c r="AT131" s="38"/>
      <c r="AU131" s="38"/>
      <c r="AV131" s="38"/>
      <c r="AW131" s="38"/>
      <c r="AX131" s="38"/>
      <c r="AY131" s="38"/>
      <c r="AZ131" s="38"/>
      <c r="BA131" s="38"/>
      <c r="BB131" s="51"/>
      <c r="BC131" s="52"/>
      <c r="BD131" s="52"/>
      <c r="BE131" s="51"/>
      <c r="BF131" s="52"/>
    </row>
    <row r="132" spans="1:58" ht="12" customHeight="1">
      <c r="A132" s="41">
        <v>45986</v>
      </c>
      <c r="B132" s="42" t="s">
        <v>431</v>
      </c>
      <c r="C132" s="443">
        <f t="shared" ref="C132" si="342">(M132*E132*O132*Q132)/100000000</f>
        <v>6.3218376000000003</v>
      </c>
      <c r="D132" s="42" t="s">
        <v>434</v>
      </c>
      <c r="E132" s="43">
        <v>15</v>
      </c>
      <c r="F132" s="43">
        <v>1</v>
      </c>
      <c r="G132" s="498">
        <v>1195</v>
      </c>
      <c r="H132" s="45">
        <f t="shared" ref="H132" si="343">+N132</f>
        <v>0.22000000000000008</v>
      </c>
      <c r="I132" s="46">
        <v>0.88</v>
      </c>
      <c r="J132" s="83">
        <f t="shared" ref="J132" si="344">E132*G132*(1-H132)*1440/1000000*2.74</f>
        <v>55.165406399999995</v>
      </c>
      <c r="K132" s="83">
        <f>(IF(G132&lt;L132,L132,G132)*(1-IF(H132&lt;N132,H132,N132))*E132*O132*Q132)/100000000</f>
        <v>6.5125826999999985</v>
      </c>
      <c r="L132" s="36">
        <v>1160</v>
      </c>
      <c r="M132" s="36">
        <v>904.8</v>
      </c>
      <c r="N132" s="47">
        <f t="shared" ref="N132" si="345">1-(M132/L132)</f>
        <v>0.22000000000000008</v>
      </c>
      <c r="O132" s="48">
        <f>+'Trim Rwd'!H80</f>
        <v>274</v>
      </c>
      <c r="P132" s="49">
        <f t="shared" ref="P132" si="346">O132*(Q132-R132-S132)</f>
        <v>43840</v>
      </c>
      <c r="Q132" s="48">
        <v>170</v>
      </c>
      <c r="R132" s="499">
        <v>0</v>
      </c>
      <c r="S132" s="499">
        <v>10</v>
      </c>
      <c r="T132" s="38">
        <f t="shared" ref="T132" si="347">E132*M132*O132*Q132/100000000</f>
        <v>6.3218376000000003</v>
      </c>
      <c r="U132" s="38">
        <f t="shared" ref="U132" si="348">E132*M132*O132*(Q132-R132-S132)/100000000</f>
        <v>5.9499648000000001</v>
      </c>
      <c r="V132" s="38">
        <f t="shared" ref="V132" si="349">E132*G132*(1-N132)*O132/100*(R132+S132)/1000000</f>
        <v>0.38309309999999996</v>
      </c>
      <c r="W132" s="38">
        <f>+'25'!K9/1000</f>
        <v>9.9550000000000001</v>
      </c>
      <c r="X132" s="500">
        <f>SUM(W132:W135)/SUM(K132:K135)</f>
        <v>0.9398039942086065</v>
      </c>
      <c r="Y132" s="212">
        <f>+SUM(RBP!AG123:AG124)</f>
        <v>0</v>
      </c>
      <c r="Z132" s="38">
        <v>0</v>
      </c>
      <c r="AA132" s="50">
        <f>SUM(U132:U135)-SUM(W132:W135)-SUM(Z132:Z135)-SUM(Y132:Y135)</f>
        <v>-1.1632074887795198</v>
      </c>
      <c r="AB132" s="50">
        <f>(SUM(K132:K135)-SUM(W132:W135)-SUM(Y132:Y135)-SUM(Z132:Z135)-SUM(AC132:AC135)-SUM(V132:V135))-AA132</f>
        <v>-8.1428237893702793E-2</v>
      </c>
      <c r="AC132" s="38">
        <f>K132-T132</f>
        <v>0.19074509999999822</v>
      </c>
      <c r="AD132" s="38">
        <f>+AM132+BA132</f>
        <v>0</v>
      </c>
      <c r="AE132" s="231" t="s">
        <v>390</v>
      </c>
      <c r="AF132" s="38">
        <v>0</v>
      </c>
      <c r="AG132" s="38"/>
      <c r="AH132" s="38"/>
      <c r="AI132" s="501"/>
      <c r="AJ132" s="38"/>
      <c r="AK132" s="38"/>
      <c r="AL132" s="38"/>
      <c r="AM132" s="38">
        <f>SUM(AF132:AL132)+AT132</f>
        <v>0</v>
      </c>
      <c r="AN132" s="38"/>
      <c r="AO132" s="38"/>
      <c r="AP132" s="38"/>
      <c r="AQ132" s="38"/>
      <c r="AR132" s="38">
        <f>SUM(AN132:AQ132)</f>
        <v>0</v>
      </c>
      <c r="AS132" s="38"/>
      <c r="AT132" s="38"/>
      <c r="AU132" s="38"/>
      <c r="AV132" s="38"/>
      <c r="AW132" s="38"/>
      <c r="AX132" s="38"/>
      <c r="AY132" s="38"/>
      <c r="AZ132" s="38"/>
      <c r="BA132" s="38">
        <f>+AR132+AS132+AU132+AV132+AX132</f>
        <v>0</v>
      </c>
      <c r="BB132" s="34">
        <v>0</v>
      </c>
      <c r="BC132" s="52"/>
      <c r="BD132" s="52"/>
      <c r="BE132" s="34"/>
      <c r="BF132" s="52"/>
    </row>
    <row r="133" spans="1:58" ht="12.95" customHeight="1">
      <c r="A133" s="41"/>
      <c r="B133" s="42" t="s">
        <v>431</v>
      </c>
      <c r="C133" s="443">
        <f t="shared" ref="C133" si="350">(M133*E133*O133*Q133)/100000000</f>
        <v>42.944332950000003</v>
      </c>
      <c r="D133" s="42" t="s">
        <v>434</v>
      </c>
      <c r="E133" s="43">
        <v>13.5</v>
      </c>
      <c r="F133" s="43">
        <v>1</v>
      </c>
      <c r="G133" s="498">
        <v>1250</v>
      </c>
      <c r="H133" s="45">
        <f t="shared" ref="H133" si="351">+N133</f>
        <v>0.17244094488188977</v>
      </c>
      <c r="I133" s="46">
        <v>0.88</v>
      </c>
      <c r="J133" s="83">
        <f t="shared" ref="J133" si="352">E133*G133*(1-H133)*1440/1000000*2.74</f>
        <v>55.100537007874017</v>
      </c>
      <c r="K133" s="83">
        <f>(IF(G133&lt;L133,L133,G133)*(1-IF(H133&lt;N133,H133,N133))*E133*O133*Q133)/100000000</f>
        <v>45.491878124999992</v>
      </c>
      <c r="L133" s="36">
        <v>1180</v>
      </c>
      <c r="M133" s="36">
        <v>976.51968503937007</v>
      </c>
      <c r="N133" s="47">
        <f t="shared" ref="N133" si="353">1-(M133/L133)</f>
        <v>0.17244094488188977</v>
      </c>
      <c r="O133" s="48">
        <f>+'Trim Rwd'!H81</f>
        <v>256.5</v>
      </c>
      <c r="P133" s="49">
        <f t="shared" ref="P133" si="354">O133*(Q133-R133-S133)</f>
        <v>316777.5</v>
      </c>
      <c r="Q133" s="48">
        <v>1270</v>
      </c>
      <c r="R133" s="499">
        <v>0</v>
      </c>
      <c r="S133" s="499">
        <v>35</v>
      </c>
      <c r="T133" s="38">
        <f t="shared" ref="T133" si="355">E133*M133*O133*Q133/100000000</f>
        <v>42.944332950000003</v>
      </c>
      <c r="U133" s="38">
        <f t="shared" ref="U133" si="356">E133*M133*O133*(Q133-R133-S133)/100000000</f>
        <v>41.760827711220472</v>
      </c>
      <c r="V133" s="38">
        <f t="shared" ref="V133" si="357">E133*G133*(1-N133)*O133/100*(R133+S133)/1000000</f>
        <v>1.2537131766732283</v>
      </c>
      <c r="W133" s="38">
        <f>+'25'!K7/1000</f>
        <v>38.918999999999997</v>
      </c>
      <c r="X133" s="39"/>
      <c r="Y133" s="212"/>
      <c r="Z133" s="38">
        <v>0</v>
      </c>
      <c r="AA133" s="38"/>
      <c r="AB133" s="38"/>
      <c r="AC133" s="38">
        <f>K133-T133</f>
        <v>2.5475451749999891</v>
      </c>
      <c r="AD133" s="38">
        <f t="shared" ref="AD133:AD135" si="358">+AM133+BA133</f>
        <v>11</v>
      </c>
      <c r="AE133" s="231" t="s">
        <v>570</v>
      </c>
      <c r="AF133" s="38"/>
      <c r="AG133" s="38">
        <v>11</v>
      </c>
      <c r="AH133" s="38"/>
      <c r="AI133" s="501"/>
      <c r="AJ133" s="38"/>
      <c r="AK133" s="38"/>
      <c r="AL133" s="38"/>
      <c r="AM133" s="38">
        <f t="shared" ref="AM133:AM135" si="359">SUM(AF133:AL133)+AT133</f>
        <v>11</v>
      </c>
      <c r="AN133" s="84"/>
      <c r="AO133" s="38"/>
      <c r="AP133" s="38"/>
      <c r="AQ133" s="38"/>
      <c r="AR133" s="38">
        <f t="shared" ref="AR133:AR135" si="360">SUM(AN133:AQ133)</f>
        <v>0</v>
      </c>
      <c r="AS133" s="38"/>
      <c r="AT133" s="38"/>
      <c r="AU133" s="38"/>
      <c r="AV133" s="38"/>
      <c r="AW133" s="38"/>
      <c r="AX133" s="38"/>
      <c r="AY133" s="38"/>
      <c r="AZ133" s="38"/>
      <c r="BA133" s="38">
        <f t="shared" ref="BA133:BA135" si="361">+AR133+AS133+AU133+AV133+AX133</f>
        <v>0</v>
      </c>
      <c r="BB133" s="51"/>
      <c r="BC133" s="52">
        <v>9</v>
      </c>
      <c r="BD133" s="52"/>
      <c r="BE133" s="51"/>
      <c r="BF133" s="52"/>
    </row>
    <row r="134" spans="1:58" ht="12.95" customHeight="1">
      <c r="A134" s="41"/>
      <c r="B134" s="42"/>
      <c r="C134" s="443"/>
      <c r="D134" s="42"/>
      <c r="E134" s="43"/>
      <c r="F134" s="43"/>
      <c r="G134" s="44"/>
      <c r="H134" s="45"/>
      <c r="I134" s="46"/>
      <c r="J134" s="83"/>
      <c r="K134" s="83"/>
      <c r="L134" s="36"/>
      <c r="M134" s="36"/>
      <c r="N134" s="47"/>
      <c r="O134" s="48"/>
      <c r="P134" s="49"/>
      <c r="Q134" s="48"/>
      <c r="R134" s="499"/>
      <c r="S134" s="499"/>
      <c r="T134" s="38"/>
      <c r="U134" s="38"/>
      <c r="V134" s="38"/>
      <c r="W134" s="38"/>
      <c r="X134" s="39"/>
      <c r="Y134" s="212"/>
      <c r="Z134" s="38"/>
      <c r="AA134" s="38"/>
      <c r="AB134" s="38"/>
      <c r="AC134" s="38"/>
      <c r="AD134" s="38">
        <f t="shared" si="358"/>
        <v>24</v>
      </c>
      <c r="AE134" s="231" t="s">
        <v>594</v>
      </c>
      <c r="AF134" s="34"/>
      <c r="AG134" s="34"/>
      <c r="AH134" s="34">
        <v>24</v>
      </c>
      <c r="AJ134" s="38"/>
      <c r="AK134" s="38"/>
      <c r="AL134" s="38"/>
      <c r="AM134" s="38">
        <f t="shared" si="359"/>
        <v>24</v>
      </c>
      <c r="AN134" s="38"/>
      <c r="AO134" s="38"/>
      <c r="AP134" s="38"/>
      <c r="AQ134" s="38"/>
      <c r="AR134" s="38">
        <f t="shared" si="360"/>
        <v>0</v>
      </c>
      <c r="AS134" s="38"/>
      <c r="AT134" s="38"/>
      <c r="AU134" s="38"/>
      <c r="AV134" s="38"/>
      <c r="AW134" s="38"/>
      <c r="AX134" s="38"/>
      <c r="AY134" s="38"/>
      <c r="AZ134" s="38"/>
      <c r="BA134" s="38">
        <f t="shared" si="361"/>
        <v>0</v>
      </c>
      <c r="BB134" s="34"/>
      <c r="BC134" s="502"/>
      <c r="BD134" s="502"/>
      <c r="BE134" s="34"/>
      <c r="BF134" s="502"/>
    </row>
    <row r="135" spans="1:58" ht="12.95" customHeight="1">
      <c r="A135" s="41"/>
      <c r="B135" s="42"/>
      <c r="C135" s="443"/>
      <c r="D135" s="42"/>
      <c r="E135" s="43"/>
      <c r="F135" s="43"/>
      <c r="G135" s="44"/>
      <c r="H135" s="45"/>
      <c r="I135" s="46"/>
      <c r="J135" s="83"/>
      <c r="K135" s="83"/>
      <c r="L135" s="36"/>
      <c r="M135" s="36"/>
      <c r="N135" s="47"/>
      <c r="O135" s="48"/>
      <c r="P135" s="49"/>
      <c r="Q135" s="35"/>
      <c r="R135" s="499"/>
      <c r="S135" s="499"/>
      <c r="T135" s="38"/>
      <c r="U135" s="38"/>
      <c r="V135" s="38"/>
      <c r="W135" s="38"/>
      <c r="X135" s="39"/>
      <c r="Y135" s="212"/>
      <c r="Z135" s="38"/>
      <c r="AA135" s="38"/>
      <c r="AB135" s="38"/>
      <c r="AC135" s="38"/>
      <c r="AD135" s="38">
        <f t="shared" si="358"/>
        <v>10</v>
      </c>
      <c r="AE135" s="234" t="s">
        <v>228</v>
      </c>
      <c r="AF135" s="38"/>
      <c r="AG135" s="38"/>
      <c r="AH135" s="38"/>
      <c r="AI135" s="501">
        <v>10</v>
      </c>
      <c r="AJ135" s="38"/>
      <c r="AK135" s="38"/>
      <c r="AL135" s="38"/>
      <c r="AM135" s="38">
        <f t="shared" si="359"/>
        <v>10</v>
      </c>
      <c r="AN135" s="38"/>
      <c r="AO135" s="38"/>
      <c r="AP135" s="38"/>
      <c r="AQ135" s="38"/>
      <c r="AR135" s="38">
        <f t="shared" si="360"/>
        <v>0</v>
      </c>
      <c r="AS135" s="38"/>
      <c r="AT135" s="38"/>
      <c r="AU135" s="38"/>
      <c r="AV135" s="38"/>
      <c r="AW135" s="38"/>
      <c r="AX135" s="38"/>
      <c r="AY135" s="38"/>
      <c r="AZ135" s="38"/>
      <c r="BA135" s="38">
        <f t="shared" si="361"/>
        <v>0</v>
      </c>
      <c r="BB135" s="51"/>
      <c r="BC135" s="52"/>
      <c r="BD135" s="52"/>
      <c r="BE135" s="51"/>
      <c r="BF135" s="52"/>
    </row>
    <row r="136" spans="1:58" ht="12.95" customHeight="1">
      <c r="A136" s="41"/>
      <c r="B136" s="42"/>
      <c r="C136" s="443"/>
      <c r="D136" s="42"/>
      <c r="E136" s="43"/>
      <c r="F136" s="43"/>
      <c r="G136" s="498"/>
      <c r="H136" s="45"/>
      <c r="I136" s="46"/>
      <c r="J136" s="83"/>
      <c r="K136" s="83"/>
      <c r="L136" s="36"/>
      <c r="M136" s="36"/>
      <c r="N136" s="47"/>
      <c r="O136" s="48"/>
      <c r="P136" s="49"/>
      <c r="Q136" s="48"/>
      <c r="R136" s="499"/>
      <c r="S136" s="499"/>
      <c r="T136" s="38"/>
      <c r="U136" s="38"/>
      <c r="V136" s="38"/>
      <c r="W136" s="38"/>
      <c r="X136" s="500"/>
      <c r="Y136" s="212"/>
      <c r="Z136" s="38"/>
      <c r="AA136" s="50"/>
      <c r="AB136" s="50"/>
      <c r="AC136" s="38"/>
      <c r="AD136" s="38"/>
      <c r="AE136" s="231"/>
      <c r="AF136" s="38"/>
      <c r="AG136" s="38"/>
      <c r="AH136" s="38"/>
      <c r="AI136" s="501"/>
      <c r="AJ136" s="38"/>
      <c r="AK136" s="38"/>
      <c r="AL136" s="38"/>
      <c r="AM136" s="38"/>
      <c r="AN136" s="38"/>
      <c r="AO136" s="38"/>
      <c r="AP136" s="38"/>
      <c r="AQ136" s="38"/>
      <c r="AR136" s="38"/>
      <c r="AS136" s="38"/>
      <c r="AT136" s="38"/>
      <c r="AU136" s="38"/>
      <c r="AV136" s="38"/>
      <c r="AW136" s="38"/>
      <c r="AX136" s="38"/>
      <c r="AY136" s="38"/>
      <c r="AZ136" s="38"/>
      <c r="BA136" s="38"/>
      <c r="BB136" s="34"/>
      <c r="BC136" s="52"/>
      <c r="BD136" s="52"/>
      <c r="BE136" s="52"/>
      <c r="BF136" s="52"/>
    </row>
    <row r="137" spans="1:58" ht="12" customHeight="1">
      <c r="A137" s="41">
        <v>45987</v>
      </c>
      <c r="B137" s="42" t="s">
        <v>431</v>
      </c>
      <c r="C137" s="443">
        <f t="shared" ref="C137" si="362">(M137*E137*O137*Q137)/100000000</f>
        <v>48.974365800000001</v>
      </c>
      <c r="D137" s="42" t="s">
        <v>434</v>
      </c>
      <c r="E137" s="43">
        <v>13.5</v>
      </c>
      <c r="F137" s="43">
        <v>1</v>
      </c>
      <c r="G137" s="498">
        <v>1245</v>
      </c>
      <c r="H137" s="45">
        <f t="shared" ref="H137" si="363">+N137</f>
        <v>0.16999999999999993</v>
      </c>
      <c r="I137" s="46">
        <v>0.88</v>
      </c>
      <c r="J137" s="83">
        <f t="shared" ref="J137" si="364">E137*G137*(1-H137)*1440/1000000*2.74</f>
        <v>55.042007760000004</v>
      </c>
      <c r="K137" s="83">
        <f>(IF(G137&lt;L137,L137,G137)*(1-IF(H137&lt;N137,H137,N137))*E137*O137*Q137)/100000000</f>
        <v>51.52655106000001</v>
      </c>
      <c r="L137" s="36">
        <v>1183.3333333333333</v>
      </c>
      <c r="M137" s="36">
        <v>982.16666666666663</v>
      </c>
      <c r="N137" s="47">
        <f t="shared" ref="N137" si="365">1-(M137/L137)</f>
        <v>0.16999999999999993</v>
      </c>
      <c r="O137" s="48">
        <f>+'Trim Rwd'!H83</f>
        <v>256.5</v>
      </c>
      <c r="P137" s="49">
        <f t="shared" ref="P137" si="366">O137*(Q137-R137-S137)</f>
        <v>361152</v>
      </c>
      <c r="Q137" s="48">
        <v>1440</v>
      </c>
      <c r="R137" s="499">
        <v>0</v>
      </c>
      <c r="S137" s="499">
        <v>32</v>
      </c>
      <c r="T137" s="38">
        <f t="shared" ref="T137" si="367">E137*M137*O137*Q137/100000000</f>
        <v>48.974365800000001</v>
      </c>
      <c r="U137" s="38">
        <f t="shared" ref="U137" si="368">E137*M137*O137*(Q137-R137-S137)/100000000</f>
        <v>47.886046559999997</v>
      </c>
      <c r="V137" s="38">
        <f t="shared" ref="V137" si="369">E137*G137*(1-N137)*O137/100*(R137+S137)/1000000</f>
        <v>1.145034468</v>
      </c>
      <c r="W137" s="38">
        <f>+'26'!K7/1000</f>
        <v>48.337000000000003</v>
      </c>
      <c r="X137" s="500">
        <f>SUM(W137:W140)/SUM(K137:K140)</f>
        <v>0.93809888311201073</v>
      </c>
      <c r="Y137" s="212">
        <v>0</v>
      </c>
      <c r="Z137" s="38">
        <v>0</v>
      </c>
      <c r="AA137" s="50">
        <f>SUM(U137:U140)-SUM(W137:W140)-SUM(Z137:Z140)-SUM(Y137:Y140)</f>
        <v>-0.45095344000000637</v>
      </c>
      <c r="AB137" s="50">
        <f>(SUM(K137:K140)-SUM(W137:W140)-SUM(Y137:Y140)-SUM(Z137:Z140)-SUM(AC137:AC140)-SUM(V137:V140))-AA137</f>
        <v>-5.6715227999995843E-2</v>
      </c>
      <c r="AC137" s="38">
        <f>K137-T137</f>
        <v>2.5521852600000088</v>
      </c>
      <c r="AD137" s="38">
        <f>+AM137+BA137</f>
        <v>0</v>
      </c>
      <c r="AE137" s="231" t="s">
        <v>390</v>
      </c>
      <c r="AF137" s="38">
        <v>0</v>
      </c>
      <c r="AG137" s="38"/>
      <c r="AH137" s="38"/>
      <c r="AI137" s="501"/>
      <c r="AJ137" s="38"/>
      <c r="AK137" s="38"/>
      <c r="AL137" s="38"/>
      <c r="AM137" s="38">
        <f>SUM(AF137:AL137)+AT137</f>
        <v>0</v>
      </c>
      <c r="AN137" s="38"/>
      <c r="AO137" s="38"/>
      <c r="AP137" s="38"/>
      <c r="AQ137" s="38"/>
      <c r="AR137" s="38">
        <f>SUM(AN137:AQ137)</f>
        <v>0</v>
      </c>
      <c r="AS137" s="38"/>
      <c r="AT137" s="38"/>
      <c r="AU137" s="38"/>
      <c r="AV137" s="38"/>
      <c r="AW137" s="38"/>
      <c r="AX137" s="38"/>
      <c r="AY137" s="38"/>
      <c r="AZ137" s="38"/>
      <c r="BA137" s="38">
        <f>+AR137+AS137+AU137+AV137+AX137</f>
        <v>0</v>
      </c>
      <c r="BB137" s="34">
        <v>0</v>
      </c>
      <c r="BC137" s="52"/>
      <c r="BD137" s="52"/>
      <c r="BE137" s="34"/>
      <c r="BF137" s="52"/>
    </row>
    <row r="138" spans="1:58" ht="12.95" customHeight="1">
      <c r="A138" s="41"/>
      <c r="B138" s="42"/>
      <c r="C138" s="443"/>
      <c r="D138" s="42"/>
      <c r="E138" s="43"/>
      <c r="F138" s="43"/>
      <c r="G138" s="44"/>
      <c r="H138" s="45"/>
      <c r="I138" s="46"/>
      <c r="J138" s="83"/>
      <c r="K138" s="83"/>
      <c r="L138" s="36"/>
      <c r="M138" s="36"/>
      <c r="N138" s="47"/>
      <c r="O138" s="48"/>
      <c r="P138" s="49"/>
      <c r="Q138" s="48"/>
      <c r="R138" s="499"/>
      <c r="S138" s="499"/>
      <c r="T138" s="38"/>
      <c r="U138" s="38"/>
      <c r="V138" s="38"/>
      <c r="W138" s="38"/>
      <c r="X138" s="39"/>
      <c r="Y138" s="212"/>
      <c r="Z138" s="38">
        <f>+'21'!D43/1000</f>
        <v>0</v>
      </c>
      <c r="AA138" s="38"/>
      <c r="AB138" s="38"/>
      <c r="AC138" s="38">
        <f>K138-T138</f>
        <v>0</v>
      </c>
      <c r="AD138" s="38">
        <f t="shared" ref="AD138:AD140" si="370">+AM138+BA138</f>
        <v>8</v>
      </c>
      <c r="AE138" s="231" t="s">
        <v>617</v>
      </c>
      <c r="AF138" s="38"/>
      <c r="AG138" s="38">
        <v>8</v>
      </c>
      <c r="AH138" s="38"/>
      <c r="AI138" s="501"/>
      <c r="AJ138" s="38"/>
      <c r="AK138" s="38"/>
      <c r="AL138" s="38"/>
      <c r="AM138" s="38">
        <f t="shared" ref="AM138:AM140" si="371">SUM(AF138:AL138)+AT138</f>
        <v>8</v>
      </c>
      <c r="AN138" s="84"/>
      <c r="AO138" s="38"/>
      <c r="AP138" s="38"/>
      <c r="AQ138" s="38"/>
      <c r="AR138" s="38">
        <f t="shared" ref="AR138:AR140" si="372">SUM(AN138:AQ138)</f>
        <v>0</v>
      </c>
      <c r="AS138" s="38"/>
      <c r="AT138" s="38"/>
      <c r="AU138" s="38"/>
      <c r="AV138" s="38"/>
      <c r="AW138" s="38"/>
      <c r="AX138" s="38"/>
      <c r="AY138" s="38"/>
      <c r="AZ138" s="38"/>
      <c r="BA138" s="38">
        <f t="shared" ref="BA138:BA140" si="373">+AR138+AS138+AU138+AV138+AX138</f>
        <v>0</v>
      </c>
      <c r="BB138" s="51"/>
      <c r="BC138" s="52">
        <v>8</v>
      </c>
      <c r="BD138" s="52"/>
      <c r="BE138" s="51"/>
      <c r="BF138" s="52"/>
    </row>
    <row r="139" spans="1:58" ht="12.95" customHeight="1">
      <c r="A139" s="41"/>
      <c r="B139" s="42"/>
      <c r="C139" s="443"/>
      <c r="D139" s="42"/>
      <c r="E139" s="43"/>
      <c r="F139" s="43"/>
      <c r="G139" s="44"/>
      <c r="H139" s="45"/>
      <c r="I139" s="46"/>
      <c r="J139" s="83"/>
      <c r="K139" s="83"/>
      <c r="L139" s="36"/>
      <c r="M139" s="36"/>
      <c r="N139" s="47"/>
      <c r="O139" s="48"/>
      <c r="P139" s="49"/>
      <c r="Q139" s="48"/>
      <c r="R139" s="499"/>
      <c r="S139" s="499"/>
      <c r="T139" s="38"/>
      <c r="U139" s="38"/>
      <c r="V139" s="38"/>
      <c r="W139" s="38"/>
      <c r="X139" s="39"/>
      <c r="Y139" s="212"/>
      <c r="Z139" s="38"/>
      <c r="AA139" s="38"/>
      <c r="AB139" s="38"/>
      <c r="AC139" s="38"/>
      <c r="AD139" s="38">
        <f t="shared" si="370"/>
        <v>14</v>
      </c>
      <c r="AE139" s="231" t="s">
        <v>513</v>
      </c>
      <c r="AF139" s="34"/>
      <c r="AG139" s="34"/>
      <c r="AH139" s="34">
        <v>14</v>
      </c>
      <c r="AJ139" s="38"/>
      <c r="AK139" s="38"/>
      <c r="AL139" s="38"/>
      <c r="AM139" s="38">
        <f t="shared" si="371"/>
        <v>14</v>
      </c>
      <c r="AN139" s="38"/>
      <c r="AO139" s="38"/>
      <c r="AP139" s="38"/>
      <c r="AQ139" s="38"/>
      <c r="AR139" s="38">
        <f t="shared" si="372"/>
        <v>0</v>
      </c>
      <c r="AS139" s="38"/>
      <c r="AT139" s="38"/>
      <c r="AU139" s="38"/>
      <c r="AV139" s="38"/>
      <c r="AW139" s="38"/>
      <c r="AX139" s="38"/>
      <c r="AY139" s="38"/>
      <c r="AZ139" s="38"/>
      <c r="BA139" s="38">
        <f t="shared" si="373"/>
        <v>0</v>
      </c>
      <c r="BB139" s="34"/>
      <c r="BC139" s="502"/>
      <c r="BD139" s="502"/>
      <c r="BE139" s="34"/>
      <c r="BF139" s="502"/>
    </row>
    <row r="140" spans="1:58" ht="12.95" customHeight="1">
      <c r="A140" s="41"/>
      <c r="B140" s="42"/>
      <c r="C140" s="443"/>
      <c r="D140" s="42"/>
      <c r="E140" s="43"/>
      <c r="F140" s="43"/>
      <c r="G140" s="44"/>
      <c r="H140" s="45"/>
      <c r="I140" s="46"/>
      <c r="J140" s="83"/>
      <c r="K140" s="83"/>
      <c r="L140" s="36"/>
      <c r="M140" s="36"/>
      <c r="N140" s="47"/>
      <c r="O140" s="48"/>
      <c r="P140" s="49"/>
      <c r="Q140" s="35"/>
      <c r="R140" s="499"/>
      <c r="S140" s="499"/>
      <c r="T140" s="38"/>
      <c r="U140" s="38"/>
      <c r="V140" s="38"/>
      <c r="W140" s="38"/>
      <c r="X140" s="39"/>
      <c r="Y140" s="212"/>
      <c r="Z140" s="38"/>
      <c r="AA140" s="38"/>
      <c r="AB140" s="38"/>
      <c r="AC140" s="38"/>
      <c r="AD140" s="38">
        <f t="shared" si="370"/>
        <v>10</v>
      </c>
      <c r="AE140" s="234" t="s">
        <v>228</v>
      </c>
      <c r="AF140" s="38"/>
      <c r="AG140" s="38"/>
      <c r="AH140" s="38"/>
      <c r="AI140" s="501">
        <v>10</v>
      </c>
      <c r="AJ140" s="38"/>
      <c r="AK140" s="38"/>
      <c r="AL140" s="38"/>
      <c r="AM140" s="38">
        <f t="shared" si="371"/>
        <v>10</v>
      </c>
      <c r="AN140" s="38"/>
      <c r="AO140" s="38"/>
      <c r="AP140" s="38"/>
      <c r="AQ140" s="38"/>
      <c r="AR140" s="38">
        <f t="shared" si="372"/>
        <v>0</v>
      </c>
      <c r="AS140" s="38"/>
      <c r="AT140" s="38"/>
      <c r="AU140" s="38"/>
      <c r="AV140" s="38"/>
      <c r="AW140" s="38"/>
      <c r="AX140" s="38"/>
      <c r="AY140" s="38"/>
      <c r="AZ140" s="38"/>
      <c r="BA140" s="38">
        <f t="shared" si="373"/>
        <v>0</v>
      </c>
      <c r="BB140" s="51"/>
      <c r="BC140" s="52"/>
      <c r="BD140" s="52"/>
      <c r="BE140" s="51"/>
      <c r="BF140" s="52"/>
    </row>
    <row r="141" spans="1:58" ht="12.95" customHeight="1">
      <c r="A141" s="41"/>
      <c r="B141" s="42"/>
      <c r="C141" s="443"/>
      <c r="D141" s="42"/>
      <c r="E141" s="43"/>
      <c r="F141" s="43"/>
      <c r="G141" s="498"/>
      <c r="H141" s="45"/>
      <c r="I141" s="46"/>
      <c r="J141" s="83"/>
      <c r="K141" s="83"/>
      <c r="L141" s="36"/>
      <c r="M141" s="36"/>
      <c r="N141" s="47"/>
      <c r="O141" s="48"/>
      <c r="P141" s="49"/>
      <c r="Q141" s="48"/>
      <c r="R141" s="499"/>
      <c r="S141" s="499"/>
      <c r="T141" s="38"/>
      <c r="U141" s="38"/>
      <c r="V141" s="38"/>
      <c r="W141" s="38"/>
      <c r="X141" s="500"/>
      <c r="Y141" s="212"/>
      <c r="Z141" s="38"/>
      <c r="AA141" s="50"/>
      <c r="AB141" s="50"/>
      <c r="AC141" s="38"/>
      <c r="AD141" s="38"/>
      <c r="AE141" s="231"/>
      <c r="AF141" s="38"/>
      <c r="AG141" s="38"/>
      <c r="AH141" s="38"/>
      <c r="AI141" s="501"/>
      <c r="AJ141" s="38"/>
      <c r="AK141" s="38"/>
      <c r="AL141" s="38"/>
      <c r="AM141" s="38"/>
      <c r="AN141" s="38"/>
      <c r="AO141" s="38"/>
      <c r="AP141" s="38"/>
      <c r="AQ141" s="38"/>
      <c r="AR141" s="38"/>
      <c r="AS141" s="38"/>
      <c r="AT141" s="38"/>
      <c r="AU141" s="38"/>
      <c r="AV141" s="38"/>
      <c r="AW141" s="38"/>
      <c r="AX141" s="38"/>
      <c r="AY141" s="38"/>
      <c r="AZ141" s="38"/>
      <c r="BA141" s="38"/>
      <c r="BB141" s="34"/>
      <c r="BC141" s="52"/>
      <c r="BD141" s="52"/>
      <c r="BE141" s="52"/>
      <c r="BF141" s="52"/>
    </row>
    <row r="142" spans="1:58" ht="12" customHeight="1">
      <c r="A142" s="41">
        <v>45988</v>
      </c>
      <c r="B142" s="42" t="s">
        <v>431</v>
      </c>
      <c r="C142" s="443">
        <f t="shared" ref="C142" si="374">(M142*E142*O142*Q142)/100000000</f>
        <v>50.878602849767447</v>
      </c>
      <c r="D142" s="42" t="s">
        <v>434</v>
      </c>
      <c r="E142" s="43">
        <v>13.5</v>
      </c>
      <c r="F142" s="43">
        <v>1</v>
      </c>
      <c r="G142" s="498">
        <v>1305</v>
      </c>
      <c r="H142" s="45">
        <f t="shared" ref="H142" si="375">+N142</f>
        <v>0.20775603309945567</v>
      </c>
      <c r="I142" s="46">
        <v>0.88</v>
      </c>
      <c r="J142" s="83">
        <f t="shared" ref="J142" si="376">E142*G142*(1-H142)*1440/1000000*2.74</f>
        <v>55.070152067555611</v>
      </c>
      <c r="K142" s="83">
        <f>(IF(G142&lt;L142,L142,G142)*(1-IF(H142&lt;N142,H142,N142))*E142*O142*Q142)/100000000</f>
        <v>53.897733988258501</v>
      </c>
      <c r="L142" s="36">
        <v>1231.8992248062016</v>
      </c>
      <c r="M142" s="36">
        <v>975.96472868217052</v>
      </c>
      <c r="N142" s="47">
        <f t="shared" ref="N142" si="377">1-(M142/L142)</f>
        <v>0.20775603309945567</v>
      </c>
      <c r="O142" s="48">
        <f>+'Trim Rwd'!H85</f>
        <v>268.16666666666669</v>
      </c>
      <c r="P142" s="49">
        <f t="shared" ref="P142" si="378">O142*(Q142-R142-S142)</f>
        <v>335744.66666666669</v>
      </c>
      <c r="Q142" s="48">
        <v>1440</v>
      </c>
      <c r="R142" s="499">
        <v>150</v>
      </c>
      <c r="S142" s="499">
        <v>38</v>
      </c>
      <c r="T142" s="38">
        <f t="shared" ref="T142" si="379">E142*M142*O142*Q142/100000000</f>
        <v>50.878602849767447</v>
      </c>
      <c r="U142" s="38">
        <f t="shared" ref="U142" si="380">E142*M142*O142*(Q142-R142-S142)/100000000</f>
        <v>44.23611858882559</v>
      </c>
      <c r="V142" s="38">
        <f t="shared" ref="V142" si="381">E142*G142*(1-N142)*O142/100*(R142+S142)/1000000</f>
        <v>7.0366486040226377</v>
      </c>
      <c r="W142" s="38">
        <f>+'27'!K7/1000</f>
        <v>40.588000000000001</v>
      </c>
      <c r="X142" s="500">
        <f>SUM(W142:W145)/SUM(K142:K145)</f>
        <v>0.75305577798209489</v>
      </c>
      <c r="Y142" s="212">
        <f>+SUM(RBP!AG8:AG9)</f>
        <v>0</v>
      </c>
      <c r="Z142" s="38">
        <v>0</v>
      </c>
      <c r="AA142" s="50">
        <f>SUM(U142:U145)-SUM(W142:W145)-SUM(Z142:Z145)-SUM(Y142:Y145)</f>
        <v>3.6481185888255894</v>
      </c>
      <c r="AB142" s="50">
        <f>(SUM(K142:K145)-SUM(W142:W145)-SUM(Y142:Y145)-SUM(Z142:Z145)-SUM(AC142:AC145)-SUM(V142:V145))-AA142</f>
        <v>-0.39416434308078152</v>
      </c>
      <c r="AC142" s="38">
        <f>K142-T142</f>
        <v>3.0191311384910549</v>
      </c>
      <c r="AD142" s="38">
        <f>+AM142+BA142</f>
        <v>0</v>
      </c>
      <c r="AE142" s="231" t="s">
        <v>390</v>
      </c>
      <c r="AF142" s="38">
        <v>0</v>
      </c>
      <c r="AG142" s="38"/>
      <c r="AH142" s="38"/>
      <c r="AI142" s="501"/>
      <c r="AJ142" s="38"/>
      <c r="AK142" s="38"/>
      <c r="AL142" s="38"/>
      <c r="AM142" s="38">
        <f>SUM(AF142:AL142)+AT142</f>
        <v>0</v>
      </c>
      <c r="AN142" s="38"/>
      <c r="AO142" s="38"/>
      <c r="AP142" s="38"/>
      <c r="AQ142" s="38"/>
      <c r="AR142" s="38">
        <f>SUM(AN142:AQ142)</f>
        <v>0</v>
      </c>
      <c r="AS142" s="38"/>
      <c r="AT142" s="38"/>
      <c r="AU142" s="38"/>
      <c r="AV142" s="38"/>
      <c r="AW142" s="38"/>
      <c r="AX142" s="38"/>
      <c r="AY142" s="38"/>
      <c r="AZ142" s="38"/>
      <c r="BA142" s="38">
        <f>+AR142+AS142+AU142+AV142+AX142</f>
        <v>0</v>
      </c>
      <c r="BB142" s="34">
        <v>0</v>
      </c>
      <c r="BC142" s="52"/>
      <c r="BD142" s="52"/>
      <c r="BE142" s="34"/>
      <c r="BF142" s="52">
        <v>1</v>
      </c>
    </row>
    <row r="143" spans="1:58" ht="12.95" customHeight="1">
      <c r="A143" s="41"/>
      <c r="B143" s="42"/>
      <c r="C143" s="443"/>
      <c r="D143" s="42"/>
      <c r="E143" s="43"/>
      <c r="F143" s="43"/>
      <c r="G143" s="44"/>
      <c r="H143" s="45"/>
      <c r="I143" s="46"/>
      <c r="J143" s="83"/>
      <c r="K143" s="83"/>
      <c r="L143" s="36"/>
      <c r="M143" s="36"/>
      <c r="N143" s="47"/>
      <c r="O143" s="48"/>
      <c r="P143" s="49"/>
      <c r="Q143" s="48"/>
      <c r="R143" s="499"/>
      <c r="S143" s="499"/>
      <c r="T143" s="38"/>
      <c r="U143" s="38"/>
      <c r="V143" s="38"/>
      <c r="W143" s="38"/>
      <c r="X143" s="39"/>
      <c r="Y143" s="212"/>
      <c r="Z143" s="38">
        <f>+'21'!D48/1000</f>
        <v>0</v>
      </c>
      <c r="AA143" s="38"/>
      <c r="AB143" s="38"/>
      <c r="AC143" s="38">
        <f>K143-T143</f>
        <v>0</v>
      </c>
      <c r="AD143" s="38">
        <f t="shared" ref="AD143:AD146" si="382">+AM143+BA143</f>
        <v>10</v>
      </c>
      <c r="AE143" s="231" t="s">
        <v>617</v>
      </c>
      <c r="AF143" s="38"/>
      <c r="AG143" s="38">
        <v>10</v>
      </c>
      <c r="AH143" s="38"/>
      <c r="AI143" s="501"/>
      <c r="AJ143" s="38"/>
      <c r="AK143" s="38"/>
      <c r="AL143" s="38"/>
      <c r="AM143" s="38">
        <f t="shared" ref="AM143:AM145" si="383">SUM(AF143:AL143)+AT143</f>
        <v>10</v>
      </c>
      <c r="AN143" s="84"/>
      <c r="AO143" s="38"/>
      <c r="AP143" s="38"/>
      <c r="AQ143" s="38"/>
      <c r="AR143" s="38">
        <f t="shared" ref="AR143:AR145" si="384">SUM(AN143:AQ143)</f>
        <v>0</v>
      </c>
      <c r="AS143" s="38"/>
      <c r="AT143" s="38"/>
      <c r="AU143" s="38"/>
      <c r="AV143" s="38"/>
      <c r="AW143" s="38"/>
      <c r="AX143" s="38"/>
      <c r="AY143" s="38"/>
      <c r="AZ143" s="38"/>
      <c r="BA143" s="38">
        <f t="shared" ref="BA143:BA146" si="385">+AR143+AS143+AU143+AV143+AX143</f>
        <v>0</v>
      </c>
      <c r="BB143" s="51"/>
      <c r="BC143" s="52">
        <v>8</v>
      </c>
      <c r="BD143" s="52"/>
      <c r="BE143" s="51"/>
      <c r="BF143" s="52"/>
    </row>
    <row r="144" spans="1:58" ht="12.95" customHeight="1">
      <c r="A144" s="41"/>
      <c r="B144" s="42"/>
      <c r="C144" s="443"/>
      <c r="D144" s="42"/>
      <c r="E144" s="43"/>
      <c r="F144" s="43"/>
      <c r="G144" s="44"/>
      <c r="H144" s="45"/>
      <c r="I144" s="46"/>
      <c r="J144" s="83"/>
      <c r="K144" s="83"/>
      <c r="L144" s="36"/>
      <c r="M144" s="36"/>
      <c r="N144" s="47"/>
      <c r="O144" s="48"/>
      <c r="P144" s="49"/>
      <c r="Q144" s="48"/>
      <c r="R144" s="499"/>
      <c r="S144" s="499"/>
      <c r="T144" s="38"/>
      <c r="U144" s="38"/>
      <c r="V144" s="38"/>
      <c r="W144" s="38"/>
      <c r="X144" s="39"/>
      <c r="Y144" s="212"/>
      <c r="Z144" s="38"/>
      <c r="AA144" s="38"/>
      <c r="AB144" s="38"/>
      <c r="AC144" s="38"/>
      <c r="AD144" s="38">
        <f t="shared" si="382"/>
        <v>20</v>
      </c>
      <c r="AE144" s="231" t="s">
        <v>715</v>
      </c>
      <c r="AF144" s="34"/>
      <c r="AG144" s="34"/>
      <c r="AH144" s="34">
        <v>20</v>
      </c>
      <c r="AJ144" s="38"/>
      <c r="AK144" s="38"/>
      <c r="AL144" s="38"/>
      <c r="AM144" s="38">
        <f t="shared" si="383"/>
        <v>20</v>
      </c>
      <c r="AN144" s="38"/>
      <c r="AO144" s="38"/>
      <c r="AP144" s="38"/>
      <c r="AQ144" s="38"/>
      <c r="AR144" s="38">
        <f t="shared" si="384"/>
        <v>0</v>
      </c>
      <c r="AS144" s="38"/>
      <c r="AT144" s="38"/>
      <c r="AU144" s="38"/>
      <c r="AV144" s="38"/>
      <c r="AW144" s="38"/>
      <c r="AX144" s="38"/>
      <c r="AY144" s="38"/>
      <c r="AZ144" s="38"/>
      <c r="BA144" s="38">
        <f t="shared" si="385"/>
        <v>0</v>
      </c>
      <c r="BB144" s="34"/>
      <c r="BC144" s="502"/>
      <c r="BD144" s="502"/>
      <c r="BE144" s="34"/>
      <c r="BF144" s="502"/>
    </row>
    <row r="145" spans="1:58" ht="12.95" customHeight="1">
      <c r="A145" s="41"/>
      <c r="B145" s="42"/>
      <c r="C145" s="443"/>
      <c r="D145" s="42"/>
      <c r="E145" s="43"/>
      <c r="F145" s="43"/>
      <c r="G145" s="44"/>
      <c r="H145" s="45"/>
      <c r="I145" s="46"/>
      <c r="J145" s="83"/>
      <c r="K145" s="83"/>
      <c r="L145" s="36"/>
      <c r="M145" s="36"/>
      <c r="N145" s="47"/>
      <c r="O145" s="48"/>
      <c r="P145" s="49"/>
      <c r="Q145" s="35"/>
      <c r="R145" s="499"/>
      <c r="S145" s="499"/>
      <c r="T145" s="38"/>
      <c r="U145" s="38"/>
      <c r="V145" s="38"/>
      <c r="W145" s="38"/>
      <c r="X145" s="39"/>
      <c r="Y145" s="212"/>
      <c r="Z145" s="38"/>
      <c r="AA145" s="38"/>
      <c r="AB145" s="38"/>
      <c r="AC145" s="38"/>
      <c r="AD145" s="38">
        <f t="shared" si="382"/>
        <v>8</v>
      </c>
      <c r="AE145" s="234" t="s">
        <v>228</v>
      </c>
      <c r="AF145" s="38"/>
      <c r="AG145" s="38"/>
      <c r="AH145" s="38"/>
      <c r="AI145" s="501">
        <v>8</v>
      </c>
      <c r="AJ145" s="38"/>
      <c r="AK145" s="38"/>
      <c r="AL145" s="38"/>
      <c r="AM145" s="38">
        <f t="shared" si="383"/>
        <v>8</v>
      </c>
      <c r="AN145" s="38"/>
      <c r="AO145" s="38"/>
      <c r="AP145" s="38"/>
      <c r="AQ145" s="38"/>
      <c r="AR145" s="38">
        <f t="shared" si="384"/>
        <v>0</v>
      </c>
      <c r="AS145" s="38"/>
      <c r="AT145" s="38"/>
      <c r="AU145" s="38"/>
      <c r="AV145" s="38"/>
      <c r="AW145" s="38"/>
      <c r="AX145" s="38"/>
      <c r="AY145" s="38"/>
      <c r="AZ145" s="38"/>
      <c r="BA145" s="38">
        <f t="shared" si="385"/>
        <v>0</v>
      </c>
      <c r="BB145" s="51"/>
      <c r="BC145" s="52"/>
      <c r="BD145" s="52"/>
      <c r="BE145" s="51"/>
      <c r="BF145" s="52"/>
    </row>
    <row r="146" spans="1:58" ht="12.95" customHeight="1">
      <c r="A146" s="41"/>
      <c r="B146" s="42"/>
      <c r="C146" s="443"/>
      <c r="D146" s="42"/>
      <c r="E146" s="43"/>
      <c r="F146" s="43"/>
      <c r="G146" s="44"/>
      <c r="H146" s="45"/>
      <c r="I146" s="46"/>
      <c r="J146" s="83"/>
      <c r="K146" s="83"/>
      <c r="L146" s="36"/>
      <c r="M146" s="36"/>
      <c r="N146" s="47"/>
      <c r="O146" s="48"/>
      <c r="P146" s="49"/>
      <c r="Q146" s="35"/>
      <c r="R146" s="499"/>
      <c r="S146" s="499"/>
      <c r="T146" s="38"/>
      <c r="U146" s="38"/>
      <c r="V146" s="38"/>
      <c r="W146" s="38"/>
      <c r="X146" s="39"/>
      <c r="Y146" s="212"/>
      <c r="Z146" s="38"/>
      <c r="AA146" s="38"/>
      <c r="AB146" s="38"/>
      <c r="AC146" s="38"/>
      <c r="AD146" s="38">
        <f t="shared" si="382"/>
        <v>150</v>
      </c>
      <c r="AE146" s="234" t="s">
        <v>716</v>
      </c>
      <c r="AF146" s="38"/>
      <c r="AG146" s="38"/>
      <c r="AH146" s="38"/>
      <c r="AI146" s="501"/>
      <c r="AJ146" s="38"/>
      <c r="AK146" s="38"/>
      <c r="AL146" s="38"/>
      <c r="AM146" s="38">
        <f t="shared" ref="AM146" si="386">SUM(AF146:AL146)+AT146</f>
        <v>0</v>
      </c>
      <c r="AN146" s="38">
        <v>150</v>
      </c>
      <c r="AO146" s="38"/>
      <c r="AP146" s="38"/>
      <c r="AQ146" s="38"/>
      <c r="AR146" s="38">
        <f t="shared" ref="AR146" si="387">SUM(AN146:AQ146)</f>
        <v>150</v>
      </c>
      <c r="AS146" s="38"/>
      <c r="AT146" s="38"/>
      <c r="AU146" s="38"/>
      <c r="AV146" s="38"/>
      <c r="AW146" s="38"/>
      <c r="AX146" s="38"/>
      <c r="AY146" s="38"/>
      <c r="AZ146" s="38"/>
      <c r="BA146" s="38">
        <f t="shared" si="385"/>
        <v>150</v>
      </c>
      <c r="BB146" s="51"/>
      <c r="BC146" s="52"/>
      <c r="BD146" s="52"/>
      <c r="BE146" s="51"/>
      <c r="BF146" s="52"/>
    </row>
    <row r="147" spans="1:58" ht="12.95" customHeight="1">
      <c r="A147" s="41"/>
      <c r="B147" s="42"/>
      <c r="C147" s="443"/>
      <c r="D147" s="42"/>
      <c r="E147" s="43"/>
      <c r="F147" s="43"/>
      <c r="G147" s="498"/>
      <c r="H147" s="45"/>
      <c r="I147" s="46"/>
      <c r="J147" s="83"/>
      <c r="K147" s="83"/>
      <c r="L147" s="36"/>
      <c r="M147" s="36"/>
      <c r="N147" s="47"/>
      <c r="O147" s="48"/>
      <c r="P147" s="49"/>
      <c r="Q147" s="48"/>
      <c r="R147" s="499"/>
      <c r="S147" s="499"/>
      <c r="T147" s="38"/>
      <c r="U147" s="38"/>
      <c r="V147" s="38"/>
      <c r="W147" s="38"/>
      <c r="X147" s="39"/>
      <c r="Y147" s="212"/>
      <c r="Z147" s="38"/>
      <c r="AA147" s="38"/>
      <c r="AB147" s="38"/>
      <c r="AC147" s="38"/>
      <c r="AD147" s="38"/>
      <c r="AE147" s="231"/>
      <c r="AF147" s="38"/>
      <c r="AG147" s="38"/>
      <c r="AH147" s="38"/>
      <c r="AI147" s="501"/>
      <c r="AJ147" s="38"/>
      <c r="AK147" s="38"/>
      <c r="AL147" s="38"/>
      <c r="AM147" s="38"/>
      <c r="AN147" s="84"/>
      <c r="AO147" s="38"/>
      <c r="AP147" s="38"/>
      <c r="AQ147" s="38"/>
      <c r="AR147" s="38"/>
      <c r="AS147" s="38"/>
      <c r="AT147" s="38"/>
      <c r="AU147" s="38"/>
      <c r="AV147" s="38"/>
      <c r="AW147" s="38"/>
      <c r="AX147" s="38"/>
      <c r="AY147" s="38"/>
      <c r="AZ147" s="38"/>
      <c r="BA147" s="38"/>
      <c r="BB147" s="51"/>
      <c r="BC147" s="52"/>
      <c r="BD147" s="52"/>
      <c r="BE147" s="52"/>
      <c r="BF147" s="52"/>
    </row>
    <row r="148" spans="1:58" ht="12" customHeight="1">
      <c r="A148" s="41">
        <v>45989</v>
      </c>
      <c r="B148" s="42" t="s">
        <v>431</v>
      </c>
      <c r="C148" s="443">
        <f t="shared" ref="C148" si="388">(M148*E148*O148*Q148)/100000000</f>
        <v>52.764903359999998</v>
      </c>
      <c r="D148" s="42" t="s">
        <v>434</v>
      </c>
      <c r="E148" s="43">
        <v>13.5</v>
      </c>
      <c r="F148" s="43">
        <v>1</v>
      </c>
      <c r="G148" s="498">
        <v>1325</v>
      </c>
      <c r="H148" s="45">
        <f t="shared" ref="H148" si="389">+N148</f>
        <v>0.21999999999999997</v>
      </c>
      <c r="I148" s="46">
        <v>0.88</v>
      </c>
      <c r="J148" s="83">
        <f t="shared" ref="J148" si="390">E148*G148*(1-H148)*1440/1000000*2.74</f>
        <v>55.049997600000005</v>
      </c>
      <c r="K148" s="83">
        <f>(IF(G148&lt;L148,L148,G148)*(1-IF(H148&lt;N148,H148,N148))*E148*O148*Q148)/100000000</f>
        <v>55.049997599999998</v>
      </c>
      <c r="L148" s="36">
        <v>1270</v>
      </c>
      <c r="M148" s="36">
        <v>990.6</v>
      </c>
      <c r="N148" s="47">
        <f t="shared" ref="N148" si="391">1-(M148/L148)</f>
        <v>0.21999999999999997</v>
      </c>
      <c r="O148" s="48">
        <f>+'Trim Rwd'!H88</f>
        <v>274</v>
      </c>
      <c r="P148" s="49">
        <f t="shared" ref="P148" si="392">O148*(Q148-R148-S148)</f>
        <v>383052</v>
      </c>
      <c r="Q148" s="48">
        <v>1440</v>
      </c>
      <c r="R148" s="499">
        <v>0</v>
      </c>
      <c r="S148" s="499">
        <v>42</v>
      </c>
      <c r="T148" s="38">
        <f t="shared" ref="T148" si="393">E148*M148*O148*Q148/100000000</f>
        <v>52.764903359999998</v>
      </c>
      <c r="U148" s="38">
        <f t="shared" ref="U148" si="394">E148*M148*O148*(Q148-R148-S148)/100000000</f>
        <v>51.225927012</v>
      </c>
      <c r="V148" s="38">
        <f t="shared" ref="V148" si="395">E148*G148*(1-N148)*O148/100*(R148+S148)/1000000</f>
        <v>1.6056249299999998</v>
      </c>
      <c r="W148" s="38">
        <f>+'28'!K7/1000</f>
        <v>55.177</v>
      </c>
      <c r="X148" s="500">
        <f>SUM(W148:W151)/SUM(K148:K151)</f>
        <v>1.0023070373394531</v>
      </c>
      <c r="Y148" s="212">
        <v>0</v>
      </c>
      <c r="Z148" s="38">
        <v>0</v>
      </c>
      <c r="AA148" s="50">
        <f>SUM(U148:U151)-SUM(W148:W151)-SUM(Z148:Z151)-SUM(Y148:Y151)</f>
        <v>-3.951072988</v>
      </c>
      <c r="AB148" s="50">
        <f>(SUM(K148:K151)-SUM(W148:W151)-SUM(Y148:Y151)-SUM(Z148:Z151)-SUM(AC148:AC151)-SUM(V148:V151))-AA148</f>
        <v>-6.66485820000009E-2</v>
      </c>
      <c r="AC148" s="38">
        <f>K148-T148</f>
        <v>2.2850942399999994</v>
      </c>
      <c r="AD148" s="38">
        <f>+AM148+BA148</f>
        <v>0</v>
      </c>
      <c r="AE148" s="231" t="s">
        <v>390</v>
      </c>
      <c r="AF148" s="38">
        <v>0</v>
      </c>
      <c r="AG148" s="38"/>
      <c r="AH148" s="38"/>
      <c r="AI148" s="501"/>
      <c r="AJ148" s="38"/>
      <c r="AK148" s="38"/>
      <c r="AL148" s="38"/>
      <c r="AM148" s="38">
        <f>SUM(AF148:AL148)+AT148</f>
        <v>0</v>
      </c>
      <c r="AN148" s="38"/>
      <c r="AO148" s="38"/>
      <c r="AP148" s="38"/>
      <c r="AQ148" s="38"/>
      <c r="AR148" s="38">
        <f>SUM(AN148:AQ148)</f>
        <v>0</v>
      </c>
      <c r="AS148" s="38"/>
      <c r="AT148" s="38"/>
      <c r="AU148" s="38"/>
      <c r="AV148" s="38"/>
      <c r="AW148" s="38"/>
      <c r="AX148" s="38"/>
      <c r="AY148" s="38"/>
      <c r="AZ148" s="38"/>
      <c r="BA148" s="38">
        <f>+AR148+AS148+AU148+AV148+AX148</f>
        <v>0</v>
      </c>
      <c r="BB148" s="34">
        <v>0</v>
      </c>
      <c r="BC148" s="52"/>
      <c r="BD148" s="52"/>
      <c r="BE148" s="34"/>
      <c r="BF148" s="52"/>
    </row>
    <row r="149" spans="1:58" ht="12.95" customHeight="1">
      <c r="A149" s="41"/>
      <c r="B149" s="42"/>
      <c r="C149" s="443"/>
      <c r="D149" s="42"/>
      <c r="E149" s="43"/>
      <c r="F149" s="43"/>
      <c r="G149" s="44"/>
      <c r="H149" s="45"/>
      <c r="I149" s="46"/>
      <c r="J149" s="83"/>
      <c r="K149" s="83"/>
      <c r="L149" s="36"/>
      <c r="M149" s="36"/>
      <c r="N149" s="47"/>
      <c r="O149" s="48"/>
      <c r="P149" s="49"/>
      <c r="Q149" s="48"/>
      <c r="R149" s="499"/>
      <c r="S149" s="499"/>
      <c r="T149" s="38"/>
      <c r="U149" s="38"/>
      <c r="V149" s="38"/>
      <c r="W149" s="38"/>
      <c r="X149" s="39"/>
      <c r="Y149" s="212"/>
      <c r="Z149" s="38">
        <f>+'21'!D54/1000</f>
        <v>0</v>
      </c>
      <c r="AA149" s="38"/>
      <c r="AB149" s="38"/>
      <c r="AC149" s="38">
        <f>K149-T149</f>
        <v>0</v>
      </c>
      <c r="AD149" s="38">
        <f t="shared" ref="AD149:AD151" si="396">+AM149+BA149</f>
        <v>9</v>
      </c>
      <c r="AE149" s="231" t="s">
        <v>617</v>
      </c>
      <c r="AF149" s="38"/>
      <c r="AG149" s="38">
        <v>9</v>
      </c>
      <c r="AH149" s="38"/>
      <c r="AI149" s="501"/>
      <c r="AJ149" s="38"/>
      <c r="AK149" s="38"/>
      <c r="AL149" s="38"/>
      <c r="AM149" s="38">
        <f t="shared" ref="AM149:AM151" si="397">SUM(AF149:AL149)+AT149</f>
        <v>9</v>
      </c>
      <c r="AN149" s="84"/>
      <c r="AO149" s="38"/>
      <c r="AP149" s="38"/>
      <c r="AQ149" s="38"/>
      <c r="AR149" s="38">
        <f t="shared" ref="AR149:AR151" si="398">SUM(AN149:AQ149)</f>
        <v>0</v>
      </c>
      <c r="AS149" s="38"/>
      <c r="AT149" s="38"/>
      <c r="AU149" s="38"/>
      <c r="AV149" s="38"/>
      <c r="AW149" s="38"/>
      <c r="AX149" s="38"/>
      <c r="AY149" s="38"/>
      <c r="AZ149" s="38"/>
      <c r="BA149" s="38">
        <f t="shared" ref="BA149:BA151" si="399">+AR149+AS149+AU149+AV149+AX149</f>
        <v>0</v>
      </c>
      <c r="BB149" s="51"/>
      <c r="BC149" s="52">
        <v>8</v>
      </c>
      <c r="BD149" s="52"/>
      <c r="BE149" s="51"/>
      <c r="BF149" s="52"/>
    </row>
    <row r="150" spans="1:58" ht="12.95" customHeight="1">
      <c r="A150" s="41"/>
      <c r="B150" s="42"/>
      <c r="C150" s="443"/>
      <c r="D150" s="42"/>
      <c r="E150" s="43"/>
      <c r="F150" s="43"/>
      <c r="G150" s="44"/>
      <c r="H150" s="45"/>
      <c r="I150" s="46"/>
      <c r="J150" s="83"/>
      <c r="K150" s="83"/>
      <c r="L150" s="36"/>
      <c r="M150" s="36"/>
      <c r="N150" s="47"/>
      <c r="O150" s="48"/>
      <c r="P150" s="49"/>
      <c r="Q150" s="48"/>
      <c r="R150" s="499"/>
      <c r="S150" s="499"/>
      <c r="T150" s="38"/>
      <c r="U150" s="38"/>
      <c r="V150" s="38"/>
      <c r="W150" s="38"/>
      <c r="X150" s="39"/>
      <c r="Y150" s="212"/>
      <c r="Z150" s="38"/>
      <c r="AA150" s="38"/>
      <c r="AB150" s="38"/>
      <c r="AC150" s="38"/>
      <c r="AD150" s="38">
        <f t="shared" si="396"/>
        <v>25</v>
      </c>
      <c r="AE150" s="231" t="s">
        <v>513</v>
      </c>
      <c r="AF150" s="34"/>
      <c r="AG150" s="34"/>
      <c r="AH150" s="34">
        <v>25</v>
      </c>
      <c r="AJ150" s="38"/>
      <c r="AK150" s="38"/>
      <c r="AL150" s="38"/>
      <c r="AM150" s="38">
        <f t="shared" si="397"/>
        <v>25</v>
      </c>
      <c r="AN150" s="38"/>
      <c r="AO150" s="38"/>
      <c r="AP150" s="38"/>
      <c r="AQ150" s="38"/>
      <c r="AR150" s="38">
        <f t="shared" si="398"/>
        <v>0</v>
      </c>
      <c r="AS150" s="38"/>
      <c r="AT150" s="38"/>
      <c r="AU150" s="38"/>
      <c r="AV150" s="38"/>
      <c r="AW150" s="38"/>
      <c r="AX150" s="38"/>
      <c r="AY150" s="38"/>
      <c r="AZ150" s="38"/>
      <c r="BA150" s="38">
        <f t="shared" si="399"/>
        <v>0</v>
      </c>
      <c r="BB150" s="34"/>
      <c r="BC150" s="502"/>
      <c r="BD150" s="502"/>
      <c r="BE150" s="34"/>
      <c r="BF150" s="502"/>
    </row>
    <row r="151" spans="1:58" ht="12.95" customHeight="1">
      <c r="A151" s="41"/>
      <c r="B151" s="42"/>
      <c r="C151" s="443"/>
      <c r="D151" s="42"/>
      <c r="E151" s="43"/>
      <c r="F151" s="43"/>
      <c r="G151" s="44"/>
      <c r="H151" s="45"/>
      <c r="I151" s="46"/>
      <c r="J151" s="83"/>
      <c r="K151" s="83"/>
      <c r="L151" s="36"/>
      <c r="M151" s="36"/>
      <c r="N151" s="47"/>
      <c r="O151" s="48"/>
      <c r="P151" s="49"/>
      <c r="Q151" s="35"/>
      <c r="R151" s="499"/>
      <c r="S151" s="499"/>
      <c r="T151" s="38"/>
      <c r="U151" s="38"/>
      <c r="V151" s="38"/>
      <c r="W151" s="38"/>
      <c r="X151" s="39"/>
      <c r="Y151" s="212"/>
      <c r="Z151" s="38"/>
      <c r="AA151" s="38"/>
      <c r="AB151" s="38"/>
      <c r="AC151" s="38"/>
      <c r="AD151" s="38">
        <f t="shared" si="396"/>
        <v>8</v>
      </c>
      <c r="AE151" s="234" t="s">
        <v>228</v>
      </c>
      <c r="AF151" s="38"/>
      <c r="AG151" s="38"/>
      <c r="AH151" s="38"/>
      <c r="AI151" s="501">
        <v>8</v>
      </c>
      <c r="AJ151" s="38"/>
      <c r="AK151" s="38"/>
      <c r="AL151" s="38"/>
      <c r="AM151" s="38">
        <f t="shared" si="397"/>
        <v>8</v>
      </c>
      <c r="AN151" s="38"/>
      <c r="AO151" s="38"/>
      <c r="AP151" s="38"/>
      <c r="AQ151" s="38"/>
      <c r="AR151" s="38">
        <f t="shared" si="398"/>
        <v>0</v>
      </c>
      <c r="AS151" s="38"/>
      <c r="AT151" s="38"/>
      <c r="AU151" s="38"/>
      <c r="AV151" s="38"/>
      <c r="AW151" s="38"/>
      <c r="AX151" s="38"/>
      <c r="AY151" s="38"/>
      <c r="AZ151" s="38"/>
      <c r="BA151" s="38">
        <f t="shared" si="399"/>
        <v>0</v>
      </c>
      <c r="BB151" s="51"/>
      <c r="BC151" s="52"/>
      <c r="BD151" s="52"/>
      <c r="BE151" s="51"/>
      <c r="BF151" s="52"/>
    </row>
    <row r="152" spans="1:58" ht="12.95" customHeight="1">
      <c r="A152" s="41"/>
      <c r="B152" s="42"/>
      <c r="C152" s="443"/>
      <c r="D152" s="42"/>
      <c r="E152" s="43"/>
      <c r="F152" s="43"/>
      <c r="G152" s="498"/>
      <c r="H152" s="45"/>
      <c r="I152" s="46"/>
      <c r="J152" s="83"/>
      <c r="K152" s="83"/>
      <c r="L152" s="36"/>
      <c r="M152" s="36"/>
      <c r="N152" s="47"/>
      <c r="O152" s="48"/>
      <c r="P152" s="49"/>
      <c r="Q152" s="48"/>
      <c r="R152" s="499"/>
      <c r="S152" s="499"/>
      <c r="T152" s="38"/>
      <c r="U152" s="38"/>
      <c r="V152" s="38"/>
      <c r="W152" s="38"/>
      <c r="X152" s="39"/>
      <c r="Y152" s="212"/>
      <c r="Z152" s="38"/>
      <c r="AA152" s="38"/>
      <c r="AB152" s="38"/>
      <c r="AC152" s="38"/>
      <c r="AD152" s="38"/>
      <c r="AE152" s="231"/>
      <c r="AF152" s="34"/>
      <c r="AG152" s="34"/>
      <c r="AH152" s="34"/>
      <c r="AJ152" s="38"/>
      <c r="AK152" s="38"/>
      <c r="AL152" s="38"/>
      <c r="AM152" s="38"/>
      <c r="AN152" s="38"/>
      <c r="AO152" s="38"/>
      <c r="AP152" s="38"/>
      <c r="AQ152" s="38"/>
      <c r="AR152" s="38"/>
      <c r="AS152" s="38"/>
      <c r="AT152" s="38"/>
      <c r="AU152" s="38"/>
      <c r="AV152" s="38"/>
      <c r="AW152" s="38"/>
      <c r="AX152" s="38"/>
      <c r="AY152" s="38"/>
      <c r="AZ152" s="38"/>
      <c r="BA152" s="38"/>
      <c r="BB152" s="34"/>
      <c r="BC152" s="502"/>
      <c r="BD152" s="502"/>
      <c r="BE152" s="34"/>
      <c r="BF152" s="502"/>
    </row>
    <row r="153" spans="1:58" ht="12" customHeight="1">
      <c r="A153" s="41">
        <v>45990</v>
      </c>
      <c r="B153" s="42" t="s">
        <v>431</v>
      </c>
      <c r="C153" s="443">
        <f t="shared" ref="C153" si="400">(M153*E153*O153*Q153)/100000000</f>
        <v>53.180375040000001</v>
      </c>
      <c r="D153" s="42" t="s">
        <v>434</v>
      </c>
      <c r="E153" s="43">
        <v>13.5</v>
      </c>
      <c r="F153" s="43">
        <v>1</v>
      </c>
      <c r="G153" s="498">
        <v>1325</v>
      </c>
      <c r="H153" s="45">
        <f t="shared" ref="H153" si="401">+N153</f>
        <v>0.21999999999999997</v>
      </c>
      <c r="I153" s="46">
        <v>0.88</v>
      </c>
      <c r="J153" s="83">
        <f t="shared" ref="J153" si="402">E153*G153*(1-H153)*1440/1000000*2.74</f>
        <v>55.049997600000005</v>
      </c>
      <c r="K153" s="83">
        <f>(IF(G153&lt;L153,L153,G153)*(1-IF(H153&lt;N153,H153,N153))*E153*O153*Q153)/100000000</f>
        <v>55.049997599999998</v>
      </c>
      <c r="L153" s="36">
        <v>1280</v>
      </c>
      <c r="M153" s="36">
        <v>998.4</v>
      </c>
      <c r="N153" s="47">
        <f t="shared" ref="N153" si="403">1-(M153/L153)</f>
        <v>0.21999999999999997</v>
      </c>
      <c r="O153" s="48">
        <f>+'Trim Rwd'!H90</f>
        <v>274</v>
      </c>
      <c r="P153" s="49">
        <f t="shared" ref="P153" si="404">O153*(Q153-R153-S153)</f>
        <v>378942</v>
      </c>
      <c r="Q153" s="48">
        <v>1440</v>
      </c>
      <c r="R153" s="499">
        <v>0</v>
      </c>
      <c r="S153" s="499">
        <v>57</v>
      </c>
      <c r="T153" s="38">
        <f t="shared" ref="T153" si="405">E153*M153*O153*Q153/100000000</f>
        <v>53.180375040000001</v>
      </c>
      <c r="U153" s="38">
        <f t="shared" ref="U153" si="406">E153*M153*O153*(Q153-R153-S153)/100000000</f>
        <v>51.075318528000004</v>
      </c>
      <c r="V153" s="38">
        <f t="shared" ref="V153" si="407">E153*G153*(1-N153)*O153/100*(R153+S153)/1000000</f>
        <v>2.1790624050000003</v>
      </c>
      <c r="W153" s="38">
        <f>+'29'!K7/1000</f>
        <v>50.954999999999998</v>
      </c>
      <c r="X153" s="500">
        <f>SUM(W153:W156)/SUM(K153:K156)</f>
        <v>0.92561311937277901</v>
      </c>
      <c r="Y153" s="212">
        <f>+SUM(RBP!AG19:AG20)</f>
        <v>0</v>
      </c>
      <c r="Z153" s="38">
        <v>0</v>
      </c>
      <c r="AA153" s="50">
        <f>SUM(U153:U156)-SUM(W153:W156)-SUM(Z153:Z156)-SUM(Y153:Y156)</f>
        <v>0.12031852800000564</v>
      </c>
      <c r="AB153" s="50">
        <f>(SUM(K153:K156)-SUM(W153:W156)-SUM(Y153:Y156)-SUM(Z153:Z156)-SUM(AC153:AC156)-SUM(V153:V156))-AA153</f>
        <v>-7.4005893000002931E-2</v>
      </c>
      <c r="AC153" s="38">
        <f>K153-T153</f>
        <v>1.8696225599999963</v>
      </c>
      <c r="AD153" s="38">
        <f>+AM153+BA153</f>
        <v>0</v>
      </c>
      <c r="AE153" s="231" t="s">
        <v>390</v>
      </c>
      <c r="AF153" s="38">
        <v>0</v>
      </c>
      <c r="AG153" s="38"/>
      <c r="AH153" s="38"/>
      <c r="AI153" s="501"/>
      <c r="AJ153" s="38"/>
      <c r="AK153" s="38"/>
      <c r="AL153" s="38"/>
      <c r="AM153" s="38">
        <f>SUM(AF153:AL153)+AT153</f>
        <v>0</v>
      </c>
      <c r="AN153" s="38"/>
      <c r="AO153" s="38"/>
      <c r="AP153" s="38"/>
      <c r="AQ153" s="38"/>
      <c r="AR153" s="38">
        <f>SUM(AN153:AQ153)</f>
        <v>0</v>
      </c>
      <c r="AS153" s="38"/>
      <c r="AT153" s="38"/>
      <c r="AU153" s="38"/>
      <c r="AV153" s="38"/>
      <c r="AW153" s="38"/>
      <c r="AX153" s="38"/>
      <c r="AY153" s="38"/>
      <c r="AZ153" s="38"/>
      <c r="BA153" s="38">
        <f>+AR153+AS153+AU153+AV153+AX153</f>
        <v>0</v>
      </c>
      <c r="BB153" s="34">
        <v>0</v>
      </c>
      <c r="BC153" s="52"/>
      <c r="BD153" s="52"/>
      <c r="BE153" s="34"/>
      <c r="BF153" s="52"/>
    </row>
    <row r="154" spans="1:58" ht="12.95" customHeight="1">
      <c r="A154" s="41"/>
      <c r="B154" s="42"/>
      <c r="C154" s="443"/>
      <c r="D154" s="42"/>
      <c r="E154" s="43"/>
      <c r="F154" s="43"/>
      <c r="G154" s="44"/>
      <c r="H154" s="45"/>
      <c r="I154" s="46"/>
      <c r="J154" s="83"/>
      <c r="K154" s="83"/>
      <c r="L154" s="36"/>
      <c r="M154" s="36"/>
      <c r="N154" s="47"/>
      <c r="O154" s="48"/>
      <c r="P154" s="49"/>
      <c r="Q154" s="48"/>
      <c r="R154" s="499"/>
      <c r="S154" s="499"/>
      <c r="T154" s="38"/>
      <c r="U154" s="38"/>
      <c r="V154" s="38"/>
      <c r="W154" s="38"/>
      <c r="X154" s="39"/>
      <c r="Y154" s="212"/>
      <c r="Z154" s="38">
        <f>+'21'!D59/1000</f>
        <v>0</v>
      </c>
      <c r="AA154" s="38"/>
      <c r="AB154" s="38"/>
      <c r="AC154" s="38">
        <f>K154-T154</f>
        <v>0</v>
      </c>
      <c r="AD154" s="38">
        <f t="shared" ref="AD154:AD156" si="408">+AM154+BA154</f>
        <v>12</v>
      </c>
      <c r="AE154" s="231" t="s">
        <v>570</v>
      </c>
      <c r="AF154" s="38"/>
      <c r="AG154" s="38">
        <v>12</v>
      </c>
      <c r="AH154" s="38"/>
      <c r="AI154" s="501"/>
      <c r="AJ154" s="38"/>
      <c r="AK154" s="38"/>
      <c r="AL154" s="38"/>
      <c r="AM154" s="38">
        <f t="shared" ref="AM154:AM156" si="409">SUM(AF154:AL154)+AT154</f>
        <v>12</v>
      </c>
      <c r="AN154" s="84"/>
      <c r="AO154" s="38"/>
      <c r="AP154" s="38"/>
      <c r="AQ154" s="38"/>
      <c r="AR154" s="38">
        <f t="shared" ref="AR154:AR156" si="410">SUM(AN154:AQ154)</f>
        <v>0</v>
      </c>
      <c r="AS154" s="38"/>
      <c r="AT154" s="38"/>
      <c r="AU154" s="38"/>
      <c r="AV154" s="38"/>
      <c r="AW154" s="38"/>
      <c r="AX154" s="38"/>
      <c r="AY154" s="38"/>
      <c r="AZ154" s="38"/>
      <c r="BA154" s="38">
        <f t="shared" ref="BA154:BA156" si="411">+AR154+AS154+AU154+AV154+AX154</f>
        <v>0</v>
      </c>
      <c r="BB154" s="51"/>
      <c r="BC154" s="52">
        <v>9</v>
      </c>
      <c r="BD154" s="52"/>
      <c r="BE154" s="51"/>
      <c r="BF154" s="52"/>
    </row>
    <row r="155" spans="1:58" ht="12.95" customHeight="1">
      <c r="A155" s="41"/>
      <c r="B155" s="42"/>
      <c r="C155" s="443"/>
      <c r="D155" s="42"/>
      <c r="E155" s="43"/>
      <c r="F155" s="43"/>
      <c r="G155" s="44"/>
      <c r="H155" s="45"/>
      <c r="I155" s="46"/>
      <c r="J155" s="83"/>
      <c r="K155" s="83"/>
      <c r="L155" s="36"/>
      <c r="M155" s="36"/>
      <c r="N155" s="47"/>
      <c r="O155" s="48"/>
      <c r="P155" s="49"/>
      <c r="Q155" s="48"/>
      <c r="R155" s="499"/>
      <c r="S155" s="499"/>
      <c r="T155" s="38"/>
      <c r="U155" s="38"/>
      <c r="V155" s="38"/>
      <c r="W155" s="38"/>
      <c r="X155" s="39"/>
      <c r="Y155" s="212"/>
      <c r="Z155" s="38"/>
      <c r="AA155" s="38"/>
      <c r="AB155" s="38"/>
      <c r="AC155" s="38"/>
      <c r="AD155" s="38">
        <f t="shared" si="408"/>
        <v>17</v>
      </c>
      <c r="AE155" s="231" t="s">
        <v>513</v>
      </c>
      <c r="AF155" s="34"/>
      <c r="AG155" s="34"/>
      <c r="AH155" s="34">
        <v>17</v>
      </c>
      <c r="AJ155" s="38"/>
      <c r="AK155" s="38"/>
      <c r="AL155" s="38"/>
      <c r="AM155" s="38">
        <f t="shared" si="409"/>
        <v>17</v>
      </c>
      <c r="AN155" s="38"/>
      <c r="AO155" s="38"/>
      <c r="AP155" s="38"/>
      <c r="AQ155" s="38"/>
      <c r="AR155" s="38">
        <f t="shared" si="410"/>
        <v>0</v>
      </c>
      <c r="AS155" s="38"/>
      <c r="AT155" s="38"/>
      <c r="AU155" s="38"/>
      <c r="AV155" s="38"/>
      <c r="AW155" s="38"/>
      <c r="AX155" s="38"/>
      <c r="AY155" s="38"/>
      <c r="AZ155" s="38"/>
      <c r="BA155" s="38">
        <f t="shared" si="411"/>
        <v>0</v>
      </c>
      <c r="BB155" s="34"/>
      <c r="BC155" s="502"/>
      <c r="BD155" s="502"/>
      <c r="BE155" s="34"/>
      <c r="BF155" s="502"/>
    </row>
    <row r="156" spans="1:58" ht="12.95" customHeight="1">
      <c r="A156" s="41"/>
      <c r="B156" s="42"/>
      <c r="C156" s="443"/>
      <c r="D156" s="42"/>
      <c r="E156" s="43"/>
      <c r="F156" s="43"/>
      <c r="G156" s="44"/>
      <c r="H156" s="45"/>
      <c r="I156" s="46"/>
      <c r="J156" s="83"/>
      <c r="K156" s="83"/>
      <c r="L156" s="36"/>
      <c r="M156" s="36"/>
      <c r="N156" s="47"/>
      <c r="O156" s="48"/>
      <c r="P156" s="49"/>
      <c r="Q156" s="35"/>
      <c r="R156" s="499"/>
      <c r="S156" s="499"/>
      <c r="T156" s="38"/>
      <c r="U156" s="38"/>
      <c r="V156" s="38"/>
      <c r="W156" s="38"/>
      <c r="X156" s="39"/>
      <c r="Y156" s="212"/>
      <c r="Z156" s="38"/>
      <c r="AA156" s="38"/>
      <c r="AB156" s="38"/>
      <c r="AC156" s="38"/>
      <c r="AD156" s="38">
        <f t="shared" si="408"/>
        <v>28</v>
      </c>
      <c r="AE156" s="234" t="s">
        <v>228</v>
      </c>
      <c r="AF156" s="38"/>
      <c r="AG156" s="38"/>
      <c r="AH156" s="38"/>
      <c r="AI156" s="501">
        <v>28</v>
      </c>
      <c r="AJ156" s="38"/>
      <c r="AK156" s="38"/>
      <c r="AL156" s="38"/>
      <c r="AM156" s="38">
        <f t="shared" si="409"/>
        <v>28</v>
      </c>
      <c r="AN156" s="38"/>
      <c r="AO156" s="38"/>
      <c r="AP156" s="38"/>
      <c r="AQ156" s="38"/>
      <c r="AR156" s="38">
        <f t="shared" si="410"/>
        <v>0</v>
      </c>
      <c r="AS156" s="38"/>
      <c r="AT156" s="38"/>
      <c r="AU156" s="38"/>
      <c r="AV156" s="38"/>
      <c r="AW156" s="38"/>
      <c r="AX156" s="38"/>
      <c r="AY156" s="38"/>
      <c r="AZ156" s="38"/>
      <c r="BA156" s="38">
        <f t="shared" si="411"/>
        <v>0</v>
      </c>
      <c r="BB156" s="51"/>
      <c r="BC156" s="52"/>
      <c r="BD156" s="52"/>
      <c r="BE156" s="51"/>
      <c r="BF156" s="52"/>
    </row>
    <row r="157" spans="1:58" ht="12.95" customHeight="1">
      <c r="A157" s="41"/>
      <c r="B157" s="42"/>
      <c r="C157" s="443"/>
      <c r="D157" s="42"/>
      <c r="E157" s="43"/>
      <c r="F157" s="43"/>
      <c r="G157" s="498"/>
      <c r="H157" s="45"/>
      <c r="I157" s="46"/>
      <c r="J157" s="83"/>
      <c r="K157" s="83"/>
      <c r="L157" s="36"/>
      <c r="M157" s="36"/>
      <c r="N157" s="47"/>
      <c r="O157" s="48"/>
      <c r="P157" s="49"/>
      <c r="Q157" s="48"/>
      <c r="R157" s="499"/>
      <c r="S157" s="499"/>
      <c r="T157" s="38"/>
      <c r="U157" s="38"/>
      <c r="V157" s="38"/>
      <c r="W157" s="38"/>
      <c r="X157" s="39"/>
      <c r="Y157" s="212"/>
      <c r="Z157" s="38"/>
      <c r="AA157" s="38"/>
      <c r="AB157" s="38"/>
      <c r="AC157" s="38"/>
      <c r="AD157" s="38"/>
      <c r="AE157" s="231"/>
      <c r="AF157" s="34"/>
      <c r="AG157" s="34"/>
      <c r="AH157" s="34"/>
      <c r="AJ157" s="38"/>
      <c r="AK157" s="38"/>
      <c r="AL157" s="38"/>
      <c r="AM157" s="38"/>
      <c r="AN157" s="38"/>
      <c r="AO157" s="38"/>
      <c r="AP157" s="38"/>
      <c r="AQ157" s="38"/>
      <c r="AR157" s="38"/>
      <c r="AS157" s="38"/>
      <c r="AT157" s="38"/>
      <c r="AU157" s="38"/>
      <c r="AV157" s="38"/>
      <c r="AW157" s="38"/>
      <c r="AX157" s="38"/>
      <c r="AY157" s="38"/>
      <c r="AZ157" s="38"/>
      <c r="BA157" s="38"/>
      <c r="BB157" s="34"/>
      <c r="BC157" s="502"/>
      <c r="BD157" s="502"/>
      <c r="BE157" s="34"/>
      <c r="BF157" s="502"/>
    </row>
    <row r="158" spans="1:58" ht="12" customHeight="1">
      <c r="A158" s="41">
        <v>45991</v>
      </c>
      <c r="B158" s="42" t="s">
        <v>431</v>
      </c>
      <c r="C158" s="443">
        <f t="shared" ref="C158" si="412">(M158*E158*O158*Q158)/100000000</f>
        <v>50.895280800000002</v>
      </c>
      <c r="D158" s="42" t="s">
        <v>434</v>
      </c>
      <c r="E158" s="43">
        <v>13.5</v>
      </c>
      <c r="F158" s="43">
        <v>1</v>
      </c>
      <c r="G158" s="498">
        <v>1325</v>
      </c>
      <c r="H158" s="45">
        <f t="shared" ref="H158" si="413">+N158</f>
        <v>0.21999999999999997</v>
      </c>
      <c r="I158" s="46">
        <v>0.88</v>
      </c>
      <c r="J158" s="83">
        <f t="shared" ref="J158" si="414">E158*G158*(1-H158)*1440/1000000*2.74</f>
        <v>55.049997600000005</v>
      </c>
      <c r="K158" s="83">
        <f>(IF(G158&lt;L158,L158,G158)*(1-IF(H158&lt;N158,H158,N158))*E158*O158*Q158)/100000000</f>
        <v>52.947393525000003</v>
      </c>
      <c r="L158" s="36">
        <v>1273.6462093862815</v>
      </c>
      <c r="M158" s="36">
        <v>993.44404332129966</v>
      </c>
      <c r="N158" s="47">
        <f t="shared" ref="N158" si="415">1-(M158/L158)</f>
        <v>0.21999999999999997</v>
      </c>
      <c r="O158" s="48">
        <f>+'Trim Rwd'!H92</f>
        <v>274</v>
      </c>
      <c r="P158" s="49">
        <f t="shared" ref="P158" si="416">O158*(Q158-R158-S158)</f>
        <v>367160</v>
      </c>
      <c r="Q158" s="48">
        <v>1385</v>
      </c>
      <c r="R158" s="499">
        <v>0</v>
      </c>
      <c r="S158" s="499">
        <v>45</v>
      </c>
      <c r="T158" s="38">
        <f t="shared" ref="T158" si="417">E158*M158*O158*Q158/100000000</f>
        <v>50.895280800000002</v>
      </c>
      <c r="U158" s="38">
        <f t="shared" ref="U158" si="418">E158*M158*O158*(Q158-R158-S158)/100000000</f>
        <v>49.241643517689525</v>
      </c>
      <c r="V158" s="38">
        <f t="shared" ref="V158" si="419">E158*G158*(1-N158)*O158/100*(R158+S158)/1000000</f>
        <v>1.7203124250000001</v>
      </c>
      <c r="W158" s="38">
        <f>+'30'!K7/1000</f>
        <v>38.478999999999999</v>
      </c>
      <c r="X158" s="500">
        <f>SUM(W158:W161)/SUM(K158:K161)</f>
        <v>0.90387639014321897</v>
      </c>
      <c r="Y158" s="212">
        <f>+SUM(RBP!AG3:AG4)</f>
        <v>3.2389999999999999</v>
      </c>
      <c r="Z158" s="38">
        <v>0</v>
      </c>
      <c r="AA158" s="50">
        <f>SUM(U158:U161)-SUM(W158:W161)-SUM(Z158:Z161)-SUM(Y158:Y161)</f>
        <v>-1.8739848823104763</v>
      </c>
      <c r="AB158" s="50">
        <f>(SUM(K158:K161)-SUM(W158:W161)-SUM(Y158:Y161)-SUM(Z158:Z161)-SUM(AC158:AC161)-SUM(V158:V161))-AA158</f>
        <v>-6.9634462689522891E-2</v>
      </c>
      <c r="AC158" s="38">
        <f>K158-T158</f>
        <v>2.0521127250000006</v>
      </c>
      <c r="AD158" s="38">
        <f>+AM158+BA158</f>
        <v>0</v>
      </c>
      <c r="AE158" s="231" t="s">
        <v>390</v>
      </c>
      <c r="AF158" s="38">
        <v>0</v>
      </c>
      <c r="AG158" s="38"/>
      <c r="AH158" s="38"/>
      <c r="AI158" s="501"/>
      <c r="AJ158" s="38"/>
      <c r="AK158" s="38"/>
      <c r="AL158" s="38"/>
      <c r="AM158" s="38">
        <f>SUM(AF158:AL158)+AT158</f>
        <v>0</v>
      </c>
      <c r="AN158" s="38"/>
      <c r="AO158" s="38"/>
      <c r="AP158" s="38"/>
      <c r="AQ158" s="38"/>
      <c r="AR158" s="38">
        <f>SUM(AN158:AQ158)</f>
        <v>0</v>
      </c>
      <c r="AS158" s="38"/>
      <c r="AT158" s="38"/>
      <c r="AU158" s="38"/>
      <c r="AV158" s="38"/>
      <c r="AW158" s="38"/>
      <c r="AX158" s="38"/>
      <c r="AY158" s="38"/>
      <c r="AZ158" s="38"/>
      <c r="BA158" s="38">
        <f>+AR158+AS158+AU158+AV158+AX158</f>
        <v>0</v>
      </c>
      <c r="BB158" s="34">
        <v>0</v>
      </c>
      <c r="BC158" s="52"/>
      <c r="BD158" s="52"/>
      <c r="BE158" s="34"/>
      <c r="BF158" s="52"/>
    </row>
    <row r="159" spans="1:58" ht="12.95" customHeight="1">
      <c r="A159" s="41"/>
      <c r="B159" s="42" t="s">
        <v>431</v>
      </c>
      <c r="C159" s="443">
        <f t="shared" ref="C159" si="420">(M159*E159*O159*Q159)/100000000</f>
        <v>2.0508087599999998</v>
      </c>
      <c r="D159" s="42" t="s">
        <v>434</v>
      </c>
      <c r="E159" s="43">
        <v>14</v>
      </c>
      <c r="F159" s="43">
        <v>1</v>
      </c>
      <c r="G159" s="498">
        <v>1280</v>
      </c>
      <c r="H159" s="45">
        <f t="shared" ref="H159" si="421">+N159</f>
        <v>0.22000000000000008</v>
      </c>
      <c r="I159" s="46">
        <v>0.88</v>
      </c>
      <c r="J159" s="83">
        <f t="shared" ref="J159" si="422">E159*G159*(1-H159)*1440/1000000*2.74</f>
        <v>55.150018559999992</v>
      </c>
      <c r="K159" s="83">
        <f>(IF(G159&lt;L159,L159,G159)*(1-IF(H159&lt;N159,H159,N159))*E159*O159*Q159)/100000000</f>
        <v>2.0833612799999996</v>
      </c>
      <c r="L159" s="36">
        <v>1260</v>
      </c>
      <c r="M159" s="36">
        <v>982.8</v>
      </c>
      <c r="N159" s="47">
        <f t="shared" ref="N159" si="423">1-(M159/L159)</f>
        <v>0.22000000000000008</v>
      </c>
      <c r="O159" s="48">
        <f>+'Trim Rwd'!H93</f>
        <v>271</v>
      </c>
      <c r="P159" s="49">
        <f t="shared" ref="P159" si="424">O159*(Q159-R159-S159)</f>
        <v>13550</v>
      </c>
      <c r="Q159" s="48">
        <v>55</v>
      </c>
      <c r="R159" s="499">
        <v>0</v>
      </c>
      <c r="S159" s="499">
        <v>5</v>
      </c>
      <c r="T159" s="38">
        <f t="shared" ref="T159" si="425">E159*M159*O159*Q159/100000000</f>
        <v>2.0508087599999998</v>
      </c>
      <c r="U159" s="38">
        <f t="shared" ref="U159" si="426">E159*M159*O159*(Q159-R159-S159)/100000000</f>
        <v>1.8643715999999999</v>
      </c>
      <c r="V159" s="38">
        <f t="shared" ref="V159" si="427">E159*G159*(1-N159)*O159/100*(R159+S159)/1000000</f>
        <v>0.18939647999999998</v>
      </c>
      <c r="W159" s="38">
        <f>+'30'!K8/1000</f>
        <v>11.262</v>
      </c>
      <c r="X159" s="39"/>
      <c r="Y159" s="212"/>
      <c r="Z159" s="38">
        <f>+'21'!D64/1000</f>
        <v>0</v>
      </c>
      <c r="AA159" s="38"/>
      <c r="AB159" s="38"/>
      <c r="AC159" s="38">
        <f>K159-T159</f>
        <v>3.2552519999999863E-2</v>
      </c>
      <c r="AD159" s="38">
        <f t="shared" ref="AD159:AD161" si="428">+AM159+BA159</f>
        <v>10</v>
      </c>
      <c r="AE159" s="231" t="s">
        <v>723</v>
      </c>
      <c r="AF159" s="38"/>
      <c r="AG159" s="38">
        <v>10</v>
      </c>
      <c r="AH159" s="38"/>
      <c r="AI159" s="501"/>
      <c r="AJ159" s="38"/>
      <c r="AK159" s="38"/>
      <c r="AL159" s="38"/>
      <c r="AM159" s="38">
        <f t="shared" ref="AM159:AM161" si="429">SUM(AF159:AL159)+AT159</f>
        <v>10</v>
      </c>
      <c r="AN159" s="84"/>
      <c r="AO159" s="38"/>
      <c r="AP159" s="38"/>
      <c r="AQ159" s="38"/>
      <c r="AR159" s="38">
        <f t="shared" ref="AR159:AR161" si="430">SUM(AN159:AQ159)</f>
        <v>0</v>
      </c>
      <c r="AS159" s="38"/>
      <c r="AT159" s="38"/>
      <c r="AU159" s="38"/>
      <c r="AV159" s="38"/>
      <c r="AW159" s="38"/>
      <c r="AX159" s="38"/>
      <c r="AY159" s="38"/>
      <c r="AZ159" s="38"/>
      <c r="BA159" s="38">
        <f t="shared" ref="BA159:BA161" si="431">+AR159+AS159+AU159+AV159+AX159</f>
        <v>0</v>
      </c>
      <c r="BB159" s="51"/>
      <c r="BC159" s="52">
        <v>12</v>
      </c>
      <c r="BD159" s="52"/>
      <c r="BE159" s="51"/>
      <c r="BF159" s="52"/>
    </row>
    <row r="160" spans="1:58" ht="12.95" customHeight="1">
      <c r="A160" s="41"/>
      <c r="B160" s="42"/>
      <c r="C160" s="443"/>
      <c r="D160" s="42"/>
      <c r="E160" s="43"/>
      <c r="F160" s="43"/>
      <c r="G160" s="44"/>
      <c r="H160" s="45"/>
      <c r="I160" s="46"/>
      <c r="J160" s="83"/>
      <c r="K160" s="83"/>
      <c r="L160" s="36"/>
      <c r="M160" s="36"/>
      <c r="N160" s="47"/>
      <c r="O160" s="48"/>
      <c r="P160" s="49"/>
      <c r="Q160" s="48"/>
      <c r="R160" s="499"/>
      <c r="S160" s="499"/>
      <c r="T160" s="38"/>
      <c r="U160" s="38"/>
      <c r="V160" s="38"/>
      <c r="W160" s="38"/>
      <c r="X160" s="39"/>
      <c r="Y160" s="212"/>
      <c r="Z160" s="38"/>
      <c r="AA160" s="38"/>
      <c r="AB160" s="38"/>
      <c r="AC160" s="38"/>
      <c r="AD160" s="38">
        <f t="shared" si="428"/>
        <v>22</v>
      </c>
      <c r="AE160" s="231" t="s">
        <v>607</v>
      </c>
      <c r="AF160" s="34"/>
      <c r="AG160" s="34"/>
      <c r="AH160" s="34">
        <v>22</v>
      </c>
      <c r="AJ160" s="38"/>
      <c r="AK160" s="38"/>
      <c r="AL160" s="38"/>
      <c r="AM160" s="38">
        <f t="shared" si="429"/>
        <v>22</v>
      </c>
      <c r="AN160" s="38"/>
      <c r="AO160" s="38"/>
      <c r="AP160" s="38"/>
      <c r="AQ160" s="38"/>
      <c r="AR160" s="38">
        <f t="shared" si="430"/>
        <v>0</v>
      </c>
      <c r="AS160" s="38"/>
      <c r="AT160" s="38"/>
      <c r="AU160" s="38"/>
      <c r="AV160" s="38"/>
      <c r="AW160" s="38"/>
      <c r="AX160" s="38"/>
      <c r="AY160" s="38"/>
      <c r="AZ160" s="38"/>
      <c r="BA160" s="38">
        <f t="shared" si="431"/>
        <v>0</v>
      </c>
      <c r="BB160" s="34"/>
      <c r="BC160" s="502"/>
      <c r="BD160" s="502"/>
      <c r="BE160" s="34"/>
      <c r="BF160" s="502"/>
    </row>
    <row r="161" spans="1:97" ht="12.95" customHeight="1">
      <c r="A161" s="41"/>
      <c r="B161" s="42"/>
      <c r="C161" s="443"/>
      <c r="D161" s="42"/>
      <c r="E161" s="43"/>
      <c r="F161" s="43"/>
      <c r="G161" s="44"/>
      <c r="H161" s="45"/>
      <c r="I161" s="46"/>
      <c r="J161" s="83"/>
      <c r="K161" s="83"/>
      <c r="L161" s="36"/>
      <c r="M161" s="36"/>
      <c r="N161" s="47"/>
      <c r="O161" s="48"/>
      <c r="P161" s="49"/>
      <c r="Q161" s="35"/>
      <c r="R161" s="499"/>
      <c r="S161" s="499"/>
      <c r="T161" s="38"/>
      <c r="U161" s="38"/>
      <c r="V161" s="38"/>
      <c r="W161" s="38"/>
      <c r="X161" s="39"/>
      <c r="Y161" s="212"/>
      <c r="Z161" s="38"/>
      <c r="AA161" s="38"/>
      <c r="AB161" s="38"/>
      <c r="AC161" s="38"/>
      <c r="AD161" s="38">
        <f t="shared" si="428"/>
        <v>18</v>
      </c>
      <c r="AE161" s="234" t="s">
        <v>228</v>
      </c>
      <c r="AF161" s="38"/>
      <c r="AG161" s="38"/>
      <c r="AH161" s="38"/>
      <c r="AI161" s="501">
        <v>18</v>
      </c>
      <c r="AJ161" s="38"/>
      <c r="AK161" s="38"/>
      <c r="AL161" s="38"/>
      <c r="AM161" s="38">
        <f t="shared" si="429"/>
        <v>18</v>
      </c>
      <c r="AN161" s="38"/>
      <c r="AO161" s="38"/>
      <c r="AP161" s="38"/>
      <c r="AQ161" s="38"/>
      <c r="AR161" s="38">
        <f t="shared" si="430"/>
        <v>0</v>
      </c>
      <c r="AS161" s="38"/>
      <c r="AT161" s="38"/>
      <c r="AU161" s="38"/>
      <c r="AV161" s="38"/>
      <c r="AW161" s="38"/>
      <c r="AX161" s="38"/>
      <c r="AY161" s="38"/>
      <c r="AZ161" s="38"/>
      <c r="BA161" s="38">
        <f t="shared" si="431"/>
        <v>0</v>
      </c>
      <c r="BB161" s="51"/>
      <c r="BC161" s="52"/>
      <c r="BD161" s="52"/>
      <c r="BE161" s="51"/>
      <c r="BF161" s="52"/>
    </row>
    <row r="162" spans="1:97" ht="12.95" customHeight="1">
      <c r="A162" s="41"/>
      <c r="B162" s="556"/>
      <c r="C162" s="443"/>
      <c r="D162" s="42"/>
      <c r="E162" s="43"/>
      <c r="F162" s="43"/>
      <c r="G162" s="44"/>
      <c r="H162" s="45"/>
      <c r="I162" s="46"/>
      <c r="J162" s="83"/>
      <c r="K162" s="83"/>
      <c r="L162" s="36"/>
      <c r="M162" s="36"/>
      <c r="N162" s="47"/>
      <c r="O162" s="48"/>
      <c r="P162" s="49"/>
      <c r="Q162" s="35"/>
      <c r="R162" s="499"/>
      <c r="S162" s="499"/>
      <c r="T162" s="38"/>
      <c r="U162" s="38"/>
      <c r="V162" s="38"/>
      <c r="W162" s="38"/>
      <c r="X162" s="39"/>
      <c r="Y162" s="39"/>
      <c r="Z162" s="38"/>
      <c r="AA162" s="50"/>
      <c r="AB162" s="50"/>
      <c r="AC162" s="38"/>
      <c r="AD162" s="38"/>
      <c r="AE162" s="231"/>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4"/>
      <c r="BC162" s="52"/>
      <c r="BD162" s="502"/>
      <c r="BE162" s="34"/>
      <c r="BF162" s="502"/>
    </row>
    <row r="163" spans="1:97">
      <c r="R163" s="503"/>
      <c r="S163" s="503"/>
      <c r="AA163" s="248">
        <f>U163-W163-Z163</f>
        <v>0</v>
      </c>
      <c r="AB163" s="248"/>
      <c r="AC163" s="249">
        <f>K163-T163</f>
        <v>0</v>
      </c>
      <c r="AD163" s="38"/>
      <c r="AF163" s="53"/>
      <c r="AG163" s="53"/>
      <c r="AH163" s="53"/>
      <c r="AI163" s="53"/>
      <c r="AJ163" s="53"/>
      <c r="AK163" s="53"/>
      <c r="AL163" s="53"/>
      <c r="AM163" s="38"/>
      <c r="AN163" s="53"/>
      <c r="AO163" s="53"/>
      <c r="AP163" s="53"/>
      <c r="AQ163" s="53"/>
      <c r="AR163" s="38"/>
      <c r="AS163" s="53"/>
      <c r="AT163" s="53"/>
      <c r="AU163" s="53"/>
      <c r="AV163" s="53"/>
      <c r="AW163" s="53"/>
      <c r="AX163" s="53"/>
      <c r="AY163" s="53"/>
      <c r="AZ163" s="53"/>
      <c r="BA163" s="38"/>
      <c r="BB163" s="34"/>
      <c r="BC163" s="52"/>
      <c r="BD163" s="502"/>
      <c r="BE163" s="34"/>
      <c r="BF163" s="502"/>
    </row>
    <row r="164" spans="1:97">
      <c r="A164" s="57"/>
      <c r="B164" s="58"/>
      <c r="C164" s="445">
        <f>SUM(C6:C162)</f>
        <v>1584.3519694527799</v>
      </c>
      <c r="D164" s="58"/>
      <c r="E164" s="59"/>
      <c r="F164" s="59"/>
      <c r="G164" s="60"/>
      <c r="H164" s="60"/>
      <c r="I164" s="61">
        <v>0.85</v>
      </c>
      <c r="J164" s="83"/>
      <c r="K164" s="85">
        <f>SUM(K6:K162)</f>
        <v>1637.3880088063934</v>
      </c>
      <c r="L164" s="63"/>
      <c r="M164" s="63"/>
      <c r="N164" s="64"/>
      <c r="O164" s="65">
        <f>P164/(Q164-R164-S164)</f>
        <v>268.89839225849261</v>
      </c>
      <c r="P164" s="62">
        <f>SUM(P6:P162)</f>
        <v>10861612.758497292</v>
      </c>
      <c r="Q164" s="373">
        <f>SUM(Q6:Q163)</f>
        <v>43200</v>
      </c>
      <c r="R164" s="62">
        <f t="shared" ref="R164:W164" si="432">SUM(R6:R162)</f>
        <v>1376</v>
      </c>
      <c r="S164" s="62">
        <f t="shared" si="432"/>
        <v>1431</v>
      </c>
      <c r="T164" s="62">
        <f t="shared" si="432"/>
        <v>1584.3519694527799</v>
      </c>
      <c r="U164" s="62">
        <f t="shared" si="432"/>
        <v>1483.9851412016044</v>
      </c>
      <c r="V164" s="397">
        <f t="shared" si="432"/>
        <v>105.53951342152212</v>
      </c>
      <c r="W164" s="448">
        <f t="shared" si="432"/>
        <v>1468.2629999999999</v>
      </c>
      <c r="X164" s="504">
        <f>W164/K164</f>
        <v>0.89671048774219342</v>
      </c>
      <c r="Y164" s="398">
        <f>SUM(Y6:Y162)</f>
        <v>3.2389999999999999</v>
      </c>
      <c r="Z164" s="448">
        <f>SUM(Z6:Z162)</f>
        <v>3.992016282460769</v>
      </c>
      <c r="AA164" s="62">
        <f>SUM(AA6:AA162)</f>
        <v>8.4911249191432994</v>
      </c>
      <c r="AB164" s="62">
        <f>SUM(AB6:AB162)</f>
        <v>-5.1726851703462717</v>
      </c>
      <c r="AC164" s="62">
        <f>SUM(AC6:AC162)</f>
        <v>53.036039353612985</v>
      </c>
      <c r="AD164" s="38">
        <f>SUM(AD6:AD163)</f>
        <v>2807</v>
      </c>
      <c r="AE164" s="66"/>
      <c r="AF164" s="62">
        <f t="shared" ref="AF164:BF164" si="433">SUM(AF6:AF163)</f>
        <v>9</v>
      </c>
      <c r="AG164" s="62">
        <f t="shared" si="433"/>
        <v>326</v>
      </c>
      <c r="AH164" s="62">
        <f t="shared" si="433"/>
        <v>680</v>
      </c>
      <c r="AI164" s="62">
        <f t="shared" si="433"/>
        <v>383</v>
      </c>
      <c r="AJ164" s="62">
        <f t="shared" si="433"/>
        <v>0</v>
      </c>
      <c r="AK164" s="62">
        <f t="shared" si="433"/>
        <v>33</v>
      </c>
      <c r="AL164" s="62">
        <f t="shared" si="433"/>
        <v>0</v>
      </c>
      <c r="AM164" s="62">
        <f t="shared" si="433"/>
        <v>1431</v>
      </c>
      <c r="AN164" s="53">
        <f t="shared" si="433"/>
        <v>597</v>
      </c>
      <c r="AO164" s="53">
        <f t="shared" si="433"/>
        <v>0</v>
      </c>
      <c r="AP164" s="53">
        <f t="shared" si="433"/>
        <v>170</v>
      </c>
      <c r="AQ164" s="53">
        <f t="shared" si="433"/>
        <v>0</v>
      </c>
      <c r="AR164" s="62">
        <f t="shared" si="433"/>
        <v>767</v>
      </c>
      <c r="AS164" s="62">
        <f t="shared" si="433"/>
        <v>609</v>
      </c>
      <c r="AT164" s="62">
        <f t="shared" si="433"/>
        <v>0</v>
      </c>
      <c r="AU164" s="62">
        <f t="shared" si="433"/>
        <v>0</v>
      </c>
      <c r="AV164" s="62">
        <f t="shared" si="433"/>
        <v>0</v>
      </c>
      <c r="AW164" s="62">
        <f t="shared" si="433"/>
        <v>0</v>
      </c>
      <c r="AX164" s="62">
        <f t="shared" si="433"/>
        <v>0</v>
      </c>
      <c r="AY164" s="62">
        <f t="shared" si="433"/>
        <v>0</v>
      </c>
      <c r="AZ164" s="62">
        <f t="shared" si="433"/>
        <v>0</v>
      </c>
      <c r="BA164" s="62">
        <f t="shared" si="433"/>
        <v>1376</v>
      </c>
      <c r="BB164" s="53">
        <f t="shared" si="433"/>
        <v>3</v>
      </c>
      <c r="BC164" s="53">
        <f t="shared" si="433"/>
        <v>274</v>
      </c>
      <c r="BD164" s="53">
        <f t="shared" si="433"/>
        <v>0</v>
      </c>
      <c r="BE164" s="53">
        <f t="shared" si="433"/>
        <v>0</v>
      </c>
      <c r="BF164" s="53">
        <f t="shared" si="433"/>
        <v>12</v>
      </c>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row>
    <row r="165" spans="1:97">
      <c r="A165" s="57"/>
      <c r="B165" s="58"/>
      <c r="C165" s="58"/>
      <c r="D165" s="58"/>
      <c r="E165" s="59"/>
      <c r="F165" s="59"/>
      <c r="G165" s="60"/>
      <c r="H165" s="60"/>
      <c r="I165" s="60"/>
      <c r="J165" s="86"/>
      <c r="K165" s="86"/>
      <c r="L165" s="63"/>
      <c r="M165" s="63"/>
      <c r="N165" s="64"/>
      <c r="O165" s="683"/>
      <c r="P165" s="684"/>
      <c r="Q165" s="60">
        <f>30*1440-Q164</f>
        <v>0</v>
      </c>
      <c r="R165" s="67">
        <f>R164/Q164</f>
        <v>3.1851851851851853E-2</v>
      </c>
      <c r="S165" s="67">
        <f>S164/Q164</f>
        <v>3.3125000000000002E-2</v>
      </c>
      <c r="T165" s="384"/>
      <c r="U165" s="384"/>
      <c r="V165" s="386">
        <f>V164/K164</f>
        <v>6.4456019498064634E-2</v>
      </c>
      <c r="W165" s="402" t="s">
        <v>181</v>
      </c>
      <c r="X165" s="505">
        <v>0.85</v>
      </c>
      <c r="Y165" s="399">
        <f>Y164/K164</f>
        <v>1.9781505559950531E-3</v>
      </c>
      <c r="Z165" s="68">
        <f>Z164/K164</f>
        <v>2.4380392802380597E-3</v>
      </c>
      <c r="AA165" s="68">
        <f>AA164/K164</f>
        <v>5.1857744611999903E-3</v>
      </c>
      <c r="AB165" s="68">
        <f>AB164/K164</f>
        <v>-3.1591077634170557E-3</v>
      </c>
      <c r="AC165" s="506">
        <f>AC164/K164</f>
        <v>3.2390636225725543E-2</v>
      </c>
      <c r="AD165" s="387"/>
      <c r="AE165" s="40"/>
      <c r="AF165" s="68">
        <f>AF164/$AD$164*$V$165</f>
        <v>2.0666340416194574E-4</v>
      </c>
      <c r="AG165" s="68">
        <f>AG164/$AD$164*$V$165</f>
        <v>7.4858077507549232E-3</v>
      </c>
      <c r="AH165" s="68">
        <f>AH164/$AD$164*$V$165</f>
        <v>1.5614568314458122E-2</v>
      </c>
      <c r="AI165" s="68">
        <f>AI164/$AD$164*$V$165</f>
        <v>8.7946759771139124E-3</v>
      </c>
      <c r="AJ165" s="68">
        <f t="shared" ref="AJ165:BA165" si="434">AJ164/$AD$164*$V$165</f>
        <v>0</v>
      </c>
      <c r="AK165" s="68">
        <f t="shared" si="434"/>
        <v>7.5776581526046773E-4</v>
      </c>
      <c r="AL165" s="68">
        <f t="shared" si="434"/>
        <v>0</v>
      </c>
      <c r="AM165" s="68">
        <f t="shared" si="434"/>
        <v>3.2859481261749375E-2</v>
      </c>
      <c r="AN165" s="68">
        <f t="shared" si="434"/>
        <v>1.3708672476075734E-2</v>
      </c>
      <c r="AO165" s="68">
        <f t="shared" si="434"/>
        <v>0</v>
      </c>
      <c r="AP165" s="68">
        <f t="shared" si="434"/>
        <v>3.9036420786145304E-3</v>
      </c>
      <c r="AQ165" s="68">
        <f t="shared" si="434"/>
        <v>0</v>
      </c>
      <c r="AR165" s="68">
        <f t="shared" si="434"/>
        <v>1.7612314554690263E-2</v>
      </c>
      <c r="AS165" s="68">
        <f t="shared" si="434"/>
        <v>1.3984223681624997E-2</v>
      </c>
      <c r="AT165" s="68">
        <f t="shared" si="434"/>
        <v>0</v>
      </c>
      <c r="AU165" s="68">
        <f t="shared" si="434"/>
        <v>0</v>
      </c>
      <c r="AV165" s="68">
        <f>AV164/$AD$164*$V$165</f>
        <v>0</v>
      </c>
      <c r="AW165" s="68">
        <f t="shared" ref="AW165:AZ165" si="435">AW164/$AD$164*$V$165</f>
        <v>0</v>
      </c>
      <c r="AX165" s="68">
        <f t="shared" si="435"/>
        <v>0</v>
      </c>
      <c r="AY165" s="68">
        <f t="shared" si="435"/>
        <v>0</v>
      </c>
      <c r="AZ165" s="68">
        <f t="shared" si="435"/>
        <v>0</v>
      </c>
      <c r="BA165" s="68">
        <f t="shared" si="434"/>
        <v>3.1596538236315259E-2</v>
      </c>
      <c r="BB165" s="35" t="s">
        <v>180</v>
      </c>
      <c r="BC165" s="35" t="s">
        <v>180</v>
      </c>
      <c r="BD165" s="35" t="s">
        <v>375</v>
      </c>
      <c r="BE165" s="35" t="s">
        <v>375</v>
      </c>
      <c r="BF165" s="35" t="s">
        <v>375</v>
      </c>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row>
    <row r="166" spans="1:97">
      <c r="A166" s="57"/>
      <c r="B166" s="58"/>
      <c r="C166" s="58"/>
      <c r="D166" s="58"/>
      <c r="E166" s="59"/>
      <c r="F166" s="59"/>
      <c r="G166" s="35"/>
      <c r="H166" s="35"/>
      <c r="I166" s="35"/>
      <c r="J166" s="83"/>
      <c r="K166" s="83"/>
      <c r="L166" s="36"/>
      <c r="M166" s="36"/>
      <c r="N166" s="34"/>
      <c r="O166" s="37"/>
      <c r="P166" s="29"/>
      <c r="Q166" s="35"/>
      <c r="R166" s="38">
        <f>R164-(BA164)</f>
        <v>0</v>
      </c>
      <c r="S166" s="38">
        <f>+S164-AM164</f>
        <v>0</v>
      </c>
      <c r="T166" s="34"/>
      <c r="U166" s="34"/>
      <c r="V166" s="34"/>
      <c r="W166" s="400">
        <f>+W164-'31'!M34/1000</f>
        <v>0</v>
      </c>
      <c r="X166" s="401"/>
      <c r="Y166" s="69">
        <f>+Y164-(SUM(RBP!AG3:AG4))</f>
        <v>0</v>
      </c>
      <c r="Z166" s="38"/>
      <c r="AA166" s="34"/>
      <c r="AB166" s="34"/>
      <c r="AC166" s="34"/>
      <c r="AD166" s="34"/>
      <c r="AE166" s="40"/>
      <c r="AF166" s="374"/>
      <c r="AG166" s="374"/>
      <c r="AH166" s="374"/>
      <c r="AI166" s="374"/>
      <c r="AJ166" s="78"/>
      <c r="AK166" s="78"/>
      <c r="AL166" s="78"/>
      <c r="AM166" s="78"/>
      <c r="AN166" s="78"/>
      <c r="AO166" s="78"/>
      <c r="AP166" s="78"/>
      <c r="AQ166" s="78"/>
      <c r="AR166" s="78"/>
      <c r="AS166" s="78"/>
      <c r="AT166" s="78"/>
      <c r="AU166" s="78"/>
      <c r="AV166" s="78"/>
      <c r="AW166" s="78"/>
      <c r="AX166" s="78"/>
      <c r="AY166" s="78"/>
      <c r="AZ166" s="78"/>
      <c r="BA166" s="78"/>
      <c r="BB166" s="507">
        <f>BB164/($Q$164/1440)/2</f>
        <v>0.05</v>
      </c>
      <c r="BC166" s="507">
        <f>BC164/($Q$164/1440)/2</f>
        <v>4.5666666666666664</v>
      </c>
      <c r="BD166" s="507">
        <f>BD164/($Q$164/1440)</f>
        <v>0</v>
      </c>
      <c r="BE166" s="507">
        <f t="shared" ref="BE166:BF166" si="436">BE164/($Q$164/1440)</f>
        <v>0</v>
      </c>
      <c r="BF166" s="507">
        <f t="shared" si="436"/>
        <v>0.4</v>
      </c>
    </row>
    <row r="167" spans="1:97">
      <c r="A167" s="70"/>
      <c r="B167" s="71"/>
      <c r="C167" s="71"/>
      <c r="D167" s="71"/>
      <c r="E167" s="72"/>
      <c r="F167" s="72"/>
      <c r="G167" s="73"/>
      <c r="H167" s="73"/>
      <c r="I167" s="73"/>
      <c r="J167" s="87"/>
      <c r="K167" s="87"/>
      <c r="O167" s="74"/>
      <c r="P167" s="75"/>
      <c r="Q167" s="73"/>
      <c r="R167" s="54"/>
      <c r="S167" s="54"/>
      <c r="U167" s="76"/>
      <c r="V167" s="76"/>
      <c r="W167" s="77" t="s">
        <v>133</v>
      </c>
      <c r="X167" s="508">
        <f>W164/U164</f>
        <v>0.98940545914841571</v>
      </c>
      <c r="Y167" s="508"/>
      <c r="Z167" s="559"/>
      <c r="AD167" s="84"/>
      <c r="AE167" s="79"/>
      <c r="AF167" s="80"/>
      <c r="AG167" s="80"/>
      <c r="AH167" s="80"/>
      <c r="AI167" s="80"/>
      <c r="AJ167" s="80"/>
      <c r="AK167" s="80"/>
      <c r="AL167" s="80"/>
      <c r="AM167" s="80"/>
      <c r="AN167" s="78"/>
      <c r="AO167" s="78"/>
      <c r="AP167" s="78"/>
      <c r="AQ167" s="78"/>
      <c r="AR167" s="78"/>
      <c r="AS167" s="80"/>
      <c r="AT167" s="80"/>
      <c r="AU167" s="80"/>
      <c r="AV167" s="80"/>
      <c r="AW167" s="80"/>
      <c r="AX167" s="80"/>
      <c r="AY167" s="80"/>
      <c r="AZ167" s="80"/>
      <c r="BA167" s="78"/>
      <c r="BB167" s="28"/>
      <c r="BC167" s="78"/>
      <c r="BD167" s="78"/>
      <c r="BE167" s="28"/>
      <c r="BF167" s="78"/>
    </row>
    <row r="168" spans="1:97">
      <c r="A168" s="70"/>
      <c r="B168" s="71"/>
      <c r="C168" s="71"/>
      <c r="D168" s="71"/>
      <c r="E168" s="72"/>
      <c r="F168" s="72"/>
      <c r="G168" s="73"/>
      <c r="H168" s="73"/>
      <c r="I168" s="73"/>
      <c r="J168" s="87"/>
      <c r="K168" s="87"/>
      <c r="O168" s="74"/>
      <c r="P168" s="75"/>
      <c r="Q168" s="73"/>
      <c r="R168" s="54"/>
      <c r="S168" s="54"/>
      <c r="U168" s="76"/>
      <c r="V168" s="76"/>
      <c r="W168" s="77"/>
      <c r="X168" s="78"/>
      <c r="Y168" s="78"/>
      <c r="Z168" s="54"/>
      <c r="AA168" s="90"/>
      <c r="AB168" s="90"/>
      <c r="AD168" s="84"/>
      <c r="AE168" s="79"/>
      <c r="AF168" s="80"/>
      <c r="AG168" s="80"/>
      <c r="AH168" s="80"/>
      <c r="AI168" s="80"/>
      <c r="AJ168" s="80"/>
      <c r="AK168" s="80"/>
      <c r="AL168" s="80"/>
      <c r="AM168" s="80"/>
      <c r="AN168" s="80"/>
      <c r="AO168" s="78"/>
      <c r="AP168" s="78"/>
      <c r="AQ168" s="78"/>
      <c r="AR168" s="80"/>
      <c r="AS168" s="78"/>
      <c r="AT168" s="78"/>
      <c r="AU168" s="78"/>
      <c r="AV168" s="78"/>
      <c r="AW168" s="78"/>
      <c r="AX168" s="78"/>
      <c r="AY168" s="78"/>
      <c r="AZ168" s="78"/>
      <c r="BA168" s="78"/>
      <c r="BB168" s="28"/>
      <c r="BC168" s="78"/>
      <c r="BD168" s="78"/>
      <c r="BE168" s="28"/>
      <c r="BF168" s="78"/>
    </row>
    <row r="169" spans="1:97">
      <c r="A169" s="70"/>
      <c r="B169" s="71"/>
      <c r="C169" s="71"/>
      <c r="D169" s="71"/>
      <c r="E169" s="72"/>
      <c r="F169" s="72"/>
      <c r="G169" s="73"/>
      <c r="H169" s="73"/>
      <c r="I169" s="73"/>
      <c r="J169" s="87"/>
      <c r="K169" s="87"/>
      <c r="O169" s="74"/>
      <c r="P169" s="75"/>
      <c r="Q169" s="73"/>
      <c r="R169" s="385"/>
      <c r="S169" s="54"/>
      <c r="U169" s="76"/>
      <c r="V169" s="76"/>
      <c r="W169" s="77" t="s">
        <v>156</v>
      </c>
      <c r="X169" s="374">
        <f>+W164+Y164</f>
        <v>1471.502</v>
      </c>
      <c r="Y169" s="78"/>
      <c r="Z169" s="54"/>
      <c r="AD169" s="84"/>
      <c r="AE169" s="79"/>
      <c r="AF169" s="84"/>
      <c r="AG169" s="84"/>
      <c r="AH169" s="84"/>
      <c r="AI169" s="84"/>
      <c r="AJ169" s="78"/>
      <c r="AK169" s="78"/>
      <c r="AL169" s="78"/>
      <c r="AM169" s="80"/>
      <c r="AN169" s="78"/>
      <c r="AO169" s="78"/>
      <c r="AP169" s="78"/>
      <c r="AQ169" s="78"/>
      <c r="AR169" s="80"/>
      <c r="AS169" s="78"/>
      <c r="AT169" s="78"/>
      <c r="AU169" s="78"/>
      <c r="AV169" s="78"/>
      <c r="AW169" s="78"/>
      <c r="AX169" s="78"/>
      <c r="AY169" s="78"/>
      <c r="AZ169" s="78"/>
      <c r="BA169" s="78"/>
      <c r="BB169" s="28"/>
      <c r="BC169" s="78"/>
      <c r="BD169" s="78"/>
      <c r="BE169" s="28"/>
      <c r="BF169" s="78"/>
    </row>
    <row r="170" spans="1:97">
      <c r="A170" s="70"/>
      <c r="C170" s="71" t="s">
        <v>296</v>
      </c>
      <c r="D170" s="71"/>
      <c r="E170" s="72"/>
      <c r="F170" s="72"/>
      <c r="G170" s="73"/>
      <c r="H170" s="73"/>
      <c r="I170" s="73"/>
      <c r="J170" s="87"/>
      <c r="K170" s="87"/>
      <c r="O170" s="74"/>
      <c r="P170" s="75"/>
      <c r="Q170" s="73"/>
      <c r="R170" s="385"/>
      <c r="S170" s="54"/>
      <c r="U170" s="76"/>
      <c r="V170" s="395"/>
      <c r="W170" s="396"/>
      <c r="X170" s="390"/>
      <c r="Y170" s="396"/>
      <c r="Z170" s="390"/>
      <c r="AD170" s="383"/>
      <c r="AE170" s="79"/>
      <c r="AF170" s="383"/>
      <c r="AG170" s="383"/>
      <c r="AH170" s="383"/>
      <c r="AI170" s="383"/>
      <c r="AJ170" s="78"/>
      <c r="AK170" s="78"/>
      <c r="AL170" s="78"/>
      <c r="AM170" s="78"/>
      <c r="AN170" s="78"/>
      <c r="AO170" s="78"/>
      <c r="AP170" s="78"/>
      <c r="AQ170" s="78"/>
      <c r="AR170" s="78"/>
      <c r="AS170" s="78"/>
      <c r="AT170" s="78"/>
      <c r="AU170" s="78"/>
      <c r="AV170" s="78"/>
      <c r="AW170" s="78"/>
      <c r="AX170" s="78"/>
      <c r="AY170" s="78"/>
      <c r="AZ170" s="78"/>
      <c r="BA170" s="78"/>
      <c r="BB170" s="28"/>
      <c r="BC170" s="78"/>
      <c r="BD170" s="78"/>
      <c r="BE170" s="28"/>
      <c r="BF170" s="78"/>
    </row>
    <row r="171" spans="1:97">
      <c r="A171" s="70"/>
      <c r="B171" s="71"/>
      <c r="C171" s="71" t="s">
        <v>297</v>
      </c>
      <c r="D171" s="71"/>
      <c r="E171" s="72"/>
      <c r="F171" s="72"/>
      <c r="G171" s="73"/>
      <c r="H171" s="73"/>
      <c r="I171" s="73"/>
      <c r="J171" s="87"/>
      <c r="K171" s="87"/>
      <c r="O171" s="74"/>
      <c r="P171" s="75"/>
      <c r="Q171" s="73"/>
      <c r="R171" s="385"/>
      <c r="S171" s="54"/>
      <c r="V171" s="388"/>
      <c r="W171" s="389" t="s">
        <v>385</v>
      </c>
      <c r="X171" s="388"/>
      <c r="Y171" s="388"/>
      <c r="Z171" s="390"/>
      <c r="AE171" s="79"/>
      <c r="AF171" s="54"/>
      <c r="AG171" s="54"/>
      <c r="AH171" s="54"/>
      <c r="AI171" s="54"/>
      <c r="AJ171" s="54"/>
      <c r="AK171" s="54"/>
      <c r="AL171" s="54"/>
      <c r="AM171" s="54"/>
      <c r="AN171" s="54"/>
      <c r="AO171" s="54"/>
      <c r="AP171" s="54"/>
      <c r="AQ171" s="54"/>
      <c r="AS171" s="54"/>
      <c r="AT171" s="54"/>
      <c r="AU171" s="54"/>
      <c r="AV171" s="54"/>
      <c r="AW171" s="54"/>
      <c r="AX171" s="54"/>
      <c r="AY171" s="54"/>
      <c r="AZ171" s="54"/>
      <c r="BA171" s="54"/>
      <c r="BB171" s="28"/>
      <c r="BE171" s="28"/>
    </row>
    <row r="172" spans="1:97">
      <c r="A172" s="70"/>
      <c r="B172" s="71"/>
      <c r="C172" s="71"/>
      <c r="D172" s="71"/>
      <c r="E172" s="72"/>
      <c r="F172" s="72"/>
      <c r="G172" s="73"/>
      <c r="H172" s="73"/>
      <c r="I172" s="73"/>
      <c r="J172" s="87"/>
      <c r="K172" s="87"/>
      <c r="O172" s="74"/>
      <c r="P172" s="75"/>
      <c r="Q172" s="73"/>
      <c r="R172" s="385"/>
      <c r="S172" s="54"/>
      <c r="V172" s="388"/>
      <c r="W172" s="391" t="s">
        <v>292</v>
      </c>
      <c r="X172" s="509">
        <f>Y165</f>
        <v>1.9781505559950531E-3</v>
      </c>
      <c r="Y172" s="392"/>
      <c r="Z172" s="390"/>
      <c r="AE172" s="79"/>
      <c r="AF172" s="54"/>
      <c r="AG172" s="54"/>
      <c r="AH172" s="54"/>
      <c r="AI172" s="54"/>
      <c r="AJ172" s="54"/>
      <c r="AK172" s="54"/>
      <c r="AL172" s="54"/>
      <c r="AM172" s="54"/>
      <c r="AN172" s="54"/>
      <c r="AO172" s="54"/>
      <c r="AP172" s="54"/>
      <c r="AQ172" s="54"/>
      <c r="AS172" s="54"/>
      <c r="AT172" s="54"/>
      <c r="AU172" s="54"/>
      <c r="AV172" s="54"/>
      <c r="AW172" s="54"/>
      <c r="AX172" s="54"/>
      <c r="AY172" s="54"/>
      <c r="AZ172" s="54"/>
      <c r="BA172" s="54"/>
      <c r="BB172" s="28"/>
      <c r="BE172" s="28"/>
    </row>
    <row r="173" spans="1:97">
      <c r="R173" s="90"/>
      <c r="V173" s="388"/>
      <c r="W173" s="391" t="s">
        <v>160</v>
      </c>
      <c r="X173" s="394">
        <f>Z165</f>
        <v>2.4380392802380597E-3</v>
      </c>
      <c r="Y173" s="393"/>
      <c r="Z173" s="388"/>
    </row>
    <row r="174" spans="1:97">
      <c r="R174" s="90"/>
      <c r="V174" s="388"/>
      <c r="W174" s="391" t="s">
        <v>161</v>
      </c>
      <c r="X174" s="394">
        <f>AC165</f>
        <v>3.2390636225725543E-2</v>
      </c>
      <c r="Y174" s="394"/>
      <c r="Z174" s="388"/>
    </row>
    <row r="175" spans="1:97" ht="15" customHeight="1">
      <c r="R175" s="90"/>
      <c r="V175" s="388"/>
      <c r="W175" s="391" t="s">
        <v>162</v>
      </c>
      <c r="X175" s="394">
        <f>AA165</f>
        <v>5.1857744611999903E-3</v>
      </c>
      <c r="Y175" s="393"/>
      <c r="Z175" s="388"/>
    </row>
    <row r="176" spans="1:97">
      <c r="V176" s="388"/>
      <c r="W176" s="391" t="s">
        <v>178</v>
      </c>
      <c r="X176" s="394">
        <f>AB165</f>
        <v>-3.1591077634170557E-3</v>
      </c>
      <c r="Y176" s="393" t="s">
        <v>176</v>
      </c>
      <c r="Z176" s="388"/>
    </row>
    <row r="177" spans="22:26">
      <c r="V177" s="388"/>
      <c r="W177" s="391" t="s">
        <v>203</v>
      </c>
      <c r="X177" s="394">
        <f>AF165</f>
        <v>2.0666340416194574E-4</v>
      </c>
      <c r="Y177" s="393"/>
      <c r="Z177" s="388"/>
    </row>
    <row r="178" spans="22:26">
      <c r="V178" s="388"/>
      <c r="W178" s="391" t="s">
        <v>204</v>
      </c>
      <c r="X178" s="394">
        <f>+AG165</f>
        <v>7.4858077507549232E-3</v>
      </c>
      <c r="Y178" s="393"/>
      <c r="Z178" s="388"/>
    </row>
    <row r="179" spans="22:26">
      <c r="V179" s="388"/>
      <c r="W179" s="391" t="s">
        <v>298</v>
      </c>
      <c r="X179" s="394">
        <f>+AH165</f>
        <v>1.5614568314458122E-2</v>
      </c>
      <c r="Y179" s="393"/>
      <c r="Z179" s="388"/>
    </row>
    <row r="180" spans="22:26">
      <c r="V180" s="388"/>
      <c r="W180" s="391" t="s">
        <v>229</v>
      </c>
      <c r="X180" s="394">
        <f>+AI165</f>
        <v>8.7946759771139124E-3</v>
      </c>
      <c r="Y180" s="393"/>
      <c r="Z180" s="388"/>
    </row>
    <row r="181" spans="22:26">
      <c r="V181" s="388"/>
      <c r="W181" s="391" t="s">
        <v>169</v>
      </c>
      <c r="X181" s="394">
        <f>+AJ165</f>
        <v>0</v>
      </c>
      <c r="Y181" s="393"/>
      <c r="Z181" s="388"/>
    </row>
    <row r="182" spans="22:26">
      <c r="V182" s="388"/>
      <c r="W182" s="391" t="s">
        <v>171</v>
      </c>
      <c r="X182" s="394">
        <f>+AK165</f>
        <v>7.5776581526046773E-4</v>
      </c>
      <c r="Y182" s="393"/>
      <c r="Z182" s="388"/>
    </row>
    <row r="183" spans="22:26">
      <c r="V183" s="388"/>
      <c r="W183" s="391" t="s">
        <v>170</v>
      </c>
      <c r="X183" s="394">
        <f>+AL165</f>
        <v>0</v>
      </c>
      <c r="Y183" s="393"/>
      <c r="Z183" s="388"/>
    </row>
    <row r="184" spans="22:26">
      <c r="V184" s="388"/>
      <c r="W184" s="391" t="s">
        <v>163</v>
      </c>
      <c r="X184" s="394">
        <f>+AN165</f>
        <v>1.3708672476075734E-2</v>
      </c>
      <c r="Y184" s="393"/>
      <c r="Z184" s="388"/>
    </row>
    <row r="185" spans="22:26">
      <c r="V185" s="388"/>
      <c r="W185" s="391" t="s">
        <v>173</v>
      </c>
      <c r="X185" s="394">
        <f>+AO165</f>
        <v>0</v>
      </c>
      <c r="Y185" s="393"/>
      <c r="Z185" s="388"/>
    </row>
    <row r="186" spans="22:26">
      <c r="V186" s="388"/>
      <c r="W186" s="391" t="s">
        <v>164</v>
      </c>
      <c r="X186" s="394">
        <f>+AP165</f>
        <v>3.9036420786145304E-3</v>
      </c>
      <c r="Y186" s="393"/>
      <c r="Z186" s="388"/>
    </row>
    <row r="187" spans="22:26">
      <c r="V187" s="388"/>
      <c r="W187" s="391" t="s">
        <v>172</v>
      </c>
      <c r="X187" s="394">
        <f>+AQ165</f>
        <v>0</v>
      </c>
      <c r="Y187" s="393"/>
      <c r="Z187" s="388"/>
    </row>
    <row r="188" spans="22:26">
      <c r="V188" s="388"/>
      <c r="W188" s="391" t="s">
        <v>175</v>
      </c>
      <c r="X188" s="394">
        <f>+AS165</f>
        <v>1.3984223681624997E-2</v>
      </c>
      <c r="Y188" s="393"/>
      <c r="Z188" s="388"/>
    </row>
    <row r="189" spans="22:26">
      <c r="V189" s="388"/>
      <c r="W189" s="391" t="s">
        <v>299</v>
      </c>
      <c r="X189" s="394">
        <f>+AT165</f>
        <v>0</v>
      </c>
      <c r="Y189" s="393"/>
      <c r="Z189" s="388"/>
    </row>
    <row r="190" spans="22:26">
      <c r="V190" s="388"/>
      <c r="W190" s="391" t="s">
        <v>242</v>
      </c>
      <c r="X190" s="394">
        <f>+AU165</f>
        <v>0</v>
      </c>
      <c r="Y190" s="393"/>
      <c r="Z190" s="388"/>
    </row>
    <row r="191" spans="22:26">
      <c r="V191" s="388"/>
      <c r="W191" s="391" t="s">
        <v>302</v>
      </c>
      <c r="X191" s="394">
        <f>+AW165</f>
        <v>0</v>
      </c>
      <c r="Y191" s="393"/>
      <c r="Z191" s="388"/>
    </row>
    <row r="192" spans="22:26">
      <c r="V192" s="388"/>
      <c r="W192" s="391" t="s">
        <v>303</v>
      </c>
      <c r="X192" s="394">
        <f>+AV165</f>
        <v>0</v>
      </c>
      <c r="Y192" s="393"/>
      <c r="Z192" s="388"/>
    </row>
    <row r="193" spans="22:26">
      <c r="V193" s="388"/>
      <c r="W193" s="388" t="s">
        <v>174</v>
      </c>
      <c r="X193" s="394">
        <f>+AX165+AY165</f>
        <v>0</v>
      </c>
      <c r="Y193" s="394"/>
      <c r="Z193" s="388"/>
    </row>
    <row r="194" spans="22:26">
      <c r="V194" s="388"/>
      <c r="W194" s="388" t="s">
        <v>301</v>
      </c>
      <c r="X194" s="394">
        <f>+AZ166</f>
        <v>0</v>
      </c>
      <c r="Y194" s="388"/>
      <c r="Z194" s="388"/>
    </row>
    <row r="195" spans="22:26">
      <c r="V195" s="388"/>
      <c r="W195" s="388"/>
      <c r="X195" s="517">
        <f>SUM(X172:X194)</f>
        <v>0.10328951225780622</v>
      </c>
      <c r="Y195" s="388"/>
      <c r="Z195" s="388"/>
    </row>
    <row r="197" spans="22:26">
      <c r="X197" s="90">
        <f>+X195+X164</f>
        <v>0.99999999999999967</v>
      </c>
    </row>
  </sheetData>
  <mergeCells count="50">
    <mergeCell ref="O165:P165"/>
    <mergeCell ref="T3:T5"/>
    <mergeCell ref="P3:P5"/>
    <mergeCell ref="G3:K4"/>
    <mergeCell ref="L3:N4"/>
    <mergeCell ref="O3:O5"/>
    <mergeCell ref="Q3:Q5"/>
    <mergeCell ref="R3:R5"/>
    <mergeCell ref="S3:S5"/>
    <mergeCell ref="AF3:AL3"/>
    <mergeCell ref="AJ4:AJ5"/>
    <mergeCell ref="A3:A5"/>
    <mergeCell ref="B3:B5"/>
    <mergeCell ref="D3:D5"/>
    <mergeCell ref="E3:E5"/>
    <mergeCell ref="F3:F5"/>
    <mergeCell ref="C3:C5"/>
    <mergeCell ref="V3:V5"/>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s>
  <phoneticPr fontId="30" type="noConversion"/>
  <conditionalFormatting sqref="C165 C163 B163:B165">
    <cfRule type="cellIs" dxfId="3507" priority="4565" stopIfTrue="1" operator="equal">
      <formula>"Towel"</formula>
    </cfRule>
    <cfRule type="cellIs" dxfId="3506" priority="4566" stopIfTrue="1" operator="equal">
      <formula>"Napkin Hs"</formula>
    </cfRule>
  </conditionalFormatting>
  <conditionalFormatting sqref="C11">
    <cfRule type="cellIs" dxfId="3505" priority="4077" stopIfTrue="1" operator="equal">
      <formula>"Towel"</formula>
    </cfRule>
    <cfRule type="cellIs" dxfId="3504" priority="4078" stopIfTrue="1" operator="equal">
      <formula>"Napkin Hs"</formula>
    </cfRule>
  </conditionalFormatting>
  <conditionalFormatting sqref="B57:C57">
    <cfRule type="cellIs" dxfId="3503" priority="4427" stopIfTrue="1" operator="equal">
      <formula>"Towel"</formula>
    </cfRule>
    <cfRule type="cellIs" dxfId="3502" priority="4428" stopIfTrue="1" operator="equal">
      <formula>"Napkin Hs"</formula>
    </cfRule>
  </conditionalFormatting>
  <conditionalFormatting sqref="C11">
    <cfRule type="cellIs" dxfId="3501" priority="4083" stopIfTrue="1" operator="equal">
      <formula>"Towel"</formula>
    </cfRule>
    <cfRule type="cellIs" dxfId="3500" priority="4084" stopIfTrue="1" operator="equal">
      <formula>"Napkin Hs"</formula>
    </cfRule>
  </conditionalFormatting>
  <conditionalFormatting sqref="B11">
    <cfRule type="cellIs" dxfId="3499" priority="4037" stopIfTrue="1" operator="equal">
      <formula>"Towel"</formula>
    </cfRule>
    <cfRule type="cellIs" dxfId="3498" priority="4038" stopIfTrue="1" operator="equal">
      <formula>"Napkin Hs"</formula>
    </cfRule>
  </conditionalFormatting>
  <conditionalFormatting sqref="C11">
    <cfRule type="cellIs" dxfId="3497" priority="4081" stopIfTrue="1" operator="equal">
      <formula>"Towel"</formula>
    </cfRule>
    <cfRule type="cellIs" dxfId="3496" priority="4082" stopIfTrue="1" operator="equal">
      <formula>"Napkin Hs"</formula>
    </cfRule>
  </conditionalFormatting>
  <conditionalFormatting sqref="C57">
    <cfRule type="cellIs" dxfId="3495" priority="4425" stopIfTrue="1" operator="equal">
      <formula>"Towel"</formula>
    </cfRule>
    <cfRule type="cellIs" dxfId="3494" priority="4426" stopIfTrue="1" operator="equal">
      <formula>"Napkin Hs"</formula>
    </cfRule>
  </conditionalFormatting>
  <conditionalFormatting sqref="C57">
    <cfRule type="cellIs" dxfId="3493" priority="4423" stopIfTrue="1" operator="equal">
      <formula>"Towel"</formula>
    </cfRule>
    <cfRule type="cellIs" dxfId="3492" priority="4424" stopIfTrue="1" operator="equal">
      <formula>"Napkin Hs"</formula>
    </cfRule>
  </conditionalFormatting>
  <conditionalFormatting sqref="C10">
    <cfRule type="cellIs" dxfId="3491" priority="4049" stopIfTrue="1" operator="equal">
      <formula>"Towel"</formula>
    </cfRule>
    <cfRule type="cellIs" dxfId="3490" priority="4050" stopIfTrue="1" operator="equal">
      <formula>"Napkin Hs"</formula>
    </cfRule>
  </conditionalFormatting>
  <conditionalFormatting sqref="C10">
    <cfRule type="cellIs" dxfId="3489" priority="4051" stopIfTrue="1" operator="equal">
      <formula>"Towel"</formula>
    </cfRule>
    <cfRule type="cellIs" dxfId="3488" priority="4052" stopIfTrue="1" operator="equal">
      <formula>"Napkin Hs"</formula>
    </cfRule>
  </conditionalFormatting>
  <conditionalFormatting sqref="C11">
    <cfRule type="cellIs" dxfId="3487" priority="4053" stopIfTrue="1" operator="equal">
      <formula>"Towel"</formula>
    </cfRule>
    <cfRule type="cellIs" dxfId="3486" priority="4054" stopIfTrue="1" operator="equal">
      <formula>"Napkin Hs"</formula>
    </cfRule>
  </conditionalFormatting>
  <conditionalFormatting sqref="C11">
    <cfRule type="cellIs" dxfId="3485" priority="4055" stopIfTrue="1" operator="equal">
      <formula>"Towel"</formula>
    </cfRule>
    <cfRule type="cellIs" dxfId="3484" priority="4056" stopIfTrue="1" operator="equal">
      <formula>"Napkin Hs"</formula>
    </cfRule>
  </conditionalFormatting>
  <conditionalFormatting sqref="C11">
    <cfRule type="cellIs" dxfId="3483" priority="4057" stopIfTrue="1" operator="equal">
      <formula>"Towel"</formula>
    </cfRule>
    <cfRule type="cellIs" dxfId="3482" priority="4058" stopIfTrue="1" operator="equal">
      <formula>"Napkin Hs"</formula>
    </cfRule>
  </conditionalFormatting>
  <conditionalFormatting sqref="B10:C10">
    <cfRule type="cellIs" dxfId="3481" priority="4047" stopIfTrue="1" operator="equal">
      <formula>"Towel"</formula>
    </cfRule>
    <cfRule type="cellIs" dxfId="3480" priority="4048" stopIfTrue="1" operator="equal">
      <formula>"Napkin Hs"</formula>
    </cfRule>
  </conditionalFormatting>
  <conditionalFormatting sqref="B10:C10">
    <cfRule type="cellIs" dxfId="3479" priority="4041" stopIfTrue="1" operator="equal">
      <formula>"Towel"</formula>
    </cfRule>
    <cfRule type="cellIs" dxfId="3478" priority="4042" stopIfTrue="1" operator="equal">
      <formula>"Napkin Hs"</formula>
    </cfRule>
  </conditionalFormatting>
  <conditionalFormatting sqref="C10">
    <cfRule type="cellIs" dxfId="3477" priority="4043" stopIfTrue="1" operator="equal">
      <formula>"Towel"</formula>
    </cfRule>
    <cfRule type="cellIs" dxfId="3476" priority="4044" stopIfTrue="1" operator="equal">
      <formula>"Napkin Hs"</formula>
    </cfRule>
  </conditionalFormatting>
  <conditionalFormatting sqref="C10">
    <cfRule type="cellIs" dxfId="3475" priority="4045" stopIfTrue="1" operator="equal">
      <formula>"Towel"</formula>
    </cfRule>
    <cfRule type="cellIs" dxfId="3474" priority="4046" stopIfTrue="1" operator="equal">
      <formula>"Napkin Hs"</formula>
    </cfRule>
  </conditionalFormatting>
  <conditionalFormatting sqref="B11">
    <cfRule type="cellIs" dxfId="3473" priority="4039" stopIfTrue="1" operator="equal">
      <formula>"Towel"</formula>
    </cfRule>
    <cfRule type="cellIs" dxfId="3472" priority="4040" stopIfTrue="1" operator="equal">
      <formula>"Napkin Hs"</formula>
    </cfRule>
  </conditionalFormatting>
  <conditionalFormatting sqref="B45:C45">
    <cfRule type="cellIs" dxfId="3471" priority="3741" stopIfTrue="1" operator="equal">
      <formula>"Towel"</formula>
    </cfRule>
    <cfRule type="cellIs" dxfId="3470" priority="3742" stopIfTrue="1" operator="equal">
      <formula>"Napkin Hs"</formula>
    </cfRule>
  </conditionalFormatting>
  <conditionalFormatting sqref="C45">
    <cfRule type="cellIs" dxfId="3469" priority="3737" stopIfTrue="1" operator="equal">
      <formula>"Towel"</formula>
    </cfRule>
    <cfRule type="cellIs" dxfId="3468" priority="3738" stopIfTrue="1" operator="equal">
      <formula>"Napkin Hs"</formula>
    </cfRule>
  </conditionalFormatting>
  <conditionalFormatting sqref="C45">
    <cfRule type="cellIs" dxfId="3467" priority="3739" stopIfTrue="1" operator="equal">
      <formula>"Towel"</formula>
    </cfRule>
    <cfRule type="cellIs" dxfId="3466" priority="3740" stopIfTrue="1" operator="equal">
      <formula>"Napkin Hs"</formula>
    </cfRule>
  </conditionalFormatting>
  <conditionalFormatting sqref="C43">
    <cfRule type="cellIs" dxfId="3465" priority="3705" stopIfTrue="1" operator="equal">
      <formula>"Towel"</formula>
    </cfRule>
    <cfRule type="cellIs" dxfId="3464" priority="3706" stopIfTrue="1" operator="equal">
      <formula>"Napkin Hs"</formula>
    </cfRule>
  </conditionalFormatting>
  <conditionalFormatting sqref="B43:C43">
    <cfRule type="cellIs" dxfId="3463" priority="3707" stopIfTrue="1" operator="equal">
      <formula>"Towel"</formula>
    </cfRule>
    <cfRule type="cellIs" dxfId="3462" priority="3708" stopIfTrue="1" operator="equal">
      <formula>"Napkin Hs"</formula>
    </cfRule>
  </conditionalFormatting>
  <conditionalFormatting sqref="C43">
    <cfRule type="cellIs" dxfId="3461" priority="3703" stopIfTrue="1" operator="equal">
      <formula>"Towel"</formula>
    </cfRule>
    <cfRule type="cellIs" dxfId="3460" priority="3704" stopIfTrue="1" operator="equal">
      <formula>"Napkin Hs"</formula>
    </cfRule>
  </conditionalFormatting>
  <conditionalFormatting sqref="B43:C43">
    <cfRule type="cellIs" dxfId="3459" priority="3701" stopIfTrue="1" operator="equal">
      <formula>"Towel"</formula>
    </cfRule>
    <cfRule type="cellIs" dxfId="3458" priority="3702" stopIfTrue="1" operator="equal">
      <formula>"Napkin Hs"</formula>
    </cfRule>
  </conditionalFormatting>
  <conditionalFormatting sqref="C43">
    <cfRule type="cellIs" dxfId="3457" priority="3709" stopIfTrue="1" operator="equal">
      <formula>"Towel"</formula>
    </cfRule>
    <cfRule type="cellIs" dxfId="3456" priority="3710" stopIfTrue="1" operator="equal">
      <formula>"Napkin Hs"</formula>
    </cfRule>
  </conditionalFormatting>
  <conditionalFormatting sqref="C43">
    <cfRule type="cellIs" dxfId="3455" priority="3711" stopIfTrue="1" operator="equal">
      <formula>"Towel"</formula>
    </cfRule>
    <cfRule type="cellIs" dxfId="3454" priority="3712" stopIfTrue="1" operator="equal">
      <formula>"Napkin Hs"</formula>
    </cfRule>
  </conditionalFormatting>
  <conditionalFormatting sqref="C46">
    <cfRule type="cellIs" dxfId="3453" priority="3681" stopIfTrue="1" operator="equal">
      <formula>"Towel"</formula>
    </cfRule>
    <cfRule type="cellIs" dxfId="3452" priority="3682" stopIfTrue="1" operator="equal">
      <formula>"Napkin Hs"</formula>
    </cfRule>
  </conditionalFormatting>
  <conditionalFormatting sqref="B46:C46">
    <cfRule type="cellIs" dxfId="3451" priority="3683" stopIfTrue="1" operator="equal">
      <formula>"Towel"</formula>
    </cfRule>
    <cfRule type="cellIs" dxfId="3450" priority="3684" stopIfTrue="1" operator="equal">
      <formula>"Napkin Hs"</formula>
    </cfRule>
  </conditionalFormatting>
  <conditionalFormatting sqref="C46">
    <cfRule type="cellIs" dxfId="3449" priority="3679" stopIfTrue="1" operator="equal">
      <formula>"Towel"</formula>
    </cfRule>
    <cfRule type="cellIs" dxfId="3448" priority="3680" stopIfTrue="1" operator="equal">
      <formula>"Napkin Hs"</formula>
    </cfRule>
  </conditionalFormatting>
  <conditionalFormatting sqref="B46:C46">
    <cfRule type="cellIs" dxfId="3447" priority="3677" stopIfTrue="1" operator="equal">
      <formula>"Towel"</formula>
    </cfRule>
    <cfRule type="cellIs" dxfId="3446" priority="3678" stopIfTrue="1" operator="equal">
      <formula>"Napkin Hs"</formula>
    </cfRule>
  </conditionalFormatting>
  <conditionalFormatting sqref="C46">
    <cfRule type="cellIs" dxfId="3445" priority="3685" stopIfTrue="1" operator="equal">
      <formula>"Towel"</formula>
    </cfRule>
    <cfRule type="cellIs" dxfId="3444" priority="3686" stopIfTrue="1" operator="equal">
      <formula>"Napkin Hs"</formula>
    </cfRule>
  </conditionalFormatting>
  <conditionalFormatting sqref="C46">
    <cfRule type="cellIs" dxfId="3443" priority="3687" stopIfTrue="1" operator="equal">
      <formula>"Towel"</formula>
    </cfRule>
    <cfRule type="cellIs" dxfId="3442" priority="3688" stopIfTrue="1" operator="equal">
      <formula>"Napkin Hs"</formula>
    </cfRule>
  </conditionalFormatting>
  <conditionalFormatting sqref="C47">
    <cfRule type="cellIs" dxfId="3441" priority="3669" stopIfTrue="1" operator="equal">
      <formula>"Towel"</formula>
    </cfRule>
    <cfRule type="cellIs" dxfId="3440" priority="3670" stopIfTrue="1" operator="equal">
      <formula>"Napkin Hs"</formula>
    </cfRule>
  </conditionalFormatting>
  <conditionalFormatting sqref="B47:C47">
    <cfRule type="cellIs" dxfId="3439" priority="3671" stopIfTrue="1" operator="equal">
      <formula>"Towel"</formula>
    </cfRule>
    <cfRule type="cellIs" dxfId="3438" priority="3672" stopIfTrue="1" operator="equal">
      <formula>"Napkin Hs"</formula>
    </cfRule>
  </conditionalFormatting>
  <conditionalFormatting sqref="C47">
    <cfRule type="cellIs" dxfId="3437" priority="3667" stopIfTrue="1" operator="equal">
      <formula>"Towel"</formula>
    </cfRule>
    <cfRule type="cellIs" dxfId="3436" priority="3668" stopIfTrue="1" operator="equal">
      <formula>"Napkin Hs"</formula>
    </cfRule>
  </conditionalFormatting>
  <conditionalFormatting sqref="B47:C47">
    <cfRule type="cellIs" dxfId="3435" priority="3665" stopIfTrue="1" operator="equal">
      <formula>"Towel"</formula>
    </cfRule>
    <cfRule type="cellIs" dxfId="3434" priority="3666" stopIfTrue="1" operator="equal">
      <formula>"Napkin Hs"</formula>
    </cfRule>
  </conditionalFormatting>
  <conditionalFormatting sqref="C47">
    <cfRule type="cellIs" dxfId="3433" priority="3673" stopIfTrue="1" operator="equal">
      <formula>"Towel"</formula>
    </cfRule>
    <cfRule type="cellIs" dxfId="3432" priority="3674" stopIfTrue="1" operator="equal">
      <formula>"Napkin Hs"</formula>
    </cfRule>
  </conditionalFormatting>
  <conditionalFormatting sqref="C47">
    <cfRule type="cellIs" dxfId="3431" priority="3675" stopIfTrue="1" operator="equal">
      <formula>"Towel"</formula>
    </cfRule>
    <cfRule type="cellIs" dxfId="3430" priority="3676" stopIfTrue="1" operator="equal">
      <formula>"Napkin Hs"</formula>
    </cfRule>
  </conditionalFormatting>
  <conditionalFormatting sqref="C44">
    <cfRule type="cellIs" dxfId="3429" priority="3657" stopIfTrue="1" operator="equal">
      <formula>"Towel"</formula>
    </cfRule>
    <cfRule type="cellIs" dxfId="3428" priority="3658" stopIfTrue="1" operator="equal">
      <formula>"Napkin Hs"</formula>
    </cfRule>
  </conditionalFormatting>
  <conditionalFormatting sqref="B44:C44">
    <cfRule type="cellIs" dxfId="3427" priority="3659" stopIfTrue="1" operator="equal">
      <formula>"Towel"</formula>
    </cfRule>
    <cfRule type="cellIs" dxfId="3426" priority="3660" stopIfTrue="1" operator="equal">
      <formula>"Napkin Hs"</formula>
    </cfRule>
  </conditionalFormatting>
  <conditionalFormatting sqref="C44">
    <cfRule type="cellIs" dxfId="3425" priority="3655" stopIfTrue="1" operator="equal">
      <formula>"Towel"</formula>
    </cfRule>
    <cfRule type="cellIs" dxfId="3424" priority="3656" stopIfTrue="1" operator="equal">
      <formula>"Napkin Hs"</formula>
    </cfRule>
  </conditionalFormatting>
  <conditionalFormatting sqref="B44:C44">
    <cfRule type="cellIs" dxfId="3423" priority="3653" stopIfTrue="1" operator="equal">
      <formula>"Towel"</formula>
    </cfRule>
    <cfRule type="cellIs" dxfId="3422" priority="3654" stopIfTrue="1" operator="equal">
      <formula>"Napkin Hs"</formula>
    </cfRule>
  </conditionalFormatting>
  <conditionalFormatting sqref="C44">
    <cfRule type="cellIs" dxfId="3421" priority="3661" stopIfTrue="1" operator="equal">
      <formula>"Towel"</formula>
    </cfRule>
    <cfRule type="cellIs" dxfId="3420" priority="3662" stopIfTrue="1" operator="equal">
      <formula>"Napkin Hs"</formula>
    </cfRule>
  </conditionalFormatting>
  <conditionalFormatting sqref="C44">
    <cfRule type="cellIs" dxfId="3419" priority="3663" stopIfTrue="1" operator="equal">
      <formula>"Towel"</formula>
    </cfRule>
    <cfRule type="cellIs" dxfId="3418" priority="3664" stopIfTrue="1" operator="equal">
      <formula>"Napkin Hs"</formula>
    </cfRule>
  </conditionalFormatting>
  <conditionalFormatting sqref="C43">
    <cfRule type="cellIs" dxfId="3417" priority="3633" stopIfTrue="1" operator="equal">
      <formula>"Towel"</formula>
    </cfRule>
    <cfRule type="cellIs" dxfId="3416" priority="3634" stopIfTrue="1" operator="equal">
      <formula>"Napkin Hs"</formula>
    </cfRule>
  </conditionalFormatting>
  <conditionalFormatting sqref="B43:C43">
    <cfRule type="cellIs" dxfId="3415" priority="3635" stopIfTrue="1" operator="equal">
      <formula>"Towel"</formula>
    </cfRule>
    <cfRule type="cellIs" dxfId="3414" priority="3636" stopIfTrue="1" operator="equal">
      <formula>"Napkin Hs"</formula>
    </cfRule>
  </conditionalFormatting>
  <conditionalFormatting sqref="C43">
    <cfRule type="cellIs" dxfId="3413" priority="3631" stopIfTrue="1" operator="equal">
      <formula>"Towel"</formula>
    </cfRule>
    <cfRule type="cellIs" dxfId="3412" priority="3632" stopIfTrue="1" operator="equal">
      <formula>"Napkin Hs"</formula>
    </cfRule>
  </conditionalFormatting>
  <conditionalFormatting sqref="B43:C43">
    <cfRule type="cellIs" dxfId="3411" priority="3629" stopIfTrue="1" operator="equal">
      <formula>"Towel"</formula>
    </cfRule>
    <cfRule type="cellIs" dxfId="3410" priority="3630" stopIfTrue="1" operator="equal">
      <formula>"Napkin Hs"</formula>
    </cfRule>
  </conditionalFormatting>
  <conditionalFormatting sqref="C43">
    <cfRule type="cellIs" dxfId="3409" priority="3637" stopIfTrue="1" operator="equal">
      <formula>"Towel"</formula>
    </cfRule>
    <cfRule type="cellIs" dxfId="3408" priority="3638" stopIfTrue="1" operator="equal">
      <formula>"Napkin Hs"</formula>
    </cfRule>
  </conditionalFormatting>
  <conditionalFormatting sqref="C43">
    <cfRule type="cellIs" dxfId="3407" priority="3639" stopIfTrue="1" operator="equal">
      <formula>"Towel"</formula>
    </cfRule>
    <cfRule type="cellIs" dxfId="3406" priority="3640" stopIfTrue="1" operator="equal">
      <formula>"Napkin Hs"</formula>
    </cfRule>
  </conditionalFormatting>
  <conditionalFormatting sqref="C52">
    <cfRule type="cellIs" dxfId="3405" priority="3593" stopIfTrue="1" operator="equal">
      <formula>"Towel"</formula>
    </cfRule>
    <cfRule type="cellIs" dxfId="3404" priority="3594" stopIfTrue="1" operator="equal">
      <formula>"Napkin Hs"</formula>
    </cfRule>
  </conditionalFormatting>
  <conditionalFormatting sqref="B52:C52">
    <cfRule type="cellIs" dxfId="3403" priority="3595" stopIfTrue="1" operator="equal">
      <formula>"Towel"</formula>
    </cfRule>
    <cfRule type="cellIs" dxfId="3402" priority="3596" stopIfTrue="1" operator="equal">
      <formula>"Napkin Hs"</formula>
    </cfRule>
  </conditionalFormatting>
  <conditionalFormatting sqref="C52">
    <cfRule type="cellIs" dxfId="3401" priority="3591" stopIfTrue="1" operator="equal">
      <formula>"Towel"</formula>
    </cfRule>
    <cfRule type="cellIs" dxfId="3400" priority="3592" stopIfTrue="1" operator="equal">
      <formula>"Napkin Hs"</formula>
    </cfRule>
  </conditionalFormatting>
  <conditionalFormatting sqref="B52:C52">
    <cfRule type="cellIs" dxfId="3399" priority="3589" stopIfTrue="1" operator="equal">
      <formula>"Towel"</formula>
    </cfRule>
    <cfRule type="cellIs" dxfId="3398" priority="3590" stopIfTrue="1" operator="equal">
      <formula>"Napkin Hs"</formula>
    </cfRule>
  </conditionalFormatting>
  <conditionalFormatting sqref="C52">
    <cfRule type="cellIs" dxfId="3397" priority="3597" stopIfTrue="1" operator="equal">
      <formula>"Towel"</formula>
    </cfRule>
    <cfRule type="cellIs" dxfId="3396" priority="3598" stopIfTrue="1" operator="equal">
      <formula>"Napkin Hs"</formula>
    </cfRule>
  </conditionalFormatting>
  <conditionalFormatting sqref="C52">
    <cfRule type="cellIs" dxfId="3395" priority="3599" stopIfTrue="1" operator="equal">
      <formula>"Towel"</formula>
    </cfRule>
    <cfRule type="cellIs" dxfId="3394" priority="3600" stopIfTrue="1" operator="equal">
      <formula>"Napkin Hs"</formula>
    </cfRule>
  </conditionalFormatting>
  <conditionalFormatting sqref="C52">
    <cfRule type="cellIs" dxfId="3393" priority="3557" stopIfTrue="1" operator="equal">
      <formula>"Towel"</formula>
    </cfRule>
    <cfRule type="cellIs" dxfId="3392" priority="3558" stopIfTrue="1" operator="equal">
      <formula>"Napkin Hs"</formula>
    </cfRule>
  </conditionalFormatting>
  <conditionalFormatting sqref="B52:C52">
    <cfRule type="cellIs" dxfId="3391" priority="3559" stopIfTrue="1" operator="equal">
      <formula>"Towel"</formula>
    </cfRule>
    <cfRule type="cellIs" dxfId="3390" priority="3560" stopIfTrue="1" operator="equal">
      <formula>"Napkin Hs"</formula>
    </cfRule>
  </conditionalFormatting>
  <conditionalFormatting sqref="C52">
    <cfRule type="cellIs" dxfId="3389" priority="3555" stopIfTrue="1" operator="equal">
      <formula>"Towel"</formula>
    </cfRule>
    <cfRule type="cellIs" dxfId="3388" priority="3556" stopIfTrue="1" operator="equal">
      <formula>"Napkin Hs"</formula>
    </cfRule>
  </conditionalFormatting>
  <conditionalFormatting sqref="B52:C52">
    <cfRule type="cellIs" dxfId="3387" priority="3553" stopIfTrue="1" operator="equal">
      <formula>"Towel"</formula>
    </cfRule>
    <cfRule type="cellIs" dxfId="3386" priority="3554" stopIfTrue="1" operator="equal">
      <formula>"Napkin Hs"</formula>
    </cfRule>
  </conditionalFormatting>
  <conditionalFormatting sqref="C52">
    <cfRule type="cellIs" dxfId="3385" priority="3561" stopIfTrue="1" operator="equal">
      <formula>"Towel"</formula>
    </cfRule>
    <cfRule type="cellIs" dxfId="3384" priority="3562" stopIfTrue="1" operator="equal">
      <formula>"Napkin Hs"</formula>
    </cfRule>
  </conditionalFormatting>
  <conditionalFormatting sqref="C52">
    <cfRule type="cellIs" dxfId="3383" priority="3563" stopIfTrue="1" operator="equal">
      <formula>"Towel"</formula>
    </cfRule>
    <cfRule type="cellIs" dxfId="3382" priority="3564" stopIfTrue="1" operator="equal">
      <formula>"Napkin Hs"</formula>
    </cfRule>
  </conditionalFormatting>
  <conditionalFormatting sqref="C74">
    <cfRule type="cellIs" dxfId="3381" priority="3393" stopIfTrue="1" operator="equal">
      <formula>"Towel"</formula>
    </cfRule>
    <cfRule type="cellIs" dxfId="3380" priority="3394" stopIfTrue="1" operator="equal">
      <formula>"Napkin Hs"</formula>
    </cfRule>
  </conditionalFormatting>
  <conditionalFormatting sqref="B74:C74">
    <cfRule type="cellIs" dxfId="3379" priority="3395" stopIfTrue="1" operator="equal">
      <formula>"Towel"</formula>
    </cfRule>
    <cfRule type="cellIs" dxfId="3378" priority="3396" stopIfTrue="1" operator="equal">
      <formula>"Napkin Hs"</formula>
    </cfRule>
  </conditionalFormatting>
  <conditionalFormatting sqref="C74">
    <cfRule type="cellIs" dxfId="3377" priority="3391" stopIfTrue="1" operator="equal">
      <formula>"Towel"</formula>
    </cfRule>
    <cfRule type="cellIs" dxfId="3376" priority="3392" stopIfTrue="1" operator="equal">
      <formula>"Napkin Hs"</formula>
    </cfRule>
  </conditionalFormatting>
  <conditionalFormatting sqref="B74:C74">
    <cfRule type="cellIs" dxfId="3375" priority="3389" stopIfTrue="1" operator="equal">
      <formula>"Towel"</formula>
    </cfRule>
    <cfRule type="cellIs" dxfId="3374" priority="3390" stopIfTrue="1" operator="equal">
      <formula>"Napkin Hs"</formula>
    </cfRule>
  </conditionalFormatting>
  <conditionalFormatting sqref="C74">
    <cfRule type="cellIs" dxfId="3373" priority="3397" stopIfTrue="1" operator="equal">
      <formula>"Towel"</formula>
    </cfRule>
    <cfRule type="cellIs" dxfId="3372" priority="3398" stopIfTrue="1" operator="equal">
      <formula>"Napkin Hs"</formula>
    </cfRule>
  </conditionalFormatting>
  <conditionalFormatting sqref="C74">
    <cfRule type="cellIs" dxfId="3371" priority="3399" stopIfTrue="1" operator="equal">
      <formula>"Towel"</formula>
    </cfRule>
    <cfRule type="cellIs" dxfId="3370" priority="3400" stopIfTrue="1" operator="equal">
      <formula>"Napkin Hs"</formula>
    </cfRule>
  </conditionalFormatting>
  <conditionalFormatting sqref="C79">
    <cfRule type="cellIs" dxfId="3369" priority="3313" stopIfTrue="1" operator="equal">
      <formula>"Towel"</formula>
    </cfRule>
    <cfRule type="cellIs" dxfId="3368" priority="3314" stopIfTrue="1" operator="equal">
      <formula>"Napkin Hs"</formula>
    </cfRule>
  </conditionalFormatting>
  <conditionalFormatting sqref="B79:C79">
    <cfRule type="cellIs" dxfId="3367" priority="3315" stopIfTrue="1" operator="equal">
      <formula>"Towel"</formula>
    </cfRule>
    <cfRule type="cellIs" dxfId="3366" priority="3316" stopIfTrue="1" operator="equal">
      <formula>"Napkin Hs"</formula>
    </cfRule>
  </conditionalFormatting>
  <conditionalFormatting sqref="C79">
    <cfRule type="cellIs" dxfId="3365" priority="3311" stopIfTrue="1" operator="equal">
      <formula>"Towel"</formula>
    </cfRule>
    <cfRule type="cellIs" dxfId="3364" priority="3312" stopIfTrue="1" operator="equal">
      <formula>"Napkin Hs"</formula>
    </cfRule>
  </conditionalFormatting>
  <conditionalFormatting sqref="B79:C79">
    <cfRule type="cellIs" dxfId="3363" priority="3309" stopIfTrue="1" operator="equal">
      <formula>"Towel"</formula>
    </cfRule>
    <cfRule type="cellIs" dxfId="3362" priority="3310" stopIfTrue="1" operator="equal">
      <formula>"Napkin Hs"</formula>
    </cfRule>
  </conditionalFormatting>
  <conditionalFormatting sqref="C79">
    <cfRule type="cellIs" dxfId="3361" priority="3317" stopIfTrue="1" operator="equal">
      <formula>"Towel"</formula>
    </cfRule>
    <cfRule type="cellIs" dxfId="3360" priority="3318" stopIfTrue="1" operator="equal">
      <formula>"Napkin Hs"</formula>
    </cfRule>
  </conditionalFormatting>
  <conditionalFormatting sqref="C79">
    <cfRule type="cellIs" dxfId="3359" priority="3319" stopIfTrue="1" operator="equal">
      <formula>"Towel"</formula>
    </cfRule>
    <cfRule type="cellIs" dxfId="3358" priority="3320" stopIfTrue="1" operator="equal">
      <formula>"Napkin Hs"</formula>
    </cfRule>
  </conditionalFormatting>
  <conditionalFormatting sqref="C84">
    <cfRule type="cellIs" dxfId="3357" priority="3261" stopIfTrue="1" operator="equal">
      <formula>"Towel"</formula>
    </cfRule>
    <cfRule type="cellIs" dxfId="3356" priority="3262" stopIfTrue="1" operator="equal">
      <formula>"Napkin Hs"</formula>
    </cfRule>
  </conditionalFormatting>
  <conditionalFormatting sqref="B84:C84">
    <cfRule type="cellIs" dxfId="3355" priority="3263" stopIfTrue="1" operator="equal">
      <formula>"Towel"</formula>
    </cfRule>
    <cfRule type="cellIs" dxfId="3354" priority="3264" stopIfTrue="1" operator="equal">
      <formula>"Napkin Hs"</formula>
    </cfRule>
  </conditionalFormatting>
  <conditionalFormatting sqref="C84">
    <cfRule type="cellIs" dxfId="3353" priority="3259" stopIfTrue="1" operator="equal">
      <formula>"Towel"</formula>
    </cfRule>
    <cfRule type="cellIs" dxfId="3352" priority="3260" stopIfTrue="1" operator="equal">
      <formula>"Napkin Hs"</formula>
    </cfRule>
  </conditionalFormatting>
  <conditionalFormatting sqref="B84:C84">
    <cfRule type="cellIs" dxfId="3351" priority="3257" stopIfTrue="1" operator="equal">
      <formula>"Towel"</formula>
    </cfRule>
    <cfRule type="cellIs" dxfId="3350" priority="3258" stopIfTrue="1" operator="equal">
      <formula>"Napkin Hs"</formula>
    </cfRule>
  </conditionalFormatting>
  <conditionalFormatting sqref="C84">
    <cfRule type="cellIs" dxfId="3349" priority="3265" stopIfTrue="1" operator="equal">
      <formula>"Towel"</formula>
    </cfRule>
    <cfRule type="cellIs" dxfId="3348" priority="3266" stopIfTrue="1" operator="equal">
      <formula>"Napkin Hs"</formula>
    </cfRule>
  </conditionalFormatting>
  <conditionalFormatting sqref="C84">
    <cfRule type="cellIs" dxfId="3347" priority="3267" stopIfTrue="1" operator="equal">
      <formula>"Towel"</formula>
    </cfRule>
    <cfRule type="cellIs" dxfId="3346" priority="3268" stopIfTrue="1" operator="equal">
      <formula>"Napkin Hs"</formula>
    </cfRule>
  </conditionalFormatting>
  <conditionalFormatting sqref="B89:C89">
    <cfRule type="cellIs" dxfId="3345" priority="3207" stopIfTrue="1" operator="equal">
      <formula>"Towel"</formula>
    </cfRule>
    <cfRule type="cellIs" dxfId="3344" priority="3208" stopIfTrue="1" operator="equal">
      <formula>"Napkin Hs"</formula>
    </cfRule>
  </conditionalFormatting>
  <conditionalFormatting sqref="C89">
    <cfRule type="cellIs" dxfId="3343" priority="3205" stopIfTrue="1" operator="equal">
      <formula>"Towel"</formula>
    </cfRule>
    <cfRule type="cellIs" dxfId="3342" priority="3206" stopIfTrue="1" operator="equal">
      <formula>"Napkin Hs"</formula>
    </cfRule>
  </conditionalFormatting>
  <conditionalFormatting sqref="C89">
    <cfRule type="cellIs" dxfId="3341" priority="3203" stopIfTrue="1" operator="equal">
      <formula>"Towel"</formula>
    </cfRule>
    <cfRule type="cellIs" dxfId="3340" priority="3204" stopIfTrue="1" operator="equal">
      <formula>"Napkin Hs"</formula>
    </cfRule>
  </conditionalFormatting>
  <conditionalFormatting sqref="C89">
    <cfRule type="cellIs" dxfId="3339" priority="3195" stopIfTrue="1" operator="equal">
      <formula>"Towel"</formula>
    </cfRule>
    <cfRule type="cellIs" dxfId="3338" priority="3196" stopIfTrue="1" operator="equal">
      <formula>"Napkin Hs"</formula>
    </cfRule>
  </conditionalFormatting>
  <conditionalFormatting sqref="B89:C89">
    <cfRule type="cellIs" dxfId="3337" priority="3197" stopIfTrue="1" operator="equal">
      <formula>"Towel"</formula>
    </cfRule>
    <cfRule type="cellIs" dxfId="3336" priority="3198" stopIfTrue="1" operator="equal">
      <formula>"Napkin Hs"</formula>
    </cfRule>
  </conditionalFormatting>
  <conditionalFormatting sqref="C89">
    <cfRule type="cellIs" dxfId="3335" priority="3193" stopIfTrue="1" operator="equal">
      <formula>"Towel"</formula>
    </cfRule>
    <cfRule type="cellIs" dxfId="3334" priority="3194" stopIfTrue="1" operator="equal">
      <formula>"Napkin Hs"</formula>
    </cfRule>
  </conditionalFormatting>
  <conditionalFormatting sqref="B89:C89">
    <cfRule type="cellIs" dxfId="3333" priority="3191" stopIfTrue="1" operator="equal">
      <formula>"Towel"</formula>
    </cfRule>
    <cfRule type="cellIs" dxfId="3332" priority="3192" stopIfTrue="1" operator="equal">
      <formula>"Napkin Hs"</formula>
    </cfRule>
  </conditionalFormatting>
  <conditionalFormatting sqref="C89">
    <cfRule type="cellIs" dxfId="3331" priority="3199" stopIfTrue="1" operator="equal">
      <formula>"Towel"</formula>
    </cfRule>
    <cfRule type="cellIs" dxfId="3330" priority="3200" stopIfTrue="1" operator="equal">
      <formula>"Napkin Hs"</formula>
    </cfRule>
  </conditionalFormatting>
  <conditionalFormatting sqref="C89">
    <cfRule type="cellIs" dxfId="3329" priority="3201" stopIfTrue="1" operator="equal">
      <formula>"Towel"</formula>
    </cfRule>
    <cfRule type="cellIs" dxfId="3328" priority="3202" stopIfTrue="1" operator="equal">
      <formula>"Napkin Hs"</formula>
    </cfRule>
  </conditionalFormatting>
  <conditionalFormatting sqref="B100:C100">
    <cfRule type="cellIs" dxfId="3327" priority="2987" stopIfTrue="1" operator="equal">
      <formula>"Towel"</formula>
    </cfRule>
    <cfRule type="cellIs" dxfId="3326" priority="2988" stopIfTrue="1" operator="equal">
      <formula>"Napkin Hs"</formula>
    </cfRule>
  </conditionalFormatting>
  <conditionalFormatting sqref="C100">
    <cfRule type="cellIs" dxfId="3325" priority="2985" stopIfTrue="1" operator="equal">
      <formula>"Towel"</formula>
    </cfRule>
    <cfRule type="cellIs" dxfId="3324" priority="2986" stopIfTrue="1" operator="equal">
      <formula>"Napkin Hs"</formula>
    </cfRule>
  </conditionalFormatting>
  <conditionalFormatting sqref="C100">
    <cfRule type="cellIs" dxfId="3323" priority="2983" stopIfTrue="1" operator="equal">
      <formula>"Towel"</formula>
    </cfRule>
    <cfRule type="cellIs" dxfId="3322" priority="2984" stopIfTrue="1" operator="equal">
      <formula>"Napkin Hs"</formula>
    </cfRule>
  </conditionalFormatting>
  <conditionalFormatting sqref="C100">
    <cfRule type="cellIs" dxfId="3321" priority="2975" stopIfTrue="1" operator="equal">
      <formula>"Towel"</formula>
    </cfRule>
    <cfRule type="cellIs" dxfId="3320" priority="2976" stopIfTrue="1" operator="equal">
      <formula>"Napkin Hs"</formula>
    </cfRule>
  </conditionalFormatting>
  <conditionalFormatting sqref="B100:C100">
    <cfRule type="cellIs" dxfId="3319" priority="2977" stopIfTrue="1" operator="equal">
      <formula>"Towel"</formula>
    </cfRule>
    <cfRule type="cellIs" dxfId="3318" priority="2978" stopIfTrue="1" operator="equal">
      <formula>"Napkin Hs"</formula>
    </cfRule>
  </conditionalFormatting>
  <conditionalFormatting sqref="C100">
    <cfRule type="cellIs" dxfId="3317" priority="2973" stopIfTrue="1" operator="equal">
      <formula>"Towel"</formula>
    </cfRule>
    <cfRule type="cellIs" dxfId="3316" priority="2974" stopIfTrue="1" operator="equal">
      <formula>"Napkin Hs"</formula>
    </cfRule>
  </conditionalFormatting>
  <conditionalFormatting sqref="B100:C100">
    <cfRule type="cellIs" dxfId="3315" priority="2971" stopIfTrue="1" operator="equal">
      <formula>"Towel"</formula>
    </cfRule>
    <cfRule type="cellIs" dxfId="3314" priority="2972" stopIfTrue="1" operator="equal">
      <formula>"Napkin Hs"</formula>
    </cfRule>
  </conditionalFormatting>
  <conditionalFormatting sqref="C100">
    <cfRule type="cellIs" dxfId="3313" priority="2979" stopIfTrue="1" operator="equal">
      <formula>"Towel"</formula>
    </cfRule>
    <cfRule type="cellIs" dxfId="3312" priority="2980" stopIfTrue="1" operator="equal">
      <formula>"Napkin Hs"</formula>
    </cfRule>
  </conditionalFormatting>
  <conditionalFormatting sqref="C100">
    <cfRule type="cellIs" dxfId="3311" priority="2981" stopIfTrue="1" operator="equal">
      <formula>"Towel"</formula>
    </cfRule>
    <cfRule type="cellIs" dxfId="3310" priority="2982" stopIfTrue="1" operator="equal">
      <formula>"Napkin Hs"</formula>
    </cfRule>
  </conditionalFormatting>
  <conditionalFormatting sqref="B105:C105">
    <cfRule type="cellIs" dxfId="3309" priority="2951" stopIfTrue="1" operator="equal">
      <formula>"Towel"</formula>
    </cfRule>
    <cfRule type="cellIs" dxfId="3308" priority="2952" stopIfTrue="1" operator="equal">
      <formula>"Napkin Hs"</formula>
    </cfRule>
  </conditionalFormatting>
  <conditionalFormatting sqref="C105">
    <cfRule type="cellIs" dxfId="3307" priority="2949" stopIfTrue="1" operator="equal">
      <formula>"Towel"</formula>
    </cfRule>
    <cfRule type="cellIs" dxfId="3306" priority="2950" stopIfTrue="1" operator="equal">
      <formula>"Napkin Hs"</formula>
    </cfRule>
  </conditionalFormatting>
  <conditionalFormatting sqref="C105">
    <cfRule type="cellIs" dxfId="3305" priority="2947" stopIfTrue="1" operator="equal">
      <formula>"Towel"</formula>
    </cfRule>
    <cfRule type="cellIs" dxfId="3304" priority="2948" stopIfTrue="1" operator="equal">
      <formula>"Napkin Hs"</formula>
    </cfRule>
  </conditionalFormatting>
  <conditionalFormatting sqref="C105">
    <cfRule type="cellIs" dxfId="3303" priority="2939" stopIfTrue="1" operator="equal">
      <formula>"Towel"</formula>
    </cfRule>
    <cfRule type="cellIs" dxfId="3302" priority="2940" stopIfTrue="1" operator="equal">
      <formula>"Napkin Hs"</formula>
    </cfRule>
  </conditionalFormatting>
  <conditionalFormatting sqref="B105:C105">
    <cfRule type="cellIs" dxfId="3301" priority="2941" stopIfTrue="1" operator="equal">
      <formula>"Towel"</formula>
    </cfRule>
    <cfRule type="cellIs" dxfId="3300" priority="2942" stopIfTrue="1" operator="equal">
      <formula>"Napkin Hs"</formula>
    </cfRule>
  </conditionalFormatting>
  <conditionalFormatting sqref="C105">
    <cfRule type="cellIs" dxfId="3299" priority="2937" stopIfTrue="1" operator="equal">
      <formula>"Towel"</formula>
    </cfRule>
    <cfRule type="cellIs" dxfId="3298" priority="2938" stopIfTrue="1" operator="equal">
      <formula>"Napkin Hs"</formula>
    </cfRule>
  </conditionalFormatting>
  <conditionalFormatting sqref="B105:C105">
    <cfRule type="cellIs" dxfId="3297" priority="2935" stopIfTrue="1" operator="equal">
      <formula>"Towel"</formula>
    </cfRule>
    <cfRule type="cellIs" dxfId="3296" priority="2936" stopIfTrue="1" operator="equal">
      <formula>"Napkin Hs"</formula>
    </cfRule>
  </conditionalFormatting>
  <conditionalFormatting sqref="C105">
    <cfRule type="cellIs" dxfId="3295" priority="2943" stopIfTrue="1" operator="equal">
      <formula>"Towel"</formula>
    </cfRule>
    <cfRule type="cellIs" dxfId="3294" priority="2944" stopIfTrue="1" operator="equal">
      <formula>"Napkin Hs"</formula>
    </cfRule>
  </conditionalFormatting>
  <conditionalFormatting sqref="C105">
    <cfRule type="cellIs" dxfId="3293" priority="2945" stopIfTrue="1" operator="equal">
      <formula>"Towel"</formula>
    </cfRule>
    <cfRule type="cellIs" dxfId="3292" priority="2946" stopIfTrue="1" operator="equal">
      <formula>"Napkin Hs"</formula>
    </cfRule>
  </conditionalFormatting>
  <conditionalFormatting sqref="C105">
    <cfRule type="cellIs" dxfId="3291" priority="2897" stopIfTrue="1" operator="equal">
      <formula>"Towel"</formula>
    </cfRule>
    <cfRule type="cellIs" dxfId="3290" priority="2898" stopIfTrue="1" operator="equal">
      <formula>"Napkin Hs"</formula>
    </cfRule>
  </conditionalFormatting>
  <conditionalFormatting sqref="C105">
    <cfRule type="cellIs" dxfId="3289" priority="2895" stopIfTrue="1" operator="equal">
      <formula>"Towel"</formula>
    </cfRule>
    <cfRule type="cellIs" dxfId="3288" priority="2896" stopIfTrue="1" operator="equal">
      <formula>"Napkin Hs"</formula>
    </cfRule>
  </conditionalFormatting>
  <conditionalFormatting sqref="B105:C105">
    <cfRule type="cellIs" dxfId="3287" priority="2893" stopIfTrue="1" operator="equal">
      <formula>"Towel"</formula>
    </cfRule>
    <cfRule type="cellIs" dxfId="3286" priority="2894" stopIfTrue="1" operator="equal">
      <formula>"Napkin Hs"</formula>
    </cfRule>
  </conditionalFormatting>
  <conditionalFormatting sqref="B105:C105">
    <cfRule type="cellIs" dxfId="3285" priority="2903" stopIfTrue="1" operator="equal">
      <formula>"Towel"</formula>
    </cfRule>
    <cfRule type="cellIs" dxfId="3284" priority="2904" stopIfTrue="1" operator="equal">
      <formula>"Napkin Hs"</formula>
    </cfRule>
  </conditionalFormatting>
  <conditionalFormatting sqref="C105">
    <cfRule type="cellIs" dxfId="3283" priority="2901" stopIfTrue="1" operator="equal">
      <formula>"Towel"</formula>
    </cfRule>
    <cfRule type="cellIs" dxfId="3282" priority="2902" stopIfTrue="1" operator="equal">
      <formula>"Napkin Hs"</formula>
    </cfRule>
  </conditionalFormatting>
  <conditionalFormatting sqref="C105">
    <cfRule type="cellIs" dxfId="3281" priority="2899" stopIfTrue="1" operator="equal">
      <formula>"Towel"</formula>
    </cfRule>
    <cfRule type="cellIs" dxfId="3280" priority="2900" stopIfTrue="1" operator="equal">
      <formula>"Napkin Hs"</formula>
    </cfRule>
  </conditionalFormatting>
  <conditionalFormatting sqref="C105">
    <cfRule type="cellIs" dxfId="3279" priority="2891" stopIfTrue="1" operator="equal">
      <formula>"Towel"</formula>
    </cfRule>
    <cfRule type="cellIs" dxfId="3278" priority="2892" stopIfTrue="1" operator="equal">
      <formula>"Napkin Hs"</formula>
    </cfRule>
  </conditionalFormatting>
  <conditionalFormatting sqref="C105">
    <cfRule type="cellIs" dxfId="3277" priority="2889" stopIfTrue="1" operator="equal">
      <formula>"Towel"</formula>
    </cfRule>
    <cfRule type="cellIs" dxfId="3276" priority="2890" stopIfTrue="1" operator="equal">
      <formula>"Napkin Hs"</formula>
    </cfRule>
  </conditionalFormatting>
  <conditionalFormatting sqref="B105:C105">
    <cfRule type="cellIs" dxfId="3275" priority="2887" stopIfTrue="1" operator="equal">
      <formula>"Towel"</formula>
    </cfRule>
    <cfRule type="cellIs" dxfId="3274" priority="2888" stopIfTrue="1" operator="equal">
      <formula>"Napkin Hs"</formula>
    </cfRule>
  </conditionalFormatting>
  <conditionalFormatting sqref="C110">
    <cfRule type="cellIs" dxfId="3273" priority="2813" stopIfTrue="1" operator="equal">
      <formula>"Towel"</formula>
    </cfRule>
    <cfRule type="cellIs" dxfId="3272" priority="2814" stopIfTrue="1" operator="equal">
      <formula>"Napkin Hs"</formula>
    </cfRule>
  </conditionalFormatting>
  <conditionalFormatting sqref="C110">
    <cfRule type="cellIs" dxfId="3271" priority="2811" stopIfTrue="1" operator="equal">
      <formula>"Towel"</formula>
    </cfRule>
    <cfRule type="cellIs" dxfId="3270" priority="2812" stopIfTrue="1" operator="equal">
      <formula>"Napkin Hs"</formula>
    </cfRule>
  </conditionalFormatting>
  <conditionalFormatting sqref="B110:C110">
    <cfRule type="cellIs" dxfId="3269" priority="2809" stopIfTrue="1" operator="equal">
      <formula>"Towel"</formula>
    </cfRule>
    <cfRule type="cellIs" dxfId="3268" priority="2810" stopIfTrue="1" operator="equal">
      <formula>"Napkin Hs"</formula>
    </cfRule>
  </conditionalFormatting>
  <conditionalFormatting sqref="B110:C110">
    <cfRule type="cellIs" dxfId="3267" priority="2803" stopIfTrue="1" operator="equal">
      <formula>"Towel"</formula>
    </cfRule>
    <cfRule type="cellIs" dxfId="3266" priority="2804" stopIfTrue="1" operator="equal">
      <formula>"Napkin Hs"</formula>
    </cfRule>
  </conditionalFormatting>
  <conditionalFormatting sqref="C110">
    <cfRule type="cellIs" dxfId="3265" priority="2805" stopIfTrue="1" operator="equal">
      <formula>"Towel"</formula>
    </cfRule>
    <cfRule type="cellIs" dxfId="3264" priority="2806" stopIfTrue="1" operator="equal">
      <formula>"Napkin Hs"</formula>
    </cfRule>
  </conditionalFormatting>
  <conditionalFormatting sqref="C110">
    <cfRule type="cellIs" dxfId="3263" priority="2807" stopIfTrue="1" operator="equal">
      <formula>"Towel"</formula>
    </cfRule>
    <cfRule type="cellIs" dxfId="3262" priority="2808" stopIfTrue="1" operator="equal">
      <formula>"Napkin Hs"</formula>
    </cfRule>
  </conditionalFormatting>
  <conditionalFormatting sqref="B110:C110">
    <cfRule type="cellIs" dxfId="3261" priority="2819" stopIfTrue="1" operator="equal">
      <formula>"Towel"</formula>
    </cfRule>
    <cfRule type="cellIs" dxfId="3260" priority="2820" stopIfTrue="1" operator="equal">
      <formula>"Napkin Hs"</formula>
    </cfRule>
  </conditionalFormatting>
  <conditionalFormatting sqref="C110">
    <cfRule type="cellIs" dxfId="3259" priority="2817" stopIfTrue="1" operator="equal">
      <formula>"Towel"</formula>
    </cfRule>
    <cfRule type="cellIs" dxfId="3258" priority="2818" stopIfTrue="1" operator="equal">
      <formula>"Napkin Hs"</formula>
    </cfRule>
  </conditionalFormatting>
  <conditionalFormatting sqref="C110">
    <cfRule type="cellIs" dxfId="3257" priority="2815" stopIfTrue="1" operator="equal">
      <formula>"Towel"</formula>
    </cfRule>
    <cfRule type="cellIs" dxfId="3256" priority="2816" stopIfTrue="1" operator="equal">
      <formula>"Napkin Hs"</formula>
    </cfRule>
  </conditionalFormatting>
  <conditionalFormatting sqref="C110">
    <cfRule type="cellIs" dxfId="3255" priority="2765" stopIfTrue="1" operator="equal">
      <formula>"Towel"</formula>
    </cfRule>
    <cfRule type="cellIs" dxfId="3254" priority="2766" stopIfTrue="1" operator="equal">
      <formula>"Napkin Hs"</formula>
    </cfRule>
  </conditionalFormatting>
  <conditionalFormatting sqref="C110">
    <cfRule type="cellIs" dxfId="3253" priority="2763" stopIfTrue="1" operator="equal">
      <formula>"Towel"</formula>
    </cfRule>
    <cfRule type="cellIs" dxfId="3252" priority="2764" stopIfTrue="1" operator="equal">
      <formula>"Napkin Hs"</formula>
    </cfRule>
  </conditionalFormatting>
  <conditionalFormatting sqref="B110:C110">
    <cfRule type="cellIs" dxfId="3251" priority="2761" stopIfTrue="1" operator="equal">
      <formula>"Towel"</formula>
    </cfRule>
    <cfRule type="cellIs" dxfId="3250" priority="2762" stopIfTrue="1" operator="equal">
      <formula>"Napkin Hs"</formula>
    </cfRule>
  </conditionalFormatting>
  <conditionalFormatting sqref="C110">
    <cfRule type="cellIs" dxfId="3249" priority="2771" stopIfTrue="1" operator="equal">
      <formula>"Towel"</formula>
    </cfRule>
    <cfRule type="cellIs" dxfId="3248" priority="2772" stopIfTrue="1" operator="equal">
      <formula>"Napkin Hs"</formula>
    </cfRule>
  </conditionalFormatting>
  <conditionalFormatting sqref="C110">
    <cfRule type="cellIs" dxfId="3247" priority="2769" stopIfTrue="1" operator="equal">
      <formula>"Towel"</formula>
    </cfRule>
    <cfRule type="cellIs" dxfId="3246" priority="2770" stopIfTrue="1" operator="equal">
      <formula>"Napkin Hs"</formula>
    </cfRule>
  </conditionalFormatting>
  <conditionalFormatting sqref="B110:C110">
    <cfRule type="cellIs" dxfId="3245" priority="2767" stopIfTrue="1" operator="equal">
      <formula>"Towel"</formula>
    </cfRule>
    <cfRule type="cellIs" dxfId="3244" priority="2768" stopIfTrue="1" operator="equal">
      <formula>"Napkin Hs"</formula>
    </cfRule>
  </conditionalFormatting>
  <conditionalFormatting sqref="B110:C110">
    <cfRule type="cellIs" dxfId="3243" priority="2777" stopIfTrue="1" operator="equal">
      <formula>"Towel"</formula>
    </cfRule>
    <cfRule type="cellIs" dxfId="3242" priority="2778" stopIfTrue="1" operator="equal">
      <formula>"Napkin Hs"</formula>
    </cfRule>
  </conditionalFormatting>
  <conditionalFormatting sqref="C110">
    <cfRule type="cellIs" dxfId="3241" priority="2775" stopIfTrue="1" operator="equal">
      <formula>"Towel"</formula>
    </cfRule>
    <cfRule type="cellIs" dxfId="3240" priority="2776" stopIfTrue="1" operator="equal">
      <formula>"Napkin Hs"</formula>
    </cfRule>
  </conditionalFormatting>
  <conditionalFormatting sqref="C110">
    <cfRule type="cellIs" dxfId="3239" priority="2773" stopIfTrue="1" operator="equal">
      <formula>"Towel"</formula>
    </cfRule>
    <cfRule type="cellIs" dxfId="3238" priority="2774" stopIfTrue="1" operator="equal">
      <formula>"Napkin Hs"</formula>
    </cfRule>
  </conditionalFormatting>
  <conditionalFormatting sqref="C115">
    <cfRule type="cellIs" dxfId="3237" priority="2699" stopIfTrue="1" operator="equal">
      <formula>"Towel"</formula>
    </cfRule>
    <cfRule type="cellIs" dxfId="3236" priority="2700" stopIfTrue="1" operator="equal">
      <formula>"Napkin Hs"</formula>
    </cfRule>
  </conditionalFormatting>
  <conditionalFormatting sqref="C115">
    <cfRule type="cellIs" dxfId="3235" priority="2697" stopIfTrue="1" operator="equal">
      <formula>"Towel"</formula>
    </cfRule>
    <cfRule type="cellIs" dxfId="3234" priority="2698" stopIfTrue="1" operator="equal">
      <formula>"Napkin Hs"</formula>
    </cfRule>
  </conditionalFormatting>
  <conditionalFormatting sqref="B115:C115">
    <cfRule type="cellIs" dxfId="3233" priority="2695" stopIfTrue="1" operator="equal">
      <formula>"Towel"</formula>
    </cfRule>
    <cfRule type="cellIs" dxfId="3232" priority="2696" stopIfTrue="1" operator="equal">
      <formula>"Napkin Hs"</formula>
    </cfRule>
  </conditionalFormatting>
  <conditionalFormatting sqref="B115:C115">
    <cfRule type="cellIs" dxfId="3231" priority="2689" stopIfTrue="1" operator="equal">
      <formula>"Towel"</formula>
    </cfRule>
    <cfRule type="cellIs" dxfId="3230" priority="2690" stopIfTrue="1" operator="equal">
      <formula>"Napkin Hs"</formula>
    </cfRule>
  </conditionalFormatting>
  <conditionalFormatting sqref="C115">
    <cfRule type="cellIs" dxfId="3229" priority="2691" stopIfTrue="1" operator="equal">
      <formula>"Towel"</formula>
    </cfRule>
    <cfRule type="cellIs" dxfId="3228" priority="2692" stopIfTrue="1" operator="equal">
      <formula>"Napkin Hs"</formula>
    </cfRule>
  </conditionalFormatting>
  <conditionalFormatting sqref="C115">
    <cfRule type="cellIs" dxfId="3227" priority="2693" stopIfTrue="1" operator="equal">
      <formula>"Towel"</formula>
    </cfRule>
    <cfRule type="cellIs" dxfId="3226" priority="2694" stopIfTrue="1" operator="equal">
      <formula>"Napkin Hs"</formula>
    </cfRule>
  </conditionalFormatting>
  <conditionalFormatting sqref="B115:C115">
    <cfRule type="cellIs" dxfId="3225" priority="2705" stopIfTrue="1" operator="equal">
      <formula>"Towel"</formula>
    </cfRule>
    <cfRule type="cellIs" dxfId="3224" priority="2706" stopIfTrue="1" operator="equal">
      <formula>"Napkin Hs"</formula>
    </cfRule>
  </conditionalFormatting>
  <conditionalFormatting sqref="C115">
    <cfRule type="cellIs" dxfId="3223" priority="2703" stopIfTrue="1" operator="equal">
      <formula>"Towel"</formula>
    </cfRule>
    <cfRule type="cellIs" dxfId="3222" priority="2704" stopIfTrue="1" operator="equal">
      <formula>"Napkin Hs"</formula>
    </cfRule>
  </conditionalFormatting>
  <conditionalFormatting sqref="C115">
    <cfRule type="cellIs" dxfId="3221" priority="2701" stopIfTrue="1" operator="equal">
      <formula>"Towel"</formula>
    </cfRule>
    <cfRule type="cellIs" dxfId="3220" priority="2702" stopIfTrue="1" operator="equal">
      <formula>"Napkin Hs"</formula>
    </cfRule>
  </conditionalFormatting>
  <conditionalFormatting sqref="C115">
    <cfRule type="cellIs" dxfId="3219" priority="2669" stopIfTrue="1" operator="equal">
      <formula>"Towel"</formula>
    </cfRule>
    <cfRule type="cellIs" dxfId="3218" priority="2670" stopIfTrue="1" operator="equal">
      <formula>"Napkin Hs"</formula>
    </cfRule>
  </conditionalFormatting>
  <conditionalFormatting sqref="C115">
    <cfRule type="cellIs" dxfId="3217" priority="2667" stopIfTrue="1" operator="equal">
      <formula>"Towel"</formula>
    </cfRule>
    <cfRule type="cellIs" dxfId="3216" priority="2668" stopIfTrue="1" operator="equal">
      <formula>"Napkin Hs"</formula>
    </cfRule>
  </conditionalFormatting>
  <conditionalFormatting sqref="B115:C115">
    <cfRule type="cellIs" dxfId="3215" priority="2665" stopIfTrue="1" operator="equal">
      <formula>"Towel"</formula>
    </cfRule>
    <cfRule type="cellIs" dxfId="3214" priority="2666" stopIfTrue="1" operator="equal">
      <formula>"Napkin Hs"</formula>
    </cfRule>
  </conditionalFormatting>
  <conditionalFormatting sqref="C115">
    <cfRule type="cellIs" dxfId="3213" priority="2675" stopIfTrue="1" operator="equal">
      <formula>"Towel"</formula>
    </cfRule>
    <cfRule type="cellIs" dxfId="3212" priority="2676" stopIfTrue="1" operator="equal">
      <formula>"Napkin Hs"</formula>
    </cfRule>
  </conditionalFormatting>
  <conditionalFormatting sqref="C115">
    <cfRule type="cellIs" dxfId="3211" priority="2673" stopIfTrue="1" operator="equal">
      <formula>"Towel"</formula>
    </cfRule>
    <cfRule type="cellIs" dxfId="3210" priority="2674" stopIfTrue="1" operator="equal">
      <formula>"Napkin Hs"</formula>
    </cfRule>
  </conditionalFormatting>
  <conditionalFormatting sqref="B115:C115">
    <cfRule type="cellIs" dxfId="3209" priority="2671" stopIfTrue="1" operator="equal">
      <formula>"Towel"</formula>
    </cfRule>
    <cfRule type="cellIs" dxfId="3208" priority="2672" stopIfTrue="1" operator="equal">
      <formula>"Napkin Hs"</formula>
    </cfRule>
  </conditionalFormatting>
  <conditionalFormatting sqref="B115:C115">
    <cfRule type="cellIs" dxfId="3207" priority="2681" stopIfTrue="1" operator="equal">
      <formula>"Towel"</formula>
    </cfRule>
    <cfRule type="cellIs" dxfId="3206" priority="2682" stopIfTrue="1" operator="equal">
      <formula>"Napkin Hs"</formula>
    </cfRule>
  </conditionalFormatting>
  <conditionalFormatting sqref="C115">
    <cfRule type="cellIs" dxfId="3205" priority="2679" stopIfTrue="1" operator="equal">
      <formula>"Towel"</formula>
    </cfRule>
    <cfRule type="cellIs" dxfId="3204" priority="2680" stopIfTrue="1" operator="equal">
      <formula>"Napkin Hs"</formula>
    </cfRule>
  </conditionalFormatting>
  <conditionalFormatting sqref="C115">
    <cfRule type="cellIs" dxfId="3203" priority="2677" stopIfTrue="1" operator="equal">
      <formula>"Towel"</formula>
    </cfRule>
    <cfRule type="cellIs" dxfId="3202" priority="2678" stopIfTrue="1" operator="equal">
      <formula>"Napkin Hs"</formula>
    </cfRule>
  </conditionalFormatting>
  <conditionalFormatting sqref="B115:C115">
    <cfRule type="cellIs" dxfId="3201" priority="2621" stopIfTrue="1" operator="equal">
      <formula>"Towel"</formula>
    </cfRule>
    <cfRule type="cellIs" dxfId="3200" priority="2622" stopIfTrue="1" operator="equal">
      <formula>"Napkin Hs"</formula>
    </cfRule>
  </conditionalFormatting>
  <conditionalFormatting sqref="C115">
    <cfRule type="cellIs" dxfId="3199" priority="2617" stopIfTrue="1" operator="equal">
      <formula>"Towel"</formula>
    </cfRule>
    <cfRule type="cellIs" dxfId="3198" priority="2618" stopIfTrue="1" operator="equal">
      <formula>"Napkin Hs"</formula>
    </cfRule>
  </conditionalFormatting>
  <conditionalFormatting sqref="C115">
    <cfRule type="cellIs" dxfId="3197" priority="2619" stopIfTrue="1" operator="equal">
      <formula>"Towel"</formula>
    </cfRule>
    <cfRule type="cellIs" dxfId="3196" priority="2620" stopIfTrue="1" operator="equal">
      <formula>"Napkin Hs"</formula>
    </cfRule>
  </conditionalFormatting>
  <conditionalFormatting sqref="B115:C115">
    <cfRule type="cellIs" dxfId="3195" priority="2579" stopIfTrue="1" operator="equal">
      <formula>"Towel"</formula>
    </cfRule>
    <cfRule type="cellIs" dxfId="3194" priority="2580" stopIfTrue="1" operator="equal">
      <formula>"Napkin Hs"</formula>
    </cfRule>
  </conditionalFormatting>
  <conditionalFormatting sqref="C115">
    <cfRule type="cellIs" dxfId="3193" priority="2577" stopIfTrue="1" operator="equal">
      <formula>"Towel"</formula>
    </cfRule>
    <cfRule type="cellIs" dxfId="3192" priority="2578" stopIfTrue="1" operator="equal">
      <formula>"Napkin Hs"</formula>
    </cfRule>
  </conditionalFormatting>
  <conditionalFormatting sqref="C115">
    <cfRule type="cellIs" dxfId="3191" priority="2575" stopIfTrue="1" operator="equal">
      <formula>"Towel"</formula>
    </cfRule>
    <cfRule type="cellIs" dxfId="3190" priority="2576" stopIfTrue="1" operator="equal">
      <formula>"Napkin Hs"</formula>
    </cfRule>
  </conditionalFormatting>
  <conditionalFormatting sqref="C115">
    <cfRule type="cellIs" dxfId="3189" priority="2567" stopIfTrue="1" operator="equal">
      <formula>"Towel"</formula>
    </cfRule>
    <cfRule type="cellIs" dxfId="3188" priority="2568" stopIfTrue="1" operator="equal">
      <formula>"Napkin Hs"</formula>
    </cfRule>
  </conditionalFormatting>
  <conditionalFormatting sqref="B115:C115">
    <cfRule type="cellIs" dxfId="3187" priority="2569" stopIfTrue="1" operator="equal">
      <formula>"Towel"</formula>
    </cfRule>
    <cfRule type="cellIs" dxfId="3186" priority="2570" stopIfTrue="1" operator="equal">
      <formula>"Napkin Hs"</formula>
    </cfRule>
  </conditionalFormatting>
  <conditionalFormatting sqref="C115">
    <cfRule type="cellIs" dxfId="3185" priority="2565" stopIfTrue="1" operator="equal">
      <formula>"Towel"</formula>
    </cfRule>
    <cfRule type="cellIs" dxfId="3184" priority="2566" stopIfTrue="1" operator="equal">
      <formula>"Napkin Hs"</formula>
    </cfRule>
  </conditionalFormatting>
  <conditionalFormatting sqref="B115:C115">
    <cfRule type="cellIs" dxfId="3183" priority="2563" stopIfTrue="1" operator="equal">
      <formula>"Towel"</formula>
    </cfRule>
    <cfRule type="cellIs" dxfId="3182" priority="2564" stopIfTrue="1" operator="equal">
      <formula>"Napkin Hs"</formula>
    </cfRule>
  </conditionalFormatting>
  <conditionalFormatting sqref="C115">
    <cfRule type="cellIs" dxfId="3181" priority="2571" stopIfTrue="1" operator="equal">
      <formula>"Towel"</formula>
    </cfRule>
    <cfRule type="cellIs" dxfId="3180" priority="2572" stopIfTrue="1" operator="equal">
      <formula>"Napkin Hs"</formula>
    </cfRule>
  </conditionalFormatting>
  <conditionalFormatting sqref="C115">
    <cfRule type="cellIs" dxfId="3179" priority="2573" stopIfTrue="1" operator="equal">
      <formula>"Towel"</formula>
    </cfRule>
    <cfRule type="cellIs" dxfId="3178" priority="2574" stopIfTrue="1" operator="equal">
      <formula>"Napkin Hs"</formula>
    </cfRule>
  </conditionalFormatting>
  <conditionalFormatting sqref="B120:C120">
    <cfRule type="cellIs" dxfId="3177" priority="2405" stopIfTrue="1" operator="equal">
      <formula>"Towel"</formula>
    </cfRule>
    <cfRule type="cellIs" dxfId="3176" priority="2406" stopIfTrue="1" operator="equal">
      <formula>"Napkin Hs"</formula>
    </cfRule>
  </conditionalFormatting>
  <conditionalFormatting sqref="C120">
    <cfRule type="cellIs" dxfId="3175" priority="2385" stopIfTrue="1" operator="equal">
      <formula>"Towel"</formula>
    </cfRule>
    <cfRule type="cellIs" dxfId="3174" priority="2386" stopIfTrue="1" operator="equal">
      <formula>"Napkin Hs"</formula>
    </cfRule>
  </conditionalFormatting>
  <conditionalFormatting sqref="B120:C120">
    <cfRule type="cellIs" dxfId="3173" priority="2383" stopIfTrue="1" operator="equal">
      <formula>"Towel"</formula>
    </cfRule>
    <cfRule type="cellIs" dxfId="3172" priority="2384" stopIfTrue="1" operator="equal">
      <formula>"Napkin Hs"</formula>
    </cfRule>
  </conditionalFormatting>
  <conditionalFormatting sqref="C120">
    <cfRule type="cellIs" dxfId="3171" priority="2391" stopIfTrue="1" operator="equal">
      <formula>"Towel"</formula>
    </cfRule>
    <cfRule type="cellIs" dxfId="3170" priority="2392" stopIfTrue="1" operator="equal">
      <formula>"Napkin Hs"</formula>
    </cfRule>
  </conditionalFormatting>
  <conditionalFormatting sqref="B120:C120">
    <cfRule type="cellIs" dxfId="3169" priority="2389" stopIfTrue="1" operator="equal">
      <formula>"Towel"</formula>
    </cfRule>
    <cfRule type="cellIs" dxfId="3168" priority="2390" stopIfTrue="1" operator="equal">
      <formula>"Napkin Hs"</formula>
    </cfRule>
  </conditionalFormatting>
  <conditionalFormatting sqref="C120">
    <cfRule type="cellIs" dxfId="3167" priority="2387" stopIfTrue="1" operator="equal">
      <formula>"Towel"</formula>
    </cfRule>
    <cfRule type="cellIs" dxfId="3166" priority="2388" stopIfTrue="1" operator="equal">
      <formula>"Napkin Hs"</formula>
    </cfRule>
  </conditionalFormatting>
  <conditionalFormatting sqref="C120">
    <cfRule type="cellIs" dxfId="3165" priority="2397" stopIfTrue="1" operator="equal">
      <formula>"Towel"</formula>
    </cfRule>
    <cfRule type="cellIs" dxfId="3164" priority="2398" stopIfTrue="1" operator="equal">
      <formula>"Napkin Hs"</formula>
    </cfRule>
  </conditionalFormatting>
  <conditionalFormatting sqref="C120">
    <cfRule type="cellIs" dxfId="3163" priority="2395" stopIfTrue="1" operator="equal">
      <formula>"Towel"</formula>
    </cfRule>
    <cfRule type="cellIs" dxfId="3162" priority="2396" stopIfTrue="1" operator="equal">
      <formula>"Napkin Hs"</formula>
    </cfRule>
  </conditionalFormatting>
  <conditionalFormatting sqref="C120">
    <cfRule type="cellIs" dxfId="3161" priority="2393" stopIfTrue="1" operator="equal">
      <formula>"Towel"</formula>
    </cfRule>
    <cfRule type="cellIs" dxfId="3160" priority="2394" stopIfTrue="1" operator="equal">
      <formula>"Napkin Hs"</formula>
    </cfRule>
  </conditionalFormatting>
  <conditionalFormatting sqref="C127">
    <cfRule type="cellIs" dxfId="3159" priority="2333" stopIfTrue="1" operator="equal">
      <formula>"Towel"</formula>
    </cfRule>
    <cfRule type="cellIs" dxfId="3158" priority="2334" stopIfTrue="1" operator="equal">
      <formula>"Napkin Hs"</formula>
    </cfRule>
  </conditionalFormatting>
  <conditionalFormatting sqref="C127">
    <cfRule type="cellIs" dxfId="3157" priority="2325" stopIfTrue="1" operator="equal">
      <formula>"Towel"</formula>
    </cfRule>
    <cfRule type="cellIs" dxfId="3156" priority="2326" stopIfTrue="1" operator="equal">
      <formula>"Napkin Hs"</formula>
    </cfRule>
  </conditionalFormatting>
  <conditionalFormatting sqref="C127">
    <cfRule type="cellIs" dxfId="3155" priority="2323" stopIfTrue="1" operator="equal">
      <formula>"Towel"</formula>
    </cfRule>
    <cfRule type="cellIs" dxfId="3154" priority="2324" stopIfTrue="1" operator="equal">
      <formula>"Napkin Hs"</formula>
    </cfRule>
  </conditionalFormatting>
  <conditionalFormatting sqref="C127">
    <cfRule type="cellIs" dxfId="3153" priority="2321" stopIfTrue="1" operator="equal">
      <formula>"Towel"</formula>
    </cfRule>
    <cfRule type="cellIs" dxfId="3152" priority="2322" stopIfTrue="1" operator="equal">
      <formula>"Napkin Hs"</formula>
    </cfRule>
  </conditionalFormatting>
  <conditionalFormatting sqref="C127">
    <cfRule type="cellIs" dxfId="3151" priority="2315" stopIfTrue="1" operator="equal">
      <formula>"Towel"</formula>
    </cfRule>
    <cfRule type="cellIs" dxfId="3150" priority="2316" stopIfTrue="1" operator="equal">
      <formula>"Napkin Hs"</formula>
    </cfRule>
  </conditionalFormatting>
  <conditionalFormatting sqref="C127">
    <cfRule type="cellIs" dxfId="3149" priority="2317" stopIfTrue="1" operator="equal">
      <formula>"Towel"</formula>
    </cfRule>
    <cfRule type="cellIs" dxfId="3148" priority="2318" stopIfTrue="1" operator="equal">
      <formula>"Napkin Hs"</formula>
    </cfRule>
  </conditionalFormatting>
  <conditionalFormatting sqref="C127">
    <cfRule type="cellIs" dxfId="3147" priority="2319" stopIfTrue="1" operator="equal">
      <formula>"Towel"</formula>
    </cfRule>
    <cfRule type="cellIs" dxfId="3146" priority="2320" stopIfTrue="1" operator="equal">
      <formula>"Napkin Hs"</formula>
    </cfRule>
  </conditionalFormatting>
  <conditionalFormatting sqref="C127">
    <cfRule type="cellIs" dxfId="3145" priority="2331" stopIfTrue="1" operator="equal">
      <formula>"Towel"</formula>
    </cfRule>
    <cfRule type="cellIs" dxfId="3144" priority="2332" stopIfTrue="1" operator="equal">
      <formula>"Napkin Hs"</formula>
    </cfRule>
  </conditionalFormatting>
  <conditionalFormatting sqref="C127">
    <cfRule type="cellIs" dxfId="3143" priority="2329" stopIfTrue="1" operator="equal">
      <formula>"Towel"</formula>
    </cfRule>
    <cfRule type="cellIs" dxfId="3142" priority="2330" stopIfTrue="1" operator="equal">
      <formula>"Napkin Hs"</formula>
    </cfRule>
  </conditionalFormatting>
  <conditionalFormatting sqref="C127">
    <cfRule type="cellIs" dxfId="3141" priority="2327" stopIfTrue="1" operator="equal">
      <formula>"Towel"</formula>
    </cfRule>
    <cfRule type="cellIs" dxfId="3140" priority="2328" stopIfTrue="1" operator="equal">
      <formula>"Napkin Hs"</formula>
    </cfRule>
  </conditionalFormatting>
  <conditionalFormatting sqref="B126:C126">
    <cfRule type="cellIs" dxfId="3139" priority="2301" stopIfTrue="1" operator="equal">
      <formula>"Towel"</formula>
    </cfRule>
    <cfRule type="cellIs" dxfId="3138" priority="2302" stopIfTrue="1" operator="equal">
      <formula>"Napkin Hs"</formula>
    </cfRule>
  </conditionalFormatting>
  <conditionalFormatting sqref="C126">
    <cfRule type="cellIs" dxfId="3137" priority="2299" stopIfTrue="1" operator="equal">
      <formula>"Towel"</formula>
    </cfRule>
    <cfRule type="cellIs" dxfId="3136" priority="2300" stopIfTrue="1" operator="equal">
      <formula>"Napkin Hs"</formula>
    </cfRule>
  </conditionalFormatting>
  <conditionalFormatting sqref="C126">
    <cfRule type="cellIs" dxfId="3135" priority="2297" stopIfTrue="1" operator="equal">
      <formula>"Towel"</formula>
    </cfRule>
    <cfRule type="cellIs" dxfId="3134" priority="2298" stopIfTrue="1" operator="equal">
      <formula>"Napkin Hs"</formula>
    </cfRule>
  </conditionalFormatting>
  <conditionalFormatting sqref="B127">
    <cfRule type="cellIs" dxfId="3133" priority="2307" stopIfTrue="1" operator="equal">
      <formula>"Towel"</formula>
    </cfRule>
    <cfRule type="cellIs" dxfId="3132" priority="2308" stopIfTrue="1" operator="equal">
      <formula>"Napkin Hs"</formula>
    </cfRule>
  </conditionalFormatting>
  <conditionalFormatting sqref="B127">
    <cfRule type="cellIs" dxfId="3131" priority="2305" stopIfTrue="1" operator="equal">
      <formula>"Towel"</formula>
    </cfRule>
    <cfRule type="cellIs" dxfId="3130" priority="2306" stopIfTrue="1" operator="equal">
      <formula>"Napkin Hs"</formula>
    </cfRule>
  </conditionalFormatting>
  <conditionalFormatting sqref="B127">
    <cfRule type="cellIs" dxfId="3129" priority="2303" stopIfTrue="1" operator="equal">
      <formula>"Towel"</formula>
    </cfRule>
    <cfRule type="cellIs" dxfId="3128" priority="2304" stopIfTrue="1" operator="equal">
      <formula>"Napkin Hs"</formula>
    </cfRule>
  </conditionalFormatting>
  <conditionalFormatting sqref="B126:C126">
    <cfRule type="cellIs" dxfId="3127" priority="2295" stopIfTrue="1" operator="equal">
      <formula>"Towel"</formula>
    </cfRule>
    <cfRule type="cellIs" dxfId="3126" priority="2296" stopIfTrue="1" operator="equal">
      <formula>"Napkin Hs"</formula>
    </cfRule>
  </conditionalFormatting>
  <conditionalFormatting sqref="C126">
    <cfRule type="cellIs" dxfId="3125" priority="2293" stopIfTrue="1" operator="equal">
      <formula>"Towel"</formula>
    </cfRule>
    <cfRule type="cellIs" dxfId="3124" priority="2294" stopIfTrue="1" operator="equal">
      <formula>"Napkin Hs"</formula>
    </cfRule>
  </conditionalFormatting>
  <conditionalFormatting sqref="C126">
    <cfRule type="cellIs" dxfId="3123" priority="2291" stopIfTrue="1" operator="equal">
      <formula>"Towel"</formula>
    </cfRule>
    <cfRule type="cellIs" dxfId="3122" priority="2292" stopIfTrue="1" operator="equal">
      <formula>"Napkin Hs"</formula>
    </cfRule>
  </conditionalFormatting>
  <conditionalFormatting sqref="C127">
    <cfRule type="cellIs" dxfId="3121" priority="2313" stopIfTrue="1" operator="equal">
      <formula>"Towel"</formula>
    </cfRule>
    <cfRule type="cellIs" dxfId="3120" priority="2314" stopIfTrue="1" operator="equal">
      <formula>"Napkin Hs"</formula>
    </cfRule>
  </conditionalFormatting>
  <conditionalFormatting sqref="C127">
    <cfRule type="cellIs" dxfId="3119" priority="2311" stopIfTrue="1" operator="equal">
      <formula>"Towel"</formula>
    </cfRule>
    <cfRule type="cellIs" dxfId="3118" priority="2312" stopIfTrue="1" operator="equal">
      <formula>"Napkin Hs"</formula>
    </cfRule>
  </conditionalFormatting>
  <conditionalFormatting sqref="B127">
    <cfRule type="cellIs" dxfId="3117" priority="2309" stopIfTrue="1" operator="equal">
      <formula>"Towel"</formula>
    </cfRule>
    <cfRule type="cellIs" dxfId="3116" priority="2310" stopIfTrue="1" operator="equal">
      <formula>"Napkin Hs"</formula>
    </cfRule>
  </conditionalFormatting>
  <conditionalFormatting sqref="C126">
    <cfRule type="cellIs" dxfId="3115" priority="2283" stopIfTrue="1" operator="equal">
      <formula>"Towel"</formula>
    </cfRule>
    <cfRule type="cellIs" dxfId="3114" priority="2284" stopIfTrue="1" operator="equal">
      <formula>"Napkin Hs"</formula>
    </cfRule>
  </conditionalFormatting>
  <conditionalFormatting sqref="B126:C126">
    <cfRule type="cellIs" dxfId="3113" priority="2285" stopIfTrue="1" operator="equal">
      <formula>"Towel"</formula>
    </cfRule>
    <cfRule type="cellIs" dxfId="3112" priority="2286" stopIfTrue="1" operator="equal">
      <formula>"Napkin Hs"</formula>
    </cfRule>
  </conditionalFormatting>
  <conditionalFormatting sqref="C126">
    <cfRule type="cellIs" dxfId="3111" priority="2281" stopIfTrue="1" operator="equal">
      <formula>"Towel"</formula>
    </cfRule>
    <cfRule type="cellIs" dxfId="3110" priority="2282" stopIfTrue="1" operator="equal">
      <formula>"Napkin Hs"</formula>
    </cfRule>
  </conditionalFormatting>
  <conditionalFormatting sqref="B126:C126">
    <cfRule type="cellIs" dxfId="3109" priority="2279" stopIfTrue="1" operator="equal">
      <formula>"Towel"</formula>
    </cfRule>
    <cfRule type="cellIs" dxfId="3108" priority="2280" stopIfTrue="1" operator="equal">
      <formula>"Napkin Hs"</formula>
    </cfRule>
  </conditionalFormatting>
  <conditionalFormatting sqref="C126">
    <cfRule type="cellIs" dxfId="3107" priority="2287" stopIfTrue="1" operator="equal">
      <formula>"Towel"</formula>
    </cfRule>
    <cfRule type="cellIs" dxfId="3106" priority="2288" stopIfTrue="1" operator="equal">
      <formula>"Napkin Hs"</formula>
    </cfRule>
  </conditionalFormatting>
  <conditionalFormatting sqref="C126">
    <cfRule type="cellIs" dxfId="3105" priority="2289" stopIfTrue="1" operator="equal">
      <formula>"Towel"</formula>
    </cfRule>
    <cfRule type="cellIs" dxfId="3104" priority="2290" stopIfTrue="1" operator="equal">
      <formula>"Napkin Hs"</formula>
    </cfRule>
  </conditionalFormatting>
  <conditionalFormatting sqref="C120">
    <cfRule type="cellIs" dxfId="3103" priority="2401" stopIfTrue="1" operator="equal">
      <formula>"Towel"</formula>
    </cfRule>
    <cfRule type="cellIs" dxfId="3102" priority="2402" stopIfTrue="1" operator="equal">
      <formula>"Napkin Hs"</formula>
    </cfRule>
  </conditionalFormatting>
  <conditionalFormatting sqref="C120">
    <cfRule type="cellIs" dxfId="3101" priority="2403" stopIfTrue="1" operator="equal">
      <formula>"Towel"</formula>
    </cfRule>
    <cfRule type="cellIs" dxfId="3100" priority="2404" stopIfTrue="1" operator="equal">
      <formula>"Napkin Hs"</formula>
    </cfRule>
  </conditionalFormatting>
  <conditionalFormatting sqref="B120:C120">
    <cfRule type="cellIs" dxfId="3099" priority="2399" stopIfTrue="1" operator="equal">
      <formula>"Towel"</formula>
    </cfRule>
    <cfRule type="cellIs" dxfId="3098" priority="2400" stopIfTrue="1" operator="equal">
      <formula>"Napkin Hs"</formula>
    </cfRule>
  </conditionalFormatting>
  <conditionalFormatting sqref="B136:C136">
    <cfRule type="cellIs" dxfId="3097" priority="2011" stopIfTrue="1" operator="equal">
      <formula>"Towel"</formula>
    </cfRule>
    <cfRule type="cellIs" dxfId="3096" priority="2012" stopIfTrue="1" operator="equal">
      <formula>"Napkin Hs"</formula>
    </cfRule>
  </conditionalFormatting>
  <conditionalFormatting sqref="C136">
    <cfRule type="cellIs" dxfId="3095" priority="2009" stopIfTrue="1" operator="equal">
      <formula>"Towel"</formula>
    </cfRule>
    <cfRule type="cellIs" dxfId="3094" priority="2010" stopIfTrue="1" operator="equal">
      <formula>"Napkin Hs"</formula>
    </cfRule>
  </conditionalFormatting>
  <conditionalFormatting sqref="C136">
    <cfRule type="cellIs" dxfId="3093" priority="2007" stopIfTrue="1" operator="equal">
      <formula>"Towel"</formula>
    </cfRule>
    <cfRule type="cellIs" dxfId="3092" priority="2008" stopIfTrue="1" operator="equal">
      <formula>"Napkin Hs"</formula>
    </cfRule>
  </conditionalFormatting>
  <conditionalFormatting sqref="B136:C136">
    <cfRule type="cellIs" dxfId="3091" priority="2005" stopIfTrue="1" operator="equal">
      <formula>"Towel"</formula>
    </cfRule>
    <cfRule type="cellIs" dxfId="3090" priority="2006" stopIfTrue="1" operator="equal">
      <formula>"Napkin Hs"</formula>
    </cfRule>
  </conditionalFormatting>
  <conditionalFormatting sqref="C136">
    <cfRule type="cellIs" dxfId="3089" priority="2003" stopIfTrue="1" operator="equal">
      <formula>"Towel"</formula>
    </cfRule>
    <cfRule type="cellIs" dxfId="3088" priority="2004" stopIfTrue="1" operator="equal">
      <formula>"Napkin Hs"</formula>
    </cfRule>
  </conditionalFormatting>
  <conditionalFormatting sqref="C136">
    <cfRule type="cellIs" dxfId="3087" priority="2001" stopIfTrue="1" operator="equal">
      <formula>"Towel"</formula>
    </cfRule>
    <cfRule type="cellIs" dxfId="3086" priority="2002" stopIfTrue="1" operator="equal">
      <formula>"Napkin Hs"</formula>
    </cfRule>
  </conditionalFormatting>
  <conditionalFormatting sqref="C136">
    <cfRule type="cellIs" dxfId="3085" priority="1993" stopIfTrue="1" operator="equal">
      <formula>"Towel"</formula>
    </cfRule>
    <cfRule type="cellIs" dxfId="3084" priority="1994" stopIfTrue="1" operator="equal">
      <formula>"Napkin Hs"</formula>
    </cfRule>
  </conditionalFormatting>
  <conditionalFormatting sqref="B136:C136">
    <cfRule type="cellIs" dxfId="3083" priority="1995" stopIfTrue="1" operator="equal">
      <formula>"Towel"</formula>
    </cfRule>
    <cfRule type="cellIs" dxfId="3082" priority="1996" stopIfTrue="1" operator="equal">
      <formula>"Napkin Hs"</formula>
    </cfRule>
  </conditionalFormatting>
  <conditionalFormatting sqref="C136">
    <cfRule type="cellIs" dxfId="3081" priority="1991" stopIfTrue="1" operator="equal">
      <formula>"Towel"</formula>
    </cfRule>
    <cfRule type="cellIs" dxfId="3080" priority="1992" stopIfTrue="1" operator="equal">
      <formula>"Napkin Hs"</formula>
    </cfRule>
  </conditionalFormatting>
  <conditionalFormatting sqref="B136:C136">
    <cfRule type="cellIs" dxfId="3079" priority="1989" stopIfTrue="1" operator="equal">
      <formula>"Towel"</formula>
    </cfRule>
    <cfRule type="cellIs" dxfId="3078" priority="1990" stopIfTrue="1" operator="equal">
      <formula>"Napkin Hs"</formula>
    </cfRule>
  </conditionalFormatting>
  <conditionalFormatting sqref="C136">
    <cfRule type="cellIs" dxfId="3077" priority="1997" stopIfTrue="1" operator="equal">
      <formula>"Towel"</formula>
    </cfRule>
    <cfRule type="cellIs" dxfId="3076" priority="1998" stopIfTrue="1" operator="equal">
      <formula>"Napkin Hs"</formula>
    </cfRule>
  </conditionalFormatting>
  <conditionalFormatting sqref="C136">
    <cfRule type="cellIs" dxfId="3075" priority="1999" stopIfTrue="1" operator="equal">
      <formula>"Towel"</formula>
    </cfRule>
    <cfRule type="cellIs" dxfId="3074" priority="2000" stopIfTrue="1" operator="equal">
      <formula>"Napkin Hs"</formula>
    </cfRule>
  </conditionalFormatting>
  <conditionalFormatting sqref="B141:C141">
    <cfRule type="cellIs" dxfId="3073" priority="1987" stopIfTrue="1" operator="equal">
      <formula>"Towel"</formula>
    </cfRule>
    <cfRule type="cellIs" dxfId="3072" priority="1988" stopIfTrue="1" operator="equal">
      <formula>"Napkin Hs"</formula>
    </cfRule>
  </conditionalFormatting>
  <conditionalFormatting sqref="C141">
    <cfRule type="cellIs" dxfId="3071" priority="1983" stopIfTrue="1" operator="equal">
      <formula>"Towel"</formula>
    </cfRule>
    <cfRule type="cellIs" dxfId="3070" priority="1984" stopIfTrue="1" operator="equal">
      <formula>"Napkin Hs"</formula>
    </cfRule>
  </conditionalFormatting>
  <conditionalFormatting sqref="C141">
    <cfRule type="cellIs" dxfId="3069" priority="1985" stopIfTrue="1" operator="equal">
      <formula>"Towel"</formula>
    </cfRule>
    <cfRule type="cellIs" dxfId="3068" priority="1986" stopIfTrue="1" operator="equal">
      <formula>"Napkin Hs"</formula>
    </cfRule>
  </conditionalFormatting>
  <conditionalFormatting sqref="B141:C141">
    <cfRule type="cellIs" dxfId="3067" priority="1981" stopIfTrue="1" operator="equal">
      <formula>"Towel"</formula>
    </cfRule>
    <cfRule type="cellIs" dxfId="3066" priority="1982" stopIfTrue="1" operator="equal">
      <formula>"Napkin Hs"</formula>
    </cfRule>
  </conditionalFormatting>
  <conditionalFormatting sqref="C141">
    <cfRule type="cellIs" dxfId="3065" priority="1979" stopIfTrue="1" operator="equal">
      <formula>"Towel"</formula>
    </cfRule>
    <cfRule type="cellIs" dxfId="3064" priority="1980" stopIfTrue="1" operator="equal">
      <formula>"Napkin Hs"</formula>
    </cfRule>
  </conditionalFormatting>
  <conditionalFormatting sqref="C141">
    <cfRule type="cellIs" dxfId="3063" priority="1977" stopIfTrue="1" operator="equal">
      <formula>"Towel"</formula>
    </cfRule>
    <cfRule type="cellIs" dxfId="3062" priority="1978" stopIfTrue="1" operator="equal">
      <formula>"Napkin Hs"</formula>
    </cfRule>
  </conditionalFormatting>
  <conditionalFormatting sqref="C141">
    <cfRule type="cellIs" dxfId="3061" priority="1969" stopIfTrue="1" operator="equal">
      <formula>"Towel"</formula>
    </cfRule>
    <cfRule type="cellIs" dxfId="3060" priority="1970" stopIfTrue="1" operator="equal">
      <formula>"Napkin Hs"</formula>
    </cfRule>
  </conditionalFormatting>
  <conditionalFormatting sqref="B141:C141">
    <cfRule type="cellIs" dxfId="3059" priority="1971" stopIfTrue="1" operator="equal">
      <formula>"Towel"</formula>
    </cfRule>
    <cfRule type="cellIs" dxfId="3058" priority="1972" stopIfTrue="1" operator="equal">
      <formula>"Napkin Hs"</formula>
    </cfRule>
  </conditionalFormatting>
  <conditionalFormatting sqref="C141">
    <cfRule type="cellIs" dxfId="3057" priority="1967" stopIfTrue="1" operator="equal">
      <formula>"Towel"</formula>
    </cfRule>
    <cfRule type="cellIs" dxfId="3056" priority="1968" stopIfTrue="1" operator="equal">
      <formula>"Napkin Hs"</formula>
    </cfRule>
  </conditionalFormatting>
  <conditionalFormatting sqref="B141:C141">
    <cfRule type="cellIs" dxfId="3055" priority="1965" stopIfTrue="1" operator="equal">
      <formula>"Towel"</formula>
    </cfRule>
    <cfRule type="cellIs" dxfId="3054" priority="1966" stopIfTrue="1" operator="equal">
      <formula>"Napkin Hs"</formula>
    </cfRule>
  </conditionalFormatting>
  <conditionalFormatting sqref="C141">
    <cfRule type="cellIs" dxfId="3053" priority="1973" stopIfTrue="1" operator="equal">
      <formula>"Towel"</formula>
    </cfRule>
    <cfRule type="cellIs" dxfId="3052" priority="1974" stopIfTrue="1" operator="equal">
      <formula>"Napkin Hs"</formula>
    </cfRule>
  </conditionalFormatting>
  <conditionalFormatting sqref="C141">
    <cfRule type="cellIs" dxfId="3051" priority="1975" stopIfTrue="1" operator="equal">
      <formula>"Towel"</formula>
    </cfRule>
    <cfRule type="cellIs" dxfId="3050" priority="1976" stopIfTrue="1" operator="equal">
      <formula>"Napkin Hs"</formula>
    </cfRule>
  </conditionalFormatting>
  <conditionalFormatting sqref="B162:C162">
    <cfRule type="cellIs" dxfId="3049" priority="1939" stopIfTrue="1" operator="equal">
      <formula>"Towel"</formula>
    </cfRule>
    <cfRule type="cellIs" dxfId="3048" priority="1940" stopIfTrue="1" operator="equal">
      <formula>"Napkin Hs"</formula>
    </cfRule>
  </conditionalFormatting>
  <conditionalFormatting sqref="C162">
    <cfRule type="cellIs" dxfId="3047" priority="1938" stopIfTrue="1" operator="equal">
      <formula>"Napkin Hs"</formula>
    </cfRule>
  </conditionalFormatting>
  <conditionalFormatting sqref="C162">
    <cfRule type="cellIs" dxfId="3046" priority="1937" stopIfTrue="1" operator="equal">
      <formula>"Towel"</formula>
    </cfRule>
  </conditionalFormatting>
  <conditionalFormatting sqref="C162">
    <cfRule type="cellIs" dxfId="3045" priority="1935" stopIfTrue="1" operator="equal">
      <formula>"Towel"</formula>
    </cfRule>
    <cfRule type="cellIs" dxfId="3044" priority="1936" stopIfTrue="1" operator="equal">
      <formula>"Napkin Hs"</formula>
    </cfRule>
  </conditionalFormatting>
  <conditionalFormatting sqref="B147:C147">
    <cfRule type="cellIs" dxfId="3043" priority="1933" stopIfTrue="1" operator="equal">
      <formula>"Towel"</formula>
    </cfRule>
    <cfRule type="cellIs" dxfId="3042" priority="1934" stopIfTrue="1" operator="equal">
      <formula>"Napkin Hs"</formula>
    </cfRule>
  </conditionalFormatting>
  <conditionalFormatting sqref="C147">
    <cfRule type="cellIs" dxfId="3041" priority="1929" stopIfTrue="1" operator="equal">
      <formula>"Towel"</formula>
    </cfRule>
    <cfRule type="cellIs" dxfId="3040" priority="1930" stopIfTrue="1" operator="equal">
      <formula>"Napkin Hs"</formula>
    </cfRule>
  </conditionalFormatting>
  <conditionalFormatting sqref="C147">
    <cfRule type="cellIs" dxfId="3039" priority="1931" stopIfTrue="1" operator="equal">
      <formula>"Towel"</formula>
    </cfRule>
    <cfRule type="cellIs" dxfId="3038" priority="1932" stopIfTrue="1" operator="equal">
      <formula>"Napkin Hs"</formula>
    </cfRule>
  </conditionalFormatting>
  <conditionalFormatting sqref="B147:C147">
    <cfRule type="cellIs" dxfId="3037" priority="1927" stopIfTrue="1" operator="equal">
      <formula>"Towel"</formula>
    </cfRule>
    <cfRule type="cellIs" dxfId="3036" priority="1928" stopIfTrue="1" operator="equal">
      <formula>"Napkin Hs"</formula>
    </cfRule>
  </conditionalFormatting>
  <conditionalFormatting sqref="C147">
    <cfRule type="cellIs" dxfId="3035" priority="1925" stopIfTrue="1" operator="equal">
      <formula>"Towel"</formula>
    </cfRule>
    <cfRule type="cellIs" dxfId="3034" priority="1926" stopIfTrue="1" operator="equal">
      <formula>"Napkin Hs"</formula>
    </cfRule>
  </conditionalFormatting>
  <conditionalFormatting sqref="C147">
    <cfRule type="cellIs" dxfId="3033" priority="1923" stopIfTrue="1" operator="equal">
      <formula>"Towel"</formula>
    </cfRule>
    <cfRule type="cellIs" dxfId="3032" priority="1924" stopIfTrue="1" operator="equal">
      <formula>"Napkin Hs"</formula>
    </cfRule>
  </conditionalFormatting>
  <conditionalFormatting sqref="C147">
    <cfRule type="cellIs" dxfId="3031" priority="1915" stopIfTrue="1" operator="equal">
      <formula>"Towel"</formula>
    </cfRule>
    <cfRule type="cellIs" dxfId="3030" priority="1916" stopIfTrue="1" operator="equal">
      <formula>"Napkin Hs"</formula>
    </cfRule>
  </conditionalFormatting>
  <conditionalFormatting sqref="B147:C147">
    <cfRule type="cellIs" dxfId="3029" priority="1917" stopIfTrue="1" operator="equal">
      <formula>"Towel"</formula>
    </cfRule>
    <cfRule type="cellIs" dxfId="3028" priority="1918" stopIfTrue="1" operator="equal">
      <formula>"Napkin Hs"</formula>
    </cfRule>
  </conditionalFormatting>
  <conditionalFormatting sqref="C147">
    <cfRule type="cellIs" dxfId="3027" priority="1913" stopIfTrue="1" operator="equal">
      <formula>"Towel"</formula>
    </cfRule>
    <cfRule type="cellIs" dxfId="3026" priority="1914" stopIfTrue="1" operator="equal">
      <formula>"Napkin Hs"</formula>
    </cfRule>
  </conditionalFormatting>
  <conditionalFormatting sqref="B147:C147">
    <cfRule type="cellIs" dxfId="3025" priority="1911" stopIfTrue="1" operator="equal">
      <formula>"Towel"</formula>
    </cfRule>
    <cfRule type="cellIs" dxfId="3024" priority="1912" stopIfTrue="1" operator="equal">
      <formula>"Napkin Hs"</formula>
    </cfRule>
  </conditionalFormatting>
  <conditionalFormatting sqref="C147">
    <cfRule type="cellIs" dxfId="3023" priority="1919" stopIfTrue="1" operator="equal">
      <formula>"Towel"</formula>
    </cfRule>
    <cfRule type="cellIs" dxfId="3022" priority="1920" stopIfTrue="1" operator="equal">
      <formula>"Napkin Hs"</formula>
    </cfRule>
  </conditionalFormatting>
  <conditionalFormatting sqref="C147">
    <cfRule type="cellIs" dxfId="3021" priority="1921" stopIfTrue="1" operator="equal">
      <formula>"Towel"</formula>
    </cfRule>
    <cfRule type="cellIs" dxfId="3020" priority="1922" stopIfTrue="1" operator="equal">
      <formula>"Napkin Hs"</formula>
    </cfRule>
  </conditionalFormatting>
  <conditionalFormatting sqref="B152:C152">
    <cfRule type="cellIs" dxfId="3019" priority="1807" stopIfTrue="1" operator="equal">
      <formula>"Towel"</formula>
    </cfRule>
    <cfRule type="cellIs" dxfId="3018" priority="1808" stopIfTrue="1" operator="equal">
      <formula>"Napkin Hs"</formula>
    </cfRule>
  </conditionalFormatting>
  <conditionalFormatting sqref="C152">
    <cfRule type="cellIs" dxfId="3017" priority="1803" stopIfTrue="1" operator="equal">
      <formula>"Towel"</formula>
    </cfRule>
    <cfRule type="cellIs" dxfId="3016" priority="1804" stopIfTrue="1" operator="equal">
      <formula>"Napkin Hs"</formula>
    </cfRule>
  </conditionalFormatting>
  <conditionalFormatting sqref="C152">
    <cfRule type="cellIs" dxfId="3015" priority="1805" stopIfTrue="1" operator="equal">
      <formula>"Towel"</formula>
    </cfRule>
    <cfRule type="cellIs" dxfId="3014" priority="1806" stopIfTrue="1" operator="equal">
      <formula>"Napkin Hs"</formula>
    </cfRule>
  </conditionalFormatting>
  <conditionalFormatting sqref="B152:C152">
    <cfRule type="cellIs" dxfId="3013" priority="1801" stopIfTrue="1" operator="equal">
      <formula>"Towel"</formula>
    </cfRule>
    <cfRule type="cellIs" dxfId="3012" priority="1802" stopIfTrue="1" operator="equal">
      <formula>"Napkin Hs"</formula>
    </cfRule>
  </conditionalFormatting>
  <conditionalFormatting sqref="C152">
    <cfRule type="cellIs" dxfId="3011" priority="1799" stopIfTrue="1" operator="equal">
      <formula>"Towel"</formula>
    </cfRule>
    <cfRule type="cellIs" dxfId="3010" priority="1800" stopIfTrue="1" operator="equal">
      <formula>"Napkin Hs"</formula>
    </cfRule>
  </conditionalFormatting>
  <conditionalFormatting sqref="C152">
    <cfRule type="cellIs" dxfId="3009" priority="1797" stopIfTrue="1" operator="equal">
      <formula>"Towel"</formula>
    </cfRule>
    <cfRule type="cellIs" dxfId="3008" priority="1798" stopIfTrue="1" operator="equal">
      <formula>"Napkin Hs"</formula>
    </cfRule>
  </conditionalFormatting>
  <conditionalFormatting sqref="C152">
    <cfRule type="cellIs" dxfId="3007" priority="1789" stopIfTrue="1" operator="equal">
      <formula>"Towel"</formula>
    </cfRule>
    <cfRule type="cellIs" dxfId="3006" priority="1790" stopIfTrue="1" operator="equal">
      <formula>"Napkin Hs"</formula>
    </cfRule>
  </conditionalFormatting>
  <conditionalFormatting sqref="B152:C152">
    <cfRule type="cellIs" dxfId="3005" priority="1791" stopIfTrue="1" operator="equal">
      <formula>"Towel"</formula>
    </cfRule>
    <cfRule type="cellIs" dxfId="3004" priority="1792" stopIfTrue="1" operator="equal">
      <formula>"Napkin Hs"</formula>
    </cfRule>
  </conditionalFormatting>
  <conditionalFormatting sqref="C152">
    <cfRule type="cellIs" dxfId="3003" priority="1787" stopIfTrue="1" operator="equal">
      <formula>"Towel"</formula>
    </cfRule>
    <cfRule type="cellIs" dxfId="3002" priority="1788" stopIfTrue="1" operator="equal">
      <formula>"Napkin Hs"</formula>
    </cfRule>
  </conditionalFormatting>
  <conditionalFormatting sqref="B152:C152">
    <cfRule type="cellIs" dxfId="3001" priority="1785" stopIfTrue="1" operator="equal">
      <formula>"Towel"</formula>
    </cfRule>
    <cfRule type="cellIs" dxfId="3000" priority="1786" stopIfTrue="1" operator="equal">
      <formula>"Napkin Hs"</formula>
    </cfRule>
  </conditionalFormatting>
  <conditionalFormatting sqref="C152">
    <cfRule type="cellIs" dxfId="2999" priority="1793" stopIfTrue="1" operator="equal">
      <formula>"Towel"</formula>
    </cfRule>
    <cfRule type="cellIs" dxfId="2998" priority="1794" stopIfTrue="1" operator="equal">
      <formula>"Napkin Hs"</formula>
    </cfRule>
  </conditionalFormatting>
  <conditionalFormatting sqref="C152">
    <cfRule type="cellIs" dxfId="2997" priority="1795" stopIfTrue="1" operator="equal">
      <formula>"Towel"</formula>
    </cfRule>
    <cfRule type="cellIs" dxfId="2996" priority="1796" stopIfTrue="1" operator="equal">
      <formula>"Napkin Hs"</formula>
    </cfRule>
  </conditionalFormatting>
  <conditionalFormatting sqref="B157:C157">
    <cfRule type="cellIs" dxfId="2995" priority="1657" stopIfTrue="1" operator="equal">
      <formula>"Towel"</formula>
    </cfRule>
    <cfRule type="cellIs" dxfId="2994" priority="1658" stopIfTrue="1" operator="equal">
      <formula>"Napkin Hs"</formula>
    </cfRule>
  </conditionalFormatting>
  <conditionalFormatting sqref="C157">
    <cfRule type="cellIs" dxfId="2993" priority="1653" stopIfTrue="1" operator="equal">
      <formula>"Towel"</formula>
    </cfRule>
    <cfRule type="cellIs" dxfId="2992" priority="1654" stopIfTrue="1" operator="equal">
      <formula>"Napkin Hs"</formula>
    </cfRule>
  </conditionalFormatting>
  <conditionalFormatting sqref="C157">
    <cfRule type="cellIs" dxfId="2991" priority="1655" stopIfTrue="1" operator="equal">
      <formula>"Towel"</formula>
    </cfRule>
    <cfRule type="cellIs" dxfId="2990" priority="1656" stopIfTrue="1" operator="equal">
      <formula>"Napkin Hs"</formula>
    </cfRule>
  </conditionalFormatting>
  <conditionalFormatting sqref="B157:C157">
    <cfRule type="cellIs" dxfId="2989" priority="1651" stopIfTrue="1" operator="equal">
      <formula>"Towel"</formula>
    </cfRule>
    <cfRule type="cellIs" dxfId="2988" priority="1652" stopIfTrue="1" operator="equal">
      <formula>"Napkin Hs"</formula>
    </cfRule>
  </conditionalFormatting>
  <conditionalFormatting sqref="C157">
    <cfRule type="cellIs" dxfId="2987" priority="1649" stopIfTrue="1" operator="equal">
      <formula>"Towel"</formula>
    </cfRule>
    <cfRule type="cellIs" dxfId="2986" priority="1650" stopIfTrue="1" operator="equal">
      <formula>"Napkin Hs"</formula>
    </cfRule>
  </conditionalFormatting>
  <conditionalFormatting sqref="C157">
    <cfRule type="cellIs" dxfId="2985" priority="1647" stopIfTrue="1" operator="equal">
      <formula>"Towel"</formula>
    </cfRule>
    <cfRule type="cellIs" dxfId="2984" priority="1648" stopIfTrue="1" operator="equal">
      <formula>"Napkin Hs"</formula>
    </cfRule>
  </conditionalFormatting>
  <conditionalFormatting sqref="C157">
    <cfRule type="cellIs" dxfId="2983" priority="1639" stopIfTrue="1" operator="equal">
      <formula>"Towel"</formula>
    </cfRule>
    <cfRule type="cellIs" dxfId="2982" priority="1640" stopIfTrue="1" operator="equal">
      <formula>"Napkin Hs"</formula>
    </cfRule>
  </conditionalFormatting>
  <conditionalFormatting sqref="B157:C157">
    <cfRule type="cellIs" dxfId="2981" priority="1641" stopIfTrue="1" operator="equal">
      <formula>"Towel"</formula>
    </cfRule>
    <cfRule type="cellIs" dxfId="2980" priority="1642" stopIfTrue="1" operator="equal">
      <formula>"Napkin Hs"</formula>
    </cfRule>
  </conditionalFormatting>
  <conditionalFormatting sqref="C157">
    <cfRule type="cellIs" dxfId="2979" priority="1637" stopIfTrue="1" operator="equal">
      <formula>"Towel"</formula>
    </cfRule>
    <cfRule type="cellIs" dxfId="2978" priority="1638" stopIfTrue="1" operator="equal">
      <formula>"Napkin Hs"</formula>
    </cfRule>
  </conditionalFormatting>
  <conditionalFormatting sqref="B157:C157">
    <cfRule type="cellIs" dxfId="2977" priority="1635" stopIfTrue="1" operator="equal">
      <formula>"Towel"</formula>
    </cfRule>
    <cfRule type="cellIs" dxfId="2976" priority="1636" stopIfTrue="1" operator="equal">
      <formula>"Napkin Hs"</formula>
    </cfRule>
  </conditionalFormatting>
  <conditionalFormatting sqref="C157">
    <cfRule type="cellIs" dxfId="2975" priority="1643" stopIfTrue="1" operator="equal">
      <formula>"Towel"</formula>
    </cfRule>
    <cfRule type="cellIs" dxfId="2974" priority="1644" stopIfTrue="1" operator="equal">
      <formula>"Napkin Hs"</formula>
    </cfRule>
  </conditionalFormatting>
  <conditionalFormatting sqref="C157">
    <cfRule type="cellIs" dxfId="2973" priority="1645" stopIfTrue="1" operator="equal">
      <formula>"Towel"</formula>
    </cfRule>
    <cfRule type="cellIs" dxfId="2972" priority="1646" stopIfTrue="1" operator="equal">
      <formula>"Napkin Hs"</formula>
    </cfRule>
  </conditionalFormatting>
  <conditionalFormatting sqref="B6:C9">
    <cfRule type="cellIs" dxfId="2971" priority="1633" stopIfTrue="1" operator="equal">
      <formula>"Towel"</formula>
    </cfRule>
    <cfRule type="cellIs" dxfId="2970" priority="1634" stopIfTrue="1" operator="equal">
      <formula>"Napkin Hs"</formula>
    </cfRule>
  </conditionalFormatting>
  <conditionalFormatting sqref="C6:C9">
    <cfRule type="cellIs" dxfId="2969" priority="1632" stopIfTrue="1" operator="equal">
      <formula>"Napkin Hs"</formula>
    </cfRule>
  </conditionalFormatting>
  <conditionalFormatting sqref="C6:C9">
    <cfRule type="cellIs" dxfId="2968" priority="1629" stopIfTrue="1" operator="equal">
      <formula>"Towel"</formula>
    </cfRule>
    <cfRule type="cellIs" dxfId="2967" priority="1630" stopIfTrue="1" operator="equal">
      <formula>"Napkin Hs"</formula>
    </cfRule>
  </conditionalFormatting>
  <conditionalFormatting sqref="C6:C9">
    <cfRule type="cellIs" dxfId="2966" priority="1631" stopIfTrue="1" operator="equal">
      <formula>"Towel"</formula>
    </cfRule>
  </conditionalFormatting>
  <conditionalFormatting sqref="B21:C21">
    <cfRule type="cellIs" dxfId="2965" priority="1609" stopIfTrue="1" operator="equal">
      <formula>"Towel"</formula>
    </cfRule>
    <cfRule type="cellIs" dxfId="2964" priority="1610" stopIfTrue="1" operator="equal">
      <formula>"Napkin Hs"</formula>
    </cfRule>
  </conditionalFormatting>
  <conditionalFormatting sqref="C21">
    <cfRule type="cellIs" dxfId="2963" priority="1608" stopIfTrue="1" operator="equal">
      <formula>"Napkin Hs"</formula>
    </cfRule>
  </conditionalFormatting>
  <conditionalFormatting sqref="C21">
    <cfRule type="cellIs" dxfId="2962" priority="1605" stopIfTrue="1" operator="equal">
      <formula>"Towel"</formula>
    </cfRule>
    <cfRule type="cellIs" dxfId="2961" priority="1606" stopIfTrue="1" operator="equal">
      <formula>"Napkin Hs"</formula>
    </cfRule>
  </conditionalFormatting>
  <conditionalFormatting sqref="C21">
    <cfRule type="cellIs" dxfId="2960" priority="1607" stopIfTrue="1" operator="equal">
      <formula>"Towel"</formula>
    </cfRule>
  </conditionalFormatting>
  <conditionalFormatting sqref="B26:C26">
    <cfRule type="cellIs" dxfId="2959" priority="1603" stopIfTrue="1" operator="equal">
      <formula>"Towel"</formula>
    </cfRule>
    <cfRule type="cellIs" dxfId="2958" priority="1604" stopIfTrue="1" operator="equal">
      <formula>"Napkin Hs"</formula>
    </cfRule>
  </conditionalFormatting>
  <conditionalFormatting sqref="C26">
    <cfRule type="cellIs" dxfId="2957" priority="1602" stopIfTrue="1" operator="equal">
      <formula>"Napkin Hs"</formula>
    </cfRule>
  </conditionalFormatting>
  <conditionalFormatting sqref="C26">
    <cfRule type="cellIs" dxfId="2956" priority="1599" stopIfTrue="1" operator="equal">
      <formula>"Towel"</formula>
    </cfRule>
    <cfRule type="cellIs" dxfId="2955" priority="1600" stopIfTrue="1" operator="equal">
      <formula>"Napkin Hs"</formula>
    </cfRule>
  </conditionalFormatting>
  <conditionalFormatting sqref="C26">
    <cfRule type="cellIs" dxfId="2954" priority="1601" stopIfTrue="1" operator="equal">
      <formula>"Towel"</formula>
    </cfRule>
  </conditionalFormatting>
  <conditionalFormatting sqref="B32:C32">
    <cfRule type="cellIs" dxfId="2953" priority="1581" stopIfTrue="1" operator="equal">
      <formula>"Towel"</formula>
    </cfRule>
    <cfRule type="cellIs" dxfId="2952" priority="1582" stopIfTrue="1" operator="equal">
      <formula>"Napkin Hs"</formula>
    </cfRule>
  </conditionalFormatting>
  <conditionalFormatting sqref="C32">
    <cfRule type="cellIs" dxfId="2951" priority="1580" stopIfTrue="1" operator="equal">
      <formula>"Napkin Hs"</formula>
    </cfRule>
  </conditionalFormatting>
  <conditionalFormatting sqref="C32">
    <cfRule type="cellIs" dxfId="2950" priority="1577" stopIfTrue="1" operator="equal">
      <formula>"Towel"</formula>
    </cfRule>
    <cfRule type="cellIs" dxfId="2949" priority="1578" stopIfTrue="1" operator="equal">
      <formula>"Napkin Hs"</formula>
    </cfRule>
  </conditionalFormatting>
  <conditionalFormatting sqref="C32">
    <cfRule type="cellIs" dxfId="2948" priority="1579" stopIfTrue="1" operator="equal">
      <formula>"Towel"</formula>
    </cfRule>
  </conditionalFormatting>
  <conditionalFormatting sqref="B37:C37">
    <cfRule type="cellIs" dxfId="2947" priority="1539" stopIfTrue="1" operator="equal">
      <formula>"Towel"</formula>
    </cfRule>
    <cfRule type="cellIs" dxfId="2946" priority="1540" stopIfTrue="1" operator="equal">
      <formula>"Napkin Hs"</formula>
    </cfRule>
  </conditionalFormatting>
  <conditionalFormatting sqref="C37">
    <cfRule type="cellIs" dxfId="2945" priority="1538" stopIfTrue="1" operator="equal">
      <formula>"Napkin Hs"</formula>
    </cfRule>
  </conditionalFormatting>
  <conditionalFormatting sqref="C37">
    <cfRule type="cellIs" dxfId="2944" priority="1535" stopIfTrue="1" operator="equal">
      <formula>"Towel"</formula>
    </cfRule>
    <cfRule type="cellIs" dxfId="2943" priority="1536" stopIfTrue="1" operator="equal">
      <formula>"Napkin Hs"</formula>
    </cfRule>
  </conditionalFormatting>
  <conditionalFormatting sqref="C37">
    <cfRule type="cellIs" dxfId="2942" priority="1537" stopIfTrue="1" operator="equal">
      <formula>"Towel"</formula>
    </cfRule>
  </conditionalFormatting>
  <conditionalFormatting sqref="C16">
    <cfRule type="cellIs" dxfId="2941" priority="1531" stopIfTrue="1" operator="equal">
      <formula>"Towel"</formula>
    </cfRule>
    <cfRule type="cellIs" dxfId="2940" priority="1532" stopIfTrue="1" operator="equal">
      <formula>"Napkin Hs"</formula>
    </cfRule>
  </conditionalFormatting>
  <conditionalFormatting sqref="C16">
    <cfRule type="cellIs" dxfId="2939" priority="1533" stopIfTrue="1" operator="equal">
      <formula>"Towel"</formula>
    </cfRule>
    <cfRule type="cellIs" dxfId="2938" priority="1534" stopIfTrue="1" operator="equal">
      <formula>"Napkin Hs"</formula>
    </cfRule>
  </conditionalFormatting>
  <conditionalFormatting sqref="B16:C16">
    <cfRule type="cellIs" dxfId="2937" priority="1529" stopIfTrue="1" operator="equal">
      <formula>"Towel"</formula>
    </cfRule>
    <cfRule type="cellIs" dxfId="2936" priority="1530" stopIfTrue="1" operator="equal">
      <formula>"Napkin Hs"</formula>
    </cfRule>
  </conditionalFormatting>
  <conditionalFormatting sqref="B16:C16">
    <cfRule type="cellIs" dxfId="2935" priority="1523" stopIfTrue="1" operator="equal">
      <formula>"Towel"</formula>
    </cfRule>
    <cfRule type="cellIs" dxfId="2934" priority="1524" stopIfTrue="1" operator="equal">
      <formula>"Napkin Hs"</formula>
    </cfRule>
  </conditionalFormatting>
  <conditionalFormatting sqref="C16">
    <cfRule type="cellIs" dxfId="2933" priority="1525" stopIfTrue="1" operator="equal">
      <formula>"Towel"</formula>
    </cfRule>
    <cfRule type="cellIs" dxfId="2932" priority="1526" stopIfTrue="1" operator="equal">
      <formula>"Napkin Hs"</formula>
    </cfRule>
  </conditionalFormatting>
  <conditionalFormatting sqref="C16">
    <cfRule type="cellIs" dxfId="2931" priority="1527" stopIfTrue="1" operator="equal">
      <formula>"Towel"</formula>
    </cfRule>
    <cfRule type="cellIs" dxfId="2930" priority="1528" stopIfTrue="1" operator="equal">
      <formula>"Napkin Hs"</formula>
    </cfRule>
  </conditionalFormatting>
  <conditionalFormatting sqref="B12:C15">
    <cfRule type="cellIs" dxfId="2929" priority="1521" stopIfTrue="1" operator="equal">
      <formula>"Towel"</formula>
    </cfRule>
    <cfRule type="cellIs" dxfId="2928" priority="1522" stopIfTrue="1" operator="equal">
      <formula>"Napkin Hs"</formula>
    </cfRule>
  </conditionalFormatting>
  <conditionalFormatting sqref="C12:C15">
    <cfRule type="cellIs" dxfId="2927" priority="1520" stopIfTrue="1" operator="equal">
      <formula>"Napkin Hs"</formula>
    </cfRule>
  </conditionalFormatting>
  <conditionalFormatting sqref="C12:C15">
    <cfRule type="cellIs" dxfId="2926" priority="1517" stopIfTrue="1" operator="equal">
      <formula>"Towel"</formula>
    </cfRule>
    <cfRule type="cellIs" dxfId="2925" priority="1518" stopIfTrue="1" operator="equal">
      <formula>"Napkin Hs"</formula>
    </cfRule>
  </conditionalFormatting>
  <conditionalFormatting sqref="C12:C15">
    <cfRule type="cellIs" dxfId="2924" priority="1519" stopIfTrue="1" operator="equal">
      <formula>"Towel"</formula>
    </cfRule>
  </conditionalFormatting>
  <conditionalFormatting sqref="B18:C20">
    <cfRule type="cellIs" dxfId="2923" priority="1515" stopIfTrue="1" operator="equal">
      <formula>"Towel"</formula>
    </cfRule>
    <cfRule type="cellIs" dxfId="2922" priority="1516" stopIfTrue="1" operator="equal">
      <formula>"Napkin Hs"</formula>
    </cfRule>
  </conditionalFormatting>
  <conditionalFormatting sqref="C18:C20">
    <cfRule type="cellIs" dxfId="2921" priority="1514" stopIfTrue="1" operator="equal">
      <formula>"Napkin Hs"</formula>
    </cfRule>
  </conditionalFormatting>
  <conditionalFormatting sqref="C18:C20">
    <cfRule type="cellIs" dxfId="2920" priority="1511" stopIfTrue="1" operator="equal">
      <formula>"Towel"</formula>
    </cfRule>
    <cfRule type="cellIs" dxfId="2919" priority="1512" stopIfTrue="1" operator="equal">
      <formula>"Napkin Hs"</formula>
    </cfRule>
  </conditionalFormatting>
  <conditionalFormatting sqref="C18:C20">
    <cfRule type="cellIs" dxfId="2918" priority="1513" stopIfTrue="1" operator="equal">
      <formula>"Towel"</formula>
    </cfRule>
  </conditionalFormatting>
  <conditionalFormatting sqref="B17:C17">
    <cfRule type="cellIs" dxfId="2917" priority="1509" stopIfTrue="1" operator="equal">
      <formula>"Towel"</formula>
    </cfRule>
    <cfRule type="cellIs" dxfId="2916" priority="1510" stopIfTrue="1" operator="equal">
      <formula>"Napkin Hs"</formula>
    </cfRule>
  </conditionalFormatting>
  <conditionalFormatting sqref="C17">
    <cfRule type="cellIs" dxfId="2915" priority="1508" stopIfTrue="1" operator="equal">
      <formula>"Napkin Hs"</formula>
    </cfRule>
  </conditionalFormatting>
  <conditionalFormatting sqref="C17">
    <cfRule type="cellIs" dxfId="2914" priority="1505" stopIfTrue="1" operator="equal">
      <formula>"Towel"</formula>
    </cfRule>
    <cfRule type="cellIs" dxfId="2913" priority="1506" stopIfTrue="1" operator="equal">
      <formula>"Napkin Hs"</formula>
    </cfRule>
  </conditionalFormatting>
  <conditionalFormatting sqref="C17">
    <cfRule type="cellIs" dxfId="2912" priority="1507" stopIfTrue="1" operator="equal">
      <formula>"Towel"</formula>
    </cfRule>
  </conditionalFormatting>
  <conditionalFormatting sqref="B24:C25">
    <cfRule type="cellIs" dxfId="2911" priority="1503" stopIfTrue="1" operator="equal">
      <formula>"Towel"</formula>
    </cfRule>
    <cfRule type="cellIs" dxfId="2910" priority="1504" stopIfTrue="1" operator="equal">
      <formula>"Napkin Hs"</formula>
    </cfRule>
  </conditionalFormatting>
  <conditionalFormatting sqref="C24:C25">
    <cfRule type="cellIs" dxfId="2909" priority="1502" stopIfTrue="1" operator="equal">
      <formula>"Napkin Hs"</formula>
    </cfRule>
  </conditionalFormatting>
  <conditionalFormatting sqref="C24:C25">
    <cfRule type="cellIs" dxfId="2908" priority="1499" stopIfTrue="1" operator="equal">
      <formula>"Towel"</formula>
    </cfRule>
    <cfRule type="cellIs" dxfId="2907" priority="1500" stopIfTrue="1" operator="equal">
      <formula>"Napkin Hs"</formula>
    </cfRule>
  </conditionalFormatting>
  <conditionalFormatting sqref="C24:C25">
    <cfRule type="cellIs" dxfId="2906" priority="1501" stopIfTrue="1" operator="equal">
      <formula>"Towel"</formula>
    </cfRule>
  </conditionalFormatting>
  <conditionalFormatting sqref="B22:C23">
    <cfRule type="cellIs" dxfId="2905" priority="1497" stopIfTrue="1" operator="equal">
      <formula>"Towel"</formula>
    </cfRule>
    <cfRule type="cellIs" dxfId="2904" priority="1498" stopIfTrue="1" operator="equal">
      <formula>"Napkin Hs"</formula>
    </cfRule>
  </conditionalFormatting>
  <conditionalFormatting sqref="C22:C23">
    <cfRule type="cellIs" dxfId="2903" priority="1496" stopIfTrue="1" operator="equal">
      <formula>"Napkin Hs"</formula>
    </cfRule>
  </conditionalFormatting>
  <conditionalFormatting sqref="C22:C23">
    <cfRule type="cellIs" dxfId="2902" priority="1493" stopIfTrue="1" operator="equal">
      <formula>"Towel"</formula>
    </cfRule>
    <cfRule type="cellIs" dxfId="2901" priority="1494" stopIfTrue="1" operator="equal">
      <formula>"Napkin Hs"</formula>
    </cfRule>
  </conditionalFormatting>
  <conditionalFormatting sqref="C22:C23">
    <cfRule type="cellIs" dxfId="2900" priority="1495" stopIfTrue="1" operator="equal">
      <formula>"Towel"</formula>
    </cfRule>
  </conditionalFormatting>
  <conditionalFormatting sqref="B28:C30">
    <cfRule type="cellIs" dxfId="2899" priority="1479" stopIfTrue="1" operator="equal">
      <formula>"Towel"</formula>
    </cfRule>
    <cfRule type="cellIs" dxfId="2898" priority="1480" stopIfTrue="1" operator="equal">
      <formula>"Napkin Hs"</formula>
    </cfRule>
  </conditionalFormatting>
  <conditionalFormatting sqref="C28:C30">
    <cfRule type="cellIs" dxfId="2897" priority="1478" stopIfTrue="1" operator="equal">
      <formula>"Napkin Hs"</formula>
    </cfRule>
  </conditionalFormatting>
  <conditionalFormatting sqref="C28:C30">
    <cfRule type="cellIs" dxfId="2896" priority="1475" stopIfTrue="1" operator="equal">
      <formula>"Towel"</formula>
    </cfRule>
    <cfRule type="cellIs" dxfId="2895" priority="1476" stopIfTrue="1" operator="equal">
      <formula>"Napkin Hs"</formula>
    </cfRule>
  </conditionalFormatting>
  <conditionalFormatting sqref="C28:C30">
    <cfRule type="cellIs" dxfId="2894" priority="1477" stopIfTrue="1" operator="equal">
      <formula>"Towel"</formula>
    </cfRule>
  </conditionalFormatting>
  <conditionalFormatting sqref="B27:C27">
    <cfRule type="cellIs" dxfId="2893" priority="1473" stopIfTrue="1" operator="equal">
      <formula>"Towel"</formula>
    </cfRule>
    <cfRule type="cellIs" dxfId="2892" priority="1474" stopIfTrue="1" operator="equal">
      <formula>"Napkin Hs"</formula>
    </cfRule>
  </conditionalFormatting>
  <conditionalFormatting sqref="C27">
    <cfRule type="cellIs" dxfId="2891" priority="1472" stopIfTrue="1" operator="equal">
      <formula>"Napkin Hs"</formula>
    </cfRule>
  </conditionalFormatting>
  <conditionalFormatting sqref="C27">
    <cfRule type="cellIs" dxfId="2890" priority="1469" stopIfTrue="1" operator="equal">
      <formula>"Towel"</formula>
    </cfRule>
    <cfRule type="cellIs" dxfId="2889" priority="1470" stopIfTrue="1" operator="equal">
      <formula>"Napkin Hs"</formula>
    </cfRule>
  </conditionalFormatting>
  <conditionalFormatting sqref="C27">
    <cfRule type="cellIs" dxfId="2888" priority="1471" stopIfTrue="1" operator="equal">
      <formula>"Towel"</formula>
    </cfRule>
  </conditionalFormatting>
  <conditionalFormatting sqref="C31">
    <cfRule type="cellIs" dxfId="2887" priority="1465" stopIfTrue="1" operator="equal">
      <formula>"Towel"</formula>
    </cfRule>
    <cfRule type="cellIs" dxfId="2886" priority="1466" stopIfTrue="1" operator="equal">
      <formula>"Napkin Hs"</formula>
    </cfRule>
  </conditionalFormatting>
  <conditionalFormatting sqref="C31">
    <cfRule type="cellIs" dxfId="2885" priority="1467" stopIfTrue="1" operator="equal">
      <formula>"Towel"</formula>
    </cfRule>
    <cfRule type="cellIs" dxfId="2884" priority="1468" stopIfTrue="1" operator="equal">
      <formula>"Napkin Hs"</formula>
    </cfRule>
  </conditionalFormatting>
  <conditionalFormatting sqref="B31:C31">
    <cfRule type="cellIs" dxfId="2883" priority="1463" stopIfTrue="1" operator="equal">
      <formula>"Towel"</formula>
    </cfRule>
    <cfRule type="cellIs" dxfId="2882" priority="1464" stopIfTrue="1" operator="equal">
      <formula>"Napkin Hs"</formula>
    </cfRule>
  </conditionalFormatting>
  <conditionalFormatting sqref="B31:C31">
    <cfRule type="cellIs" dxfId="2881" priority="1457" stopIfTrue="1" operator="equal">
      <formula>"Towel"</formula>
    </cfRule>
    <cfRule type="cellIs" dxfId="2880" priority="1458" stopIfTrue="1" operator="equal">
      <formula>"Napkin Hs"</formula>
    </cfRule>
  </conditionalFormatting>
  <conditionalFormatting sqref="C31">
    <cfRule type="cellIs" dxfId="2879" priority="1459" stopIfTrue="1" operator="equal">
      <formula>"Towel"</formula>
    </cfRule>
    <cfRule type="cellIs" dxfId="2878" priority="1460" stopIfTrue="1" operator="equal">
      <formula>"Napkin Hs"</formula>
    </cfRule>
  </conditionalFormatting>
  <conditionalFormatting sqref="C31">
    <cfRule type="cellIs" dxfId="2877" priority="1461" stopIfTrue="1" operator="equal">
      <formula>"Towel"</formula>
    </cfRule>
    <cfRule type="cellIs" dxfId="2876" priority="1462" stopIfTrue="1" operator="equal">
      <formula>"Napkin Hs"</formula>
    </cfRule>
  </conditionalFormatting>
  <conditionalFormatting sqref="B35:C36 C34">
    <cfRule type="cellIs" dxfId="2875" priority="1455" stopIfTrue="1" operator="equal">
      <formula>"Towel"</formula>
    </cfRule>
    <cfRule type="cellIs" dxfId="2874" priority="1456" stopIfTrue="1" operator="equal">
      <formula>"Napkin Hs"</formula>
    </cfRule>
  </conditionalFormatting>
  <conditionalFormatting sqref="C34:C36">
    <cfRule type="cellIs" dxfId="2873" priority="1454" stopIfTrue="1" operator="equal">
      <formula>"Napkin Hs"</formula>
    </cfRule>
  </conditionalFormatting>
  <conditionalFormatting sqref="C34:C36">
    <cfRule type="cellIs" dxfId="2872" priority="1451" stopIfTrue="1" operator="equal">
      <formula>"Towel"</formula>
    </cfRule>
    <cfRule type="cellIs" dxfId="2871" priority="1452" stopIfTrue="1" operator="equal">
      <formula>"Napkin Hs"</formula>
    </cfRule>
  </conditionalFormatting>
  <conditionalFormatting sqref="C34:C36">
    <cfRule type="cellIs" dxfId="2870" priority="1453" stopIfTrue="1" operator="equal">
      <formula>"Towel"</formula>
    </cfRule>
  </conditionalFormatting>
  <conditionalFormatting sqref="B33:C33 B34">
    <cfRule type="cellIs" dxfId="2869" priority="1443" stopIfTrue="1" operator="equal">
      <formula>"Towel"</formula>
    </cfRule>
    <cfRule type="cellIs" dxfId="2868" priority="1444" stopIfTrue="1" operator="equal">
      <formula>"Napkin Hs"</formula>
    </cfRule>
  </conditionalFormatting>
  <conditionalFormatting sqref="C33">
    <cfRule type="cellIs" dxfId="2867" priority="1442" stopIfTrue="1" operator="equal">
      <formula>"Napkin Hs"</formula>
    </cfRule>
  </conditionalFormatting>
  <conditionalFormatting sqref="C33">
    <cfRule type="cellIs" dxfId="2866" priority="1439" stopIfTrue="1" operator="equal">
      <formula>"Towel"</formula>
    </cfRule>
    <cfRule type="cellIs" dxfId="2865" priority="1440" stopIfTrue="1" operator="equal">
      <formula>"Napkin Hs"</formula>
    </cfRule>
  </conditionalFormatting>
  <conditionalFormatting sqref="C33">
    <cfRule type="cellIs" dxfId="2864" priority="1441" stopIfTrue="1" operator="equal">
      <formula>"Towel"</formula>
    </cfRule>
  </conditionalFormatting>
  <conditionalFormatting sqref="B40:C42">
    <cfRule type="cellIs" dxfId="2863" priority="1437" stopIfTrue="1" operator="equal">
      <formula>"Towel"</formula>
    </cfRule>
    <cfRule type="cellIs" dxfId="2862" priority="1438" stopIfTrue="1" operator="equal">
      <formula>"Napkin Hs"</formula>
    </cfRule>
  </conditionalFormatting>
  <conditionalFormatting sqref="C40:C42">
    <cfRule type="cellIs" dxfId="2861" priority="1436" stopIfTrue="1" operator="equal">
      <formula>"Napkin Hs"</formula>
    </cfRule>
  </conditionalFormatting>
  <conditionalFormatting sqref="C40:C42">
    <cfRule type="cellIs" dxfId="2860" priority="1433" stopIfTrue="1" operator="equal">
      <formula>"Towel"</formula>
    </cfRule>
    <cfRule type="cellIs" dxfId="2859" priority="1434" stopIfTrue="1" operator="equal">
      <formula>"Napkin Hs"</formula>
    </cfRule>
  </conditionalFormatting>
  <conditionalFormatting sqref="C40:C42">
    <cfRule type="cellIs" dxfId="2858" priority="1435" stopIfTrue="1" operator="equal">
      <formula>"Towel"</formula>
    </cfRule>
  </conditionalFormatting>
  <conditionalFormatting sqref="B38:C39">
    <cfRule type="cellIs" dxfId="2857" priority="1431" stopIfTrue="1" operator="equal">
      <formula>"Towel"</formula>
    </cfRule>
    <cfRule type="cellIs" dxfId="2856" priority="1432" stopIfTrue="1" operator="equal">
      <formula>"Napkin Hs"</formula>
    </cfRule>
  </conditionalFormatting>
  <conditionalFormatting sqref="C38:C39">
    <cfRule type="cellIs" dxfId="2855" priority="1430" stopIfTrue="1" operator="equal">
      <formula>"Napkin Hs"</formula>
    </cfRule>
  </conditionalFormatting>
  <conditionalFormatting sqref="C38:C39">
    <cfRule type="cellIs" dxfId="2854" priority="1427" stopIfTrue="1" operator="equal">
      <formula>"Towel"</formula>
    </cfRule>
    <cfRule type="cellIs" dxfId="2853" priority="1428" stopIfTrue="1" operator="equal">
      <formula>"Napkin Hs"</formula>
    </cfRule>
  </conditionalFormatting>
  <conditionalFormatting sqref="C38:C39">
    <cfRule type="cellIs" dxfId="2852" priority="1429" stopIfTrue="1" operator="equal">
      <formula>"Towel"</formula>
    </cfRule>
  </conditionalFormatting>
  <conditionalFormatting sqref="C47">
    <cfRule type="cellIs" dxfId="2851" priority="1419" stopIfTrue="1" operator="equal">
      <formula>"Towel"</formula>
    </cfRule>
    <cfRule type="cellIs" dxfId="2850" priority="1420" stopIfTrue="1" operator="equal">
      <formula>"Napkin Hs"</formula>
    </cfRule>
  </conditionalFormatting>
  <conditionalFormatting sqref="B47:C47">
    <cfRule type="cellIs" dxfId="2849" priority="1421" stopIfTrue="1" operator="equal">
      <formula>"Towel"</formula>
    </cfRule>
    <cfRule type="cellIs" dxfId="2848" priority="1422" stopIfTrue="1" operator="equal">
      <formula>"Napkin Hs"</formula>
    </cfRule>
  </conditionalFormatting>
  <conditionalFormatting sqref="C47">
    <cfRule type="cellIs" dxfId="2847" priority="1417" stopIfTrue="1" operator="equal">
      <formula>"Towel"</formula>
    </cfRule>
    <cfRule type="cellIs" dxfId="2846" priority="1418" stopIfTrue="1" operator="equal">
      <formula>"Napkin Hs"</formula>
    </cfRule>
  </conditionalFormatting>
  <conditionalFormatting sqref="B47:C47">
    <cfRule type="cellIs" dxfId="2845" priority="1415" stopIfTrue="1" operator="equal">
      <formula>"Towel"</formula>
    </cfRule>
    <cfRule type="cellIs" dxfId="2844" priority="1416" stopIfTrue="1" operator="equal">
      <formula>"Napkin Hs"</formula>
    </cfRule>
  </conditionalFormatting>
  <conditionalFormatting sqref="C47">
    <cfRule type="cellIs" dxfId="2843" priority="1423" stopIfTrue="1" operator="equal">
      <formula>"Towel"</formula>
    </cfRule>
    <cfRule type="cellIs" dxfId="2842" priority="1424" stopIfTrue="1" operator="equal">
      <formula>"Napkin Hs"</formula>
    </cfRule>
  </conditionalFormatting>
  <conditionalFormatting sqref="C47">
    <cfRule type="cellIs" dxfId="2841" priority="1425" stopIfTrue="1" operator="equal">
      <formula>"Towel"</formula>
    </cfRule>
    <cfRule type="cellIs" dxfId="2840" priority="1426" stopIfTrue="1" operator="equal">
      <formula>"Napkin Hs"</formula>
    </cfRule>
  </conditionalFormatting>
  <conditionalFormatting sqref="C47">
    <cfRule type="cellIs" dxfId="2839" priority="1407" stopIfTrue="1" operator="equal">
      <formula>"Towel"</formula>
    </cfRule>
    <cfRule type="cellIs" dxfId="2838" priority="1408" stopIfTrue="1" operator="equal">
      <formula>"Napkin Hs"</formula>
    </cfRule>
  </conditionalFormatting>
  <conditionalFormatting sqref="B47:C47">
    <cfRule type="cellIs" dxfId="2837" priority="1409" stopIfTrue="1" operator="equal">
      <formula>"Towel"</formula>
    </cfRule>
    <cfRule type="cellIs" dxfId="2836" priority="1410" stopIfTrue="1" operator="equal">
      <formula>"Napkin Hs"</formula>
    </cfRule>
  </conditionalFormatting>
  <conditionalFormatting sqref="C47">
    <cfRule type="cellIs" dxfId="2835" priority="1405" stopIfTrue="1" operator="equal">
      <formula>"Towel"</formula>
    </cfRule>
    <cfRule type="cellIs" dxfId="2834" priority="1406" stopIfTrue="1" operator="equal">
      <formula>"Napkin Hs"</formula>
    </cfRule>
  </conditionalFormatting>
  <conditionalFormatting sqref="B47:C47">
    <cfRule type="cellIs" dxfId="2833" priority="1403" stopIfTrue="1" operator="equal">
      <formula>"Towel"</formula>
    </cfRule>
    <cfRule type="cellIs" dxfId="2832" priority="1404" stopIfTrue="1" operator="equal">
      <formula>"Napkin Hs"</formula>
    </cfRule>
  </conditionalFormatting>
  <conditionalFormatting sqref="C47">
    <cfRule type="cellIs" dxfId="2831" priority="1411" stopIfTrue="1" operator="equal">
      <formula>"Towel"</formula>
    </cfRule>
    <cfRule type="cellIs" dxfId="2830" priority="1412" stopIfTrue="1" operator="equal">
      <formula>"Napkin Hs"</formula>
    </cfRule>
  </conditionalFormatting>
  <conditionalFormatting sqref="C47">
    <cfRule type="cellIs" dxfId="2829" priority="1413" stopIfTrue="1" operator="equal">
      <formula>"Towel"</formula>
    </cfRule>
    <cfRule type="cellIs" dxfId="2828" priority="1414" stopIfTrue="1" operator="equal">
      <formula>"Napkin Hs"</formula>
    </cfRule>
  </conditionalFormatting>
  <conditionalFormatting sqref="B45:C46">
    <cfRule type="cellIs" dxfId="2827" priority="1401" stopIfTrue="1" operator="equal">
      <formula>"Towel"</formula>
    </cfRule>
    <cfRule type="cellIs" dxfId="2826" priority="1402" stopIfTrue="1" operator="equal">
      <formula>"Napkin Hs"</formula>
    </cfRule>
  </conditionalFormatting>
  <conditionalFormatting sqref="C45:C46">
    <cfRule type="cellIs" dxfId="2825" priority="1400" stopIfTrue="1" operator="equal">
      <formula>"Napkin Hs"</formula>
    </cfRule>
  </conditionalFormatting>
  <conditionalFormatting sqref="C45:C46">
    <cfRule type="cellIs" dxfId="2824" priority="1397" stopIfTrue="1" operator="equal">
      <formula>"Towel"</formula>
    </cfRule>
    <cfRule type="cellIs" dxfId="2823" priority="1398" stopIfTrue="1" operator="equal">
      <formula>"Napkin Hs"</formula>
    </cfRule>
  </conditionalFormatting>
  <conditionalFormatting sqref="C45:C46">
    <cfRule type="cellIs" dxfId="2822" priority="1399" stopIfTrue="1" operator="equal">
      <formula>"Towel"</formula>
    </cfRule>
  </conditionalFormatting>
  <conditionalFormatting sqref="B43:C44">
    <cfRule type="cellIs" dxfId="2821" priority="1395" stopIfTrue="1" operator="equal">
      <formula>"Towel"</formula>
    </cfRule>
    <cfRule type="cellIs" dxfId="2820" priority="1396" stopIfTrue="1" operator="equal">
      <formula>"Napkin Hs"</formula>
    </cfRule>
  </conditionalFormatting>
  <conditionalFormatting sqref="C43:C44">
    <cfRule type="cellIs" dxfId="2819" priority="1394" stopIfTrue="1" operator="equal">
      <formula>"Napkin Hs"</formula>
    </cfRule>
  </conditionalFormatting>
  <conditionalFormatting sqref="C43:C44">
    <cfRule type="cellIs" dxfId="2818" priority="1391" stopIfTrue="1" operator="equal">
      <formula>"Towel"</formula>
    </cfRule>
    <cfRule type="cellIs" dxfId="2817" priority="1392" stopIfTrue="1" operator="equal">
      <formula>"Napkin Hs"</formula>
    </cfRule>
  </conditionalFormatting>
  <conditionalFormatting sqref="C43:C44">
    <cfRule type="cellIs" dxfId="2816" priority="1393" stopIfTrue="1" operator="equal">
      <formula>"Towel"</formula>
    </cfRule>
  </conditionalFormatting>
  <conditionalFormatting sqref="C48:C51">
    <cfRule type="cellIs" dxfId="2815" priority="1317" stopIfTrue="1" operator="equal">
      <formula>"Towel"</formula>
    </cfRule>
    <cfRule type="cellIs" dxfId="2814" priority="1318" stopIfTrue="1" operator="equal">
      <formula>"Napkin Hs"</formula>
    </cfRule>
  </conditionalFormatting>
  <conditionalFormatting sqref="B48:C51">
    <cfRule type="cellIs" dxfId="2813" priority="1319" stopIfTrue="1" operator="equal">
      <formula>"Towel"</formula>
    </cfRule>
    <cfRule type="cellIs" dxfId="2812" priority="1320" stopIfTrue="1" operator="equal">
      <formula>"Napkin Hs"</formula>
    </cfRule>
  </conditionalFormatting>
  <conditionalFormatting sqref="C48:C51">
    <cfRule type="cellIs" dxfId="2811" priority="1315" stopIfTrue="1" operator="equal">
      <formula>"Towel"</formula>
    </cfRule>
    <cfRule type="cellIs" dxfId="2810" priority="1316" stopIfTrue="1" operator="equal">
      <formula>"Napkin Hs"</formula>
    </cfRule>
  </conditionalFormatting>
  <conditionalFormatting sqref="B48:C51">
    <cfRule type="cellIs" dxfId="2809" priority="1313" stopIfTrue="1" operator="equal">
      <formula>"Towel"</formula>
    </cfRule>
    <cfRule type="cellIs" dxfId="2808" priority="1314" stopIfTrue="1" operator="equal">
      <formula>"Napkin Hs"</formula>
    </cfRule>
  </conditionalFormatting>
  <conditionalFormatting sqref="C48:C51">
    <cfRule type="cellIs" dxfId="2807" priority="1321" stopIfTrue="1" operator="equal">
      <formula>"Towel"</formula>
    </cfRule>
    <cfRule type="cellIs" dxfId="2806" priority="1322" stopIfTrue="1" operator="equal">
      <formula>"Napkin Hs"</formula>
    </cfRule>
  </conditionalFormatting>
  <conditionalFormatting sqref="C48:C51">
    <cfRule type="cellIs" dxfId="2805" priority="1323" stopIfTrue="1" operator="equal">
      <formula>"Towel"</formula>
    </cfRule>
    <cfRule type="cellIs" dxfId="2804" priority="1324" stopIfTrue="1" operator="equal">
      <formula>"Napkin Hs"</formula>
    </cfRule>
  </conditionalFormatting>
  <conditionalFormatting sqref="B48:C51">
    <cfRule type="cellIs" dxfId="2803" priority="1311" stopIfTrue="1" operator="equal">
      <formula>"Towel"</formula>
    </cfRule>
    <cfRule type="cellIs" dxfId="2802" priority="1312" stopIfTrue="1" operator="equal">
      <formula>"Napkin Hs"</formula>
    </cfRule>
  </conditionalFormatting>
  <conditionalFormatting sqref="C48:C51">
    <cfRule type="cellIs" dxfId="2801" priority="1310" stopIfTrue="1" operator="equal">
      <formula>"Napkin Hs"</formula>
    </cfRule>
  </conditionalFormatting>
  <conditionalFormatting sqref="C48:C51">
    <cfRule type="cellIs" dxfId="2800" priority="1307" stopIfTrue="1" operator="equal">
      <formula>"Towel"</formula>
    </cfRule>
    <cfRule type="cellIs" dxfId="2799" priority="1308" stopIfTrue="1" operator="equal">
      <formula>"Napkin Hs"</formula>
    </cfRule>
  </conditionalFormatting>
  <conditionalFormatting sqref="C48:C51">
    <cfRule type="cellIs" dxfId="2798" priority="1309" stopIfTrue="1" operator="equal">
      <formula>"Towel"</formula>
    </cfRule>
  </conditionalFormatting>
  <conditionalFormatting sqref="B55:C56 C54">
    <cfRule type="cellIs" dxfId="2797" priority="1305" stopIfTrue="1" operator="equal">
      <formula>"Towel"</formula>
    </cfRule>
    <cfRule type="cellIs" dxfId="2796" priority="1306" stopIfTrue="1" operator="equal">
      <formula>"Napkin Hs"</formula>
    </cfRule>
  </conditionalFormatting>
  <conditionalFormatting sqref="C54:C56">
    <cfRule type="cellIs" dxfId="2795" priority="1304" stopIfTrue="1" operator="equal">
      <formula>"Napkin Hs"</formula>
    </cfRule>
  </conditionalFormatting>
  <conditionalFormatting sqref="C54:C56">
    <cfRule type="cellIs" dxfId="2794" priority="1301" stopIfTrue="1" operator="equal">
      <formula>"Towel"</formula>
    </cfRule>
    <cfRule type="cellIs" dxfId="2793" priority="1302" stopIfTrue="1" operator="equal">
      <formula>"Napkin Hs"</formula>
    </cfRule>
  </conditionalFormatting>
  <conditionalFormatting sqref="C54:C56">
    <cfRule type="cellIs" dxfId="2792" priority="1303" stopIfTrue="1" operator="equal">
      <formula>"Towel"</formula>
    </cfRule>
  </conditionalFormatting>
  <conditionalFormatting sqref="B54">
    <cfRule type="cellIs" dxfId="2791" priority="1299" stopIfTrue="1" operator="equal">
      <formula>"Towel"</formula>
    </cfRule>
    <cfRule type="cellIs" dxfId="2790" priority="1300" stopIfTrue="1" operator="equal">
      <formula>"Napkin Hs"</formula>
    </cfRule>
  </conditionalFormatting>
  <conditionalFormatting sqref="C53">
    <cfRule type="cellIs" dxfId="2789" priority="1287" stopIfTrue="1" operator="equal">
      <formula>"Towel"</formula>
    </cfRule>
    <cfRule type="cellIs" dxfId="2788" priority="1288" stopIfTrue="1" operator="equal">
      <formula>"Napkin Hs"</formula>
    </cfRule>
  </conditionalFormatting>
  <conditionalFormatting sqref="B53:C53">
    <cfRule type="cellIs" dxfId="2787" priority="1289" stopIfTrue="1" operator="equal">
      <formula>"Towel"</formula>
    </cfRule>
    <cfRule type="cellIs" dxfId="2786" priority="1290" stopIfTrue="1" operator="equal">
      <formula>"Napkin Hs"</formula>
    </cfRule>
  </conditionalFormatting>
  <conditionalFormatting sqref="C53">
    <cfRule type="cellIs" dxfId="2785" priority="1285" stopIfTrue="1" operator="equal">
      <formula>"Towel"</formula>
    </cfRule>
    <cfRule type="cellIs" dxfId="2784" priority="1286" stopIfTrue="1" operator="equal">
      <formula>"Napkin Hs"</formula>
    </cfRule>
  </conditionalFormatting>
  <conditionalFormatting sqref="B53:C53">
    <cfRule type="cellIs" dxfId="2783" priority="1283" stopIfTrue="1" operator="equal">
      <formula>"Towel"</formula>
    </cfRule>
    <cfRule type="cellIs" dxfId="2782" priority="1284" stopIfTrue="1" operator="equal">
      <formula>"Napkin Hs"</formula>
    </cfRule>
  </conditionalFormatting>
  <conditionalFormatting sqref="C53">
    <cfRule type="cellIs" dxfId="2781" priority="1291" stopIfTrue="1" operator="equal">
      <formula>"Towel"</formula>
    </cfRule>
    <cfRule type="cellIs" dxfId="2780" priority="1292" stopIfTrue="1" operator="equal">
      <formula>"Napkin Hs"</formula>
    </cfRule>
  </conditionalFormatting>
  <conditionalFormatting sqref="C53">
    <cfRule type="cellIs" dxfId="2779" priority="1293" stopIfTrue="1" operator="equal">
      <formula>"Towel"</formula>
    </cfRule>
    <cfRule type="cellIs" dxfId="2778" priority="1294" stopIfTrue="1" operator="equal">
      <formula>"Napkin Hs"</formula>
    </cfRule>
  </conditionalFormatting>
  <conditionalFormatting sqref="B53:C53">
    <cfRule type="cellIs" dxfId="2777" priority="1281" stopIfTrue="1" operator="equal">
      <formula>"Towel"</formula>
    </cfRule>
    <cfRule type="cellIs" dxfId="2776" priority="1282" stopIfTrue="1" operator="equal">
      <formula>"Napkin Hs"</formula>
    </cfRule>
  </conditionalFormatting>
  <conditionalFormatting sqref="C53">
    <cfRule type="cellIs" dxfId="2775" priority="1280" stopIfTrue="1" operator="equal">
      <formula>"Napkin Hs"</formula>
    </cfRule>
  </conditionalFormatting>
  <conditionalFormatting sqref="C53">
    <cfRule type="cellIs" dxfId="2774" priority="1277" stopIfTrue="1" operator="equal">
      <formula>"Towel"</formula>
    </cfRule>
    <cfRule type="cellIs" dxfId="2773" priority="1278" stopIfTrue="1" operator="equal">
      <formula>"Napkin Hs"</formula>
    </cfRule>
  </conditionalFormatting>
  <conditionalFormatting sqref="C53">
    <cfRule type="cellIs" dxfId="2772" priority="1279" stopIfTrue="1" operator="equal">
      <formula>"Towel"</formula>
    </cfRule>
  </conditionalFormatting>
  <conditionalFormatting sqref="B62:C62">
    <cfRule type="cellIs" dxfId="2771" priority="1275" stopIfTrue="1" operator="equal">
      <formula>"Towel"</formula>
    </cfRule>
    <cfRule type="cellIs" dxfId="2770" priority="1276" stopIfTrue="1" operator="equal">
      <formula>"Napkin Hs"</formula>
    </cfRule>
  </conditionalFormatting>
  <conditionalFormatting sqref="C62">
    <cfRule type="cellIs" dxfId="2769" priority="1273" stopIfTrue="1" operator="equal">
      <formula>"Towel"</formula>
    </cfRule>
    <cfRule type="cellIs" dxfId="2768" priority="1274" stopIfTrue="1" operator="equal">
      <formula>"Napkin Hs"</formula>
    </cfRule>
  </conditionalFormatting>
  <conditionalFormatting sqref="C62">
    <cfRule type="cellIs" dxfId="2767" priority="1271" stopIfTrue="1" operator="equal">
      <formula>"Towel"</formula>
    </cfRule>
    <cfRule type="cellIs" dxfId="2766" priority="1272" stopIfTrue="1" operator="equal">
      <formula>"Napkin Hs"</formula>
    </cfRule>
  </conditionalFormatting>
  <conditionalFormatting sqref="B60:C61 C59">
    <cfRule type="cellIs" dxfId="2765" priority="1269" stopIfTrue="1" operator="equal">
      <formula>"Towel"</formula>
    </cfRule>
    <cfRule type="cellIs" dxfId="2764" priority="1270" stopIfTrue="1" operator="equal">
      <formula>"Napkin Hs"</formula>
    </cfRule>
  </conditionalFormatting>
  <conditionalFormatting sqref="C59:C61">
    <cfRule type="cellIs" dxfId="2763" priority="1268" stopIfTrue="1" operator="equal">
      <formula>"Napkin Hs"</formula>
    </cfRule>
  </conditionalFormatting>
  <conditionalFormatting sqref="C59:C61">
    <cfRule type="cellIs" dxfId="2762" priority="1265" stopIfTrue="1" operator="equal">
      <formula>"Towel"</formula>
    </cfRule>
    <cfRule type="cellIs" dxfId="2761" priority="1266" stopIfTrue="1" operator="equal">
      <formula>"Napkin Hs"</formula>
    </cfRule>
  </conditionalFormatting>
  <conditionalFormatting sqref="C59:C61">
    <cfRule type="cellIs" dxfId="2760" priority="1267" stopIfTrue="1" operator="equal">
      <formula>"Towel"</formula>
    </cfRule>
  </conditionalFormatting>
  <conditionalFormatting sqref="B59">
    <cfRule type="cellIs" dxfId="2759" priority="1263" stopIfTrue="1" operator="equal">
      <formula>"Towel"</formula>
    </cfRule>
    <cfRule type="cellIs" dxfId="2758" priority="1264" stopIfTrue="1" operator="equal">
      <formula>"Napkin Hs"</formula>
    </cfRule>
  </conditionalFormatting>
  <conditionalFormatting sqref="C58">
    <cfRule type="cellIs" dxfId="2757" priority="1255" stopIfTrue="1" operator="equal">
      <formula>"Towel"</formula>
    </cfRule>
    <cfRule type="cellIs" dxfId="2756" priority="1256" stopIfTrue="1" operator="equal">
      <formula>"Napkin Hs"</formula>
    </cfRule>
  </conditionalFormatting>
  <conditionalFormatting sqref="B58:C58">
    <cfRule type="cellIs" dxfId="2755" priority="1257" stopIfTrue="1" operator="equal">
      <formula>"Towel"</formula>
    </cfRule>
    <cfRule type="cellIs" dxfId="2754" priority="1258" stopIfTrue="1" operator="equal">
      <formula>"Napkin Hs"</formula>
    </cfRule>
  </conditionalFormatting>
  <conditionalFormatting sqref="C58">
    <cfRule type="cellIs" dxfId="2753" priority="1253" stopIfTrue="1" operator="equal">
      <formula>"Towel"</formula>
    </cfRule>
    <cfRule type="cellIs" dxfId="2752" priority="1254" stopIfTrue="1" operator="equal">
      <formula>"Napkin Hs"</formula>
    </cfRule>
  </conditionalFormatting>
  <conditionalFormatting sqref="B58:C58">
    <cfRule type="cellIs" dxfId="2751" priority="1251" stopIfTrue="1" operator="equal">
      <formula>"Towel"</formula>
    </cfRule>
    <cfRule type="cellIs" dxfId="2750" priority="1252" stopIfTrue="1" operator="equal">
      <formula>"Napkin Hs"</formula>
    </cfRule>
  </conditionalFormatting>
  <conditionalFormatting sqref="C58">
    <cfRule type="cellIs" dxfId="2749" priority="1259" stopIfTrue="1" operator="equal">
      <formula>"Towel"</formula>
    </cfRule>
    <cfRule type="cellIs" dxfId="2748" priority="1260" stopIfTrue="1" operator="equal">
      <formula>"Napkin Hs"</formula>
    </cfRule>
  </conditionalFormatting>
  <conditionalFormatting sqref="C58">
    <cfRule type="cellIs" dxfId="2747" priority="1261" stopIfTrue="1" operator="equal">
      <formula>"Towel"</formula>
    </cfRule>
    <cfRule type="cellIs" dxfId="2746" priority="1262" stopIfTrue="1" operator="equal">
      <formula>"Napkin Hs"</formula>
    </cfRule>
  </conditionalFormatting>
  <conditionalFormatting sqref="B58:C58">
    <cfRule type="cellIs" dxfId="2745" priority="1249" stopIfTrue="1" operator="equal">
      <formula>"Towel"</formula>
    </cfRule>
    <cfRule type="cellIs" dxfId="2744" priority="1250" stopIfTrue="1" operator="equal">
      <formula>"Napkin Hs"</formula>
    </cfRule>
  </conditionalFormatting>
  <conditionalFormatting sqref="C58">
    <cfRule type="cellIs" dxfId="2743" priority="1248" stopIfTrue="1" operator="equal">
      <formula>"Napkin Hs"</formula>
    </cfRule>
  </conditionalFormatting>
  <conditionalFormatting sqref="C58">
    <cfRule type="cellIs" dxfId="2742" priority="1245" stopIfTrue="1" operator="equal">
      <formula>"Towel"</formula>
    </cfRule>
    <cfRule type="cellIs" dxfId="2741" priority="1246" stopIfTrue="1" operator="equal">
      <formula>"Napkin Hs"</formula>
    </cfRule>
  </conditionalFormatting>
  <conditionalFormatting sqref="C58">
    <cfRule type="cellIs" dxfId="2740" priority="1247" stopIfTrue="1" operator="equal">
      <formula>"Towel"</formula>
    </cfRule>
  </conditionalFormatting>
  <conditionalFormatting sqref="B67:C67">
    <cfRule type="cellIs" dxfId="2739" priority="1243" stopIfTrue="1" operator="equal">
      <formula>"Towel"</formula>
    </cfRule>
    <cfRule type="cellIs" dxfId="2738" priority="1244" stopIfTrue="1" operator="equal">
      <formula>"Napkin Hs"</formula>
    </cfRule>
  </conditionalFormatting>
  <conditionalFormatting sqref="C67">
    <cfRule type="cellIs" dxfId="2737" priority="1241" stopIfTrue="1" operator="equal">
      <formula>"Towel"</formula>
    </cfRule>
    <cfRule type="cellIs" dxfId="2736" priority="1242" stopIfTrue="1" operator="equal">
      <formula>"Napkin Hs"</formula>
    </cfRule>
  </conditionalFormatting>
  <conditionalFormatting sqref="C67">
    <cfRule type="cellIs" dxfId="2735" priority="1239" stopIfTrue="1" operator="equal">
      <formula>"Towel"</formula>
    </cfRule>
    <cfRule type="cellIs" dxfId="2734" priority="1240" stopIfTrue="1" operator="equal">
      <formula>"Napkin Hs"</formula>
    </cfRule>
  </conditionalFormatting>
  <conditionalFormatting sqref="B65:C66 C64">
    <cfRule type="cellIs" dxfId="2733" priority="1237" stopIfTrue="1" operator="equal">
      <formula>"Towel"</formula>
    </cfRule>
    <cfRule type="cellIs" dxfId="2732" priority="1238" stopIfTrue="1" operator="equal">
      <formula>"Napkin Hs"</formula>
    </cfRule>
  </conditionalFormatting>
  <conditionalFormatting sqref="C64:C66">
    <cfRule type="cellIs" dxfId="2731" priority="1236" stopIfTrue="1" operator="equal">
      <formula>"Napkin Hs"</formula>
    </cfRule>
  </conditionalFormatting>
  <conditionalFormatting sqref="C64:C66">
    <cfRule type="cellIs" dxfId="2730" priority="1233" stopIfTrue="1" operator="equal">
      <formula>"Towel"</formula>
    </cfRule>
    <cfRule type="cellIs" dxfId="2729" priority="1234" stopIfTrue="1" operator="equal">
      <formula>"Napkin Hs"</formula>
    </cfRule>
  </conditionalFormatting>
  <conditionalFormatting sqref="C64:C66">
    <cfRule type="cellIs" dxfId="2728" priority="1235" stopIfTrue="1" operator="equal">
      <formula>"Towel"</formula>
    </cfRule>
  </conditionalFormatting>
  <conditionalFormatting sqref="B64">
    <cfRule type="cellIs" dxfId="2727" priority="1231" stopIfTrue="1" operator="equal">
      <formula>"Towel"</formula>
    </cfRule>
    <cfRule type="cellIs" dxfId="2726" priority="1232" stopIfTrue="1" operator="equal">
      <formula>"Napkin Hs"</formula>
    </cfRule>
  </conditionalFormatting>
  <conditionalFormatting sqref="C63">
    <cfRule type="cellIs" dxfId="2725" priority="1223" stopIfTrue="1" operator="equal">
      <formula>"Towel"</formula>
    </cfRule>
    <cfRule type="cellIs" dxfId="2724" priority="1224" stopIfTrue="1" operator="equal">
      <formula>"Napkin Hs"</formula>
    </cfRule>
  </conditionalFormatting>
  <conditionalFormatting sqref="B63:C63">
    <cfRule type="cellIs" dxfId="2723" priority="1225" stopIfTrue="1" operator="equal">
      <formula>"Towel"</formula>
    </cfRule>
    <cfRule type="cellIs" dxfId="2722" priority="1226" stopIfTrue="1" operator="equal">
      <formula>"Napkin Hs"</formula>
    </cfRule>
  </conditionalFormatting>
  <conditionalFormatting sqref="C63">
    <cfRule type="cellIs" dxfId="2721" priority="1221" stopIfTrue="1" operator="equal">
      <formula>"Towel"</formula>
    </cfRule>
    <cfRule type="cellIs" dxfId="2720" priority="1222" stopIfTrue="1" operator="equal">
      <formula>"Napkin Hs"</formula>
    </cfRule>
  </conditionalFormatting>
  <conditionalFormatting sqref="B63:C63">
    <cfRule type="cellIs" dxfId="2719" priority="1219" stopIfTrue="1" operator="equal">
      <formula>"Towel"</formula>
    </cfRule>
    <cfRule type="cellIs" dxfId="2718" priority="1220" stopIfTrue="1" operator="equal">
      <formula>"Napkin Hs"</formula>
    </cfRule>
  </conditionalFormatting>
  <conditionalFormatting sqref="C63">
    <cfRule type="cellIs" dxfId="2717" priority="1227" stopIfTrue="1" operator="equal">
      <formula>"Towel"</formula>
    </cfRule>
    <cfRule type="cellIs" dxfId="2716" priority="1228" stopIfTrue="1" operator="equal">
      <formula>"Napkin Hs"</formula>
    </cfRule>
  </conditionalFormatting>
  <conditionalFormatting sqref="C63">
    <cfRule type="cellIs" dxfId="2715" priority="1229" stopIfTrue="1" operator="equal">
      <formula>"Towel"</formula>
    </cfRule>
    <cfRule type="cellIs" dxfId="2714" priority="1230" stopIfTrue="1" operator="equal">
      <formula>"Napkin Hs"</formula>
    </cfRule>
  </conditionalFormatting>
  <conditionalFormatting sqref="B63:C63">
    <cfRule type="cellIs" dxfId="2713" priority="1217" stopIfTrue="1" operator="equal">
      <formula>"Towel"</formula>
    </cfRule>
    <cfRule type="cellIs" dxfId="2712" priority="1218" stopIfTrue="1" operator="equal">
      <formula>"Napkin Hs"</formula>
    </cfRule>
  </conditionalFormatting>
  <conditionalFormatting sqref="C63">
    <cfRule type="cellIs" dxfId="2711" priority="1216" stopIfTrue="1" operator="equal">
      <formula>"Napkin Hs"</formula>
    </cfRule>
  </conditionalFormatting>
  <conditionalFormatting sqref="C63">
    <cfRule type="cellIs" dxfId="2710" priority="1213" stopIfTrue="1" operator="equal">
      <formula>"Towel"</formula>
    </cfRule>
    <cfRule type="cellIs" dxfId="2709" priority="1214" stopIfTrue="1" operator="equal">
      <formula>"Napkin Hs"</formula>
    </cfRule>
  </conditionalFormatting>
  <conditionalFormatting sqref="C63">
    <cfRule type="cellIs" dxfId="2708" priority="1215" stopIfTrue="1" operator="equal">
      <formula>"Towel"</formula>
    </cfRule>
  </conditionalFormatting>
  <conditionalFormatting sqref="C69 B70:C73">
    <cfRule type="cellIs" dxfId="2707" priority="1211" stopIfTrue="1" operator="equal">
      <formula>"Towel"</formula>
    </cfRule>
    <cfRule type="cellIs" dxfId="2706" priority="1212" stopIfTrue="1" operator="equal">
      <formula>"Napkin Hs"</formula>
    </cfRule>
  </conditionalFormatting>
  <conditionalFormatting sqref="C69:C73">
    <cfRule type="cellIs" dxfId="2705" priority="1210" stopIfTrue="1" operator="equal">
      <formula>"Napkin Hs"</formula>
    </cfRule>
  </conditionalFormatting>
  <conditionalFormatting sqref="C69:C73">
    <cfRule type="cellIs" dxfId="2704" priority="1207" stopIfTrue="1" operator="equal">
      <formula>"Towel"</formula>
    </cfRule>
    <cfRule type="cellIs" dxfId="2703" priority="1208" stopIfTrue="1" operator="equal">
      <formula>"Napkin Hs"</formula>
    </cfRule>
  </conditionalFormatting>
  <conditionalFormatting sqref="C69:C73">
    <cfRule type="cellIs" dxfId="2702" priority="1209" stopIfTrue="1" operator="equal">
      <formula>"Towel"</formula>
    </cfRule>
  </conditionalFormatting>
  <conditionalFormatting sqref="B69">
    <cfRule type="cellIs" dxfId="2701" priority="1205" stopIfTrue="1" operator="equal">
      <formula>"Towel"</formula>
    </cfRule>
    <cfRule type="cellIs" dxfId="2700" priority="1206" stopIfTrue="1" operator="equal">
      <formula>"Napkin Hs"</formula>
    </cfRule>
  </conditionalFormatting>
  <conditionalFormatting sqref="C68">
    <cfRule type="cellIs" dxfId="2699" priority="1197" stopIfTrue="1" operator="equal">
      <formula>"Towel"</formula>
    </cfRule>
    <cfRule type="cellIs" dxfId="2698" priority="1198" stopIfTrue="1" operator="equal">
      <formula>"Napkin Hs"</formula>
    </cfRule>
  </conditionalFormatting>
  <conditionalFormatting sqref="B68:C68">
    <cfRule type="cellIs" dxfId="2697" priority="1199" stopIfTrue="1" operator="equal">
      <formula>"Towel"</formula>
    </cfRule>
    <cfRule type="cellIs" dxfId="2696" priority="1200" stopIfTrue="1" operator="equal">
      <formula>"Napkin Hs"</formula>
    </cfRule>
  </conditionalFormatting>
  <conditionalFormatting sqref="C68">
    <cfRule type="cellIs" dxfId="2695" priority="1195" stopIfTrue="1" operator="equal">
      <formula>"Towel"</formula>
    </cfRule>
    <cfRule type="cellIs" dxfId="2694" priority="1196" stopIfTrue="1" operator="equal">
      <formula>"Napkin Hs"</formula>
    </cfRule>
  </conditionalFormatting>
  <conditionalFormatting sqref="B68:C68">
    <cfRule type="cellIs" dxfId="2693" priority="1193" stopIfTrue="1" operator="equal">
      <formula>"Towel"</formula>
    </cfRule>
    <cfRule type="cellIs" dxfId="2692" priority="1194" stopIfTrue="1" operator="equal">
      <formula>"Napkin Hs"</formula>
    </cfRule>
  </conditionalFormatting>
  <conditionalFormatting sqref="C68">
    <cfRule type="cellIs" dxfId="2691" priority="1201" stopIfTrue="1" operator="equal">
      <formula>"Towel"</formula>
    </cfRule>
    <cfRule type="cellIs" dxfId="2690" priority="1202" stopIfTrue="1" operator="equal">
      <formula>"Napkin Hs"</formula>
    </cfRule>
  </conditionalFormatting>
  <conditionalFormatting sqref="C68">
    <cfRule type="cellIs" dxfId="2689" priority="1203" stopIfTrue="1" operator="equal">
      <formula>"Towel"</formula>
    </cfRule>
    <cfRule type="cellIs" dxfId="2688" priority="1204" stopIfTrue="1" operator="equal">
      <formula>"Napkin Hs"</formula>
    </cfRule>
  </conditionalFormatting>
  <conditionalFormatting sqref="B68:C68">
    <cfRule type="cellIs" dxfId="2687" priority="1191" stopIfTrue="1" operator="equal">
      <formula>"Towel"</formula>
    </cfRule>
    <cfRule type="cellIs" dxfId="2686" priority="1192" stopIfTrue="1" operator="equal">
      <formula>"Napkin Hs"</formula>
    </cfRule>
  </conditionalFormatting>
  <conditionalFormatting sqref="C68">
    <cfRule type="cellIs" dxfId="2685" priority="1190" stopIfTrue="1" operator="equal">
      <formula>"Napkin Hs"</formula>
    </cfRule>
  </conditionalFormatting>
  <conditionalFormatting sqref="C68">
    <cfRule type="cellIs" dxfId="2684" priority="1187" stopIfTrue="1" operator="equal">
      <formula>"Towel"</formula>
    </cfRule>
    <cfRule type="cellIs" dxfId="2683" priority="1188" stopIfTrue="1" operator="equal">
      <formula>"Napkin Hs"</formula>
    </cfRule>
  </conditionalFormatting>
  <conditionalFormatting sqref="C68">
    <cfRule type="cellIs" dxfId="2682" priority="1189" stopIfTrue="1" operator="equal">
      <formula>"Towel"</formula>
    </cfRule>
  </conditionalFormatting>
  <conditionalFormatting sqref="B77:C78">
    <cfRule type="cellIs" dxfId="2681" priority="1185" stopIfTrue="1" operator="equal">
      <formula>"Towel"</formula>
    </cfRule>
    <cfRule type="cellIs" dxfId="2680" priority="1186" stopIfTrue="1" operator="equal">
      <formula>"Napkin Hs"</formula>
    </cfRule>
  </conditionalFormatting>
  <conditionalFormatting sqref="C77:C78">
    <cfRule type="cellIs" dxfId="2679" priority="1184" stopIfTrue="1" operator="equal">
      <formula>"Napkin Hs"</formula>
    </cfRule>
  </conditionalFormatting>
  <conditionalFormatting sqref="C77:C78">
    <cfRule type="cellIs" dxfId="2678" priority="1181" stopIfTrue="1" operator="equal">
      <formula>"Towel"</formula>
    </cfRule>
    <cfRule type="cellIs" dxfId="2677" priority="1182" stopIfTrue="1" operator="equal">
      <formula>"Napkin Hs"</formula>
    </cfRule>
  </conditionalFormatting>
  <conditionalFormatting sqref="C77:C78">
    <cfRule type="cellIs" dxfId="2676" priority="1183" stopIfTrue="1" operator="equal">
      <formula>"Towel"</formula>
    </cfRule>
  </conditionalFormatting>
  <conditionalFormatting sqref="C75:C76">
    <cfRule type="cellIs" dxfId="2675" priority="1171" stopIfTrue="1" operator="equal">
      <formula>"Towel"</formula>
    </cfRule>
    <cfRule type="cellIs" dxfId="2674" priority="1172" stopIfTrue="1" operator="equal">
      <formula>"Napkin Hs"</formula>
    </cfRule>
  </conditionalFormatting>
  <conditionalFormatting sqref="B75:C76">
    <cfRule type="cellIs" dxfId="2673" priority="1173" stopIfTrue="1" operator="equal">
      <formula>"Towel"</formula>
    </cfRule>
    <cfRule type="cellIs" dxfId="2672" priority="1174" stopIfTrue="1" operator="equal">
      <formula>"Napkin Hs"</formula>
    </cfRule>
  </conditionalFormatting>
  <conditionalFormatting sqref="C75:C76">
    <cfRule type="cellIs" dxfId="2671" priority="1169" stopIfTrue="1" operator="equal">
      <formula>"Towel"</formula>
    </cfRule>
    <cfRule type="cellIs" dxfId="2670" priority="1170" stopIfTrue="1" operator="equal">
      <formula>"Napkin Hs"</formula>
    </cfRule>
  </conditionalFormatting>
  <conditionalFormatting sqref="B75:C76">
    <cfRule type="cellIs" dxfId="2669" priority="1167" stopIfTrue="1" operator="equal">
      <formula>"Towel"</formula>
    </cfRule>
    <cfRule type="cellIs" dxfId="2668" priority="1168" stopIfTrue="1" operator="equal">
      <formula>"Napkin Hs"</formula>
    </cfRule>
  </conditionalFormatting>
  <conditionalFormatting sqref="C75:C76">
    <cfRule type="cellIs" dxfId="2667" priority="1175" stopIfTrue="1" operator="equal">
      <formula>"Towel"</formula>
    </cfRule>
    <cfRule type="cellIs" dxfId="2666" priority="1176" stopIfTrue="1" operator="equal">
      <formula>"Napkin Hs"</formula>
    </cfRule>
  </conditionalFormatting>
  <conditionalFormatting sqref="C75:C76">
    <cfRule type="cellIs" dxfId="2665" priority="1177" stopIfTrue="1" operator="equal">
      <formula>"Towel"</formula>
    </cfRule>
    <cfRule type="cellIs" dxfId="2664" priority="1178" stopIfTrue="1" operator="equal">
      <formula>"Napkin Hs"</formula>
    </cfRule>
  </conditionalFormatting>
  <conditionalFormatting sqref="B75:C76">
    <cfRule type="cellIs" dxfId="2663" priority="1165" stopIfTrue="1" operator="equal">
      <formula>"Towel"</formula>
    </cfRule>
    <cfRule type="cellIs" dxfId="2662" priority="1166" stopIfTrue="1" operator="equal">
      <formula>"Napkin Hs"</formula>
    </cfRule>
  </conditionalFormatting>
  <conditionalFormatting sqref="C75:C76">
    <cfRule type="cellIs" dxfId="2661" priority="1164" stopIfTrue="1" operator="equal">
      <formula>"Napkin Hs"</formula>
    </cfRule>
  </conditionalFormatting>
  <conditionalFormatting sqref="C75:C76">
    <cfRule type="cellIs" dxfId="2660" priority="1161" stopIfTrue="1" operator="equal">
      <formula>"Towel"</formula>
    </cfRule>
    <cfRule type="cellIs" dxfId="2659" priority="1162" stopIfTrue="1" operator="equal">
      <formula>"Napkin Hs"</formula>
    </cfRule>
  </conditionalFormatting>
  <conditionalFormatting sqref="C75:C76">
    <cfRule type="cellIs" dxfId="2658" priority="1163" stopIfTrue="1" operator="equal">
      <formula>"Towel"</formula>
    </cfRule>
  </conditionalFormatting>
  <conditionalFormatting sqref="B82:C83">
    <cfRule type="cellIs" dxfId="2657" priority="1159" stopIfTrue="1" operator="equal">
      <formula>"Towel"</formula>
    </cfRule>
    <cfRule type="cellIs" dxfId="2656" priority="1160" stopIfTrue="1" operator="equal">
      <formula>"Napkin Hs"</formula>
    </cfRule>
  </conditionalFormatting>
  <conditionalFormatting sqref="C82:C83">
    <cfRule type="cellIs" dxfId="2655" priority="1158" stopIfTrue="1" operator="equal">
      <formula>"Napkin Hs"</formula>
    </cfRule>
  </conditionalFormatting>
  <conditionalFormatting sqref="C82:C83">
    <cfRule type="cellIs" dxfId="2654" priority="1155" stopIfTrue="1" operator="equal">
      <formula>"Towel"</formula>
    </cfRule>
    <cfRule type="cellIs" dxfId="2653" priority="1156" stopIfTrue="1" operator="equal">
      <formula>"Napkin Hs"</formula>
    </cfRule>
  </conditionalFormatting>
  <conditionalFormatting sqref="C82:C83">
    <cfRule type="cellIs" dxfId="2652" priority="1157" stopIfTrue="1" operator="equal">
      <formula>"Towel"</formula>
    </cfRule>
  </conditionalFormatting>
  <conditionalFormatting sqref="C81">
    <cfRule type="cellIs" dxfId="2651" priority="1147" stopIfTrue="1" operator="equal">
      <formula>"Towel"</formula>
    </cfRule>
    <cfRule type="cellIs" dxfId="2650" priority="1148" stopIfTrue="1" operator="equal">
      <formula>"Napkin Hs"</formula>
    </cfRule>
  </conditionalFormatting>
  <conditionalFormatting sqref="B81:C81">
    <cfRule type="cellIs" dxfId="2649" priority="1149" stopIfTrue="1" operator="equal">
      <formula>"Towel"</formula>
    </cfRule>
    <cfRule type="cellIs" dxfId="2648" priority="1150" stopIfTrue="1" operator="equal">
      <formula>"Napkin Hs"</formula>
    </cfRule>
  </conditionalFormatting>
  <conditionalFormatting sqref="C81">
    <cfRule type="cellIs" dxfId="2647" priority="1145" stopIfTrue="1" operator="equal">
      <formula>"Towel"</formula>
    </cfRule>
    <cfRule type="cellIs" dxfId="2646" priority="1146" stopIfTrue="1" operator="equal">
      <formula>"Napkin Hs"</formula>
    </cfRule>
  </conditionalFormatting>
  <conditionalFormatting sqref="B81:C81">
    <cfRule type="cellIs" dxfId="2645" priority="1143" stopIfTrue="1" operator="equal">
      <formula>"Towel"</formula>
    </cfRule>
    <cfRule type="cellIs" dxfId="2644" priority="1144" stopIfTrue="1" operator="equal">
      <formula>"Napkin Hs"</formula>
    </cfRule>
  </conditionalFormatting>
  <conditionalFormatting sqref="C81">
    <cfRule type="cellIs" dxfId="2643" priority="1151" stopIfTrue="1" operator="equal">
      <formula>"Towel"</formula>
    </cfRule>
    <cfRule type="cellIs" dxfId="2642" priority="1152" stopIfTrue="1" operator="equal">
      <formula>"Napkin Hs"</formula>
    </cfRule>
  </conditionalFormatting>
  <conditionalFormatting sqref="C81">
    <cfRule type="cellIs" dxfId="2641" priority="1153" stopIfTrue="1" operator="equal">
      <formula>"Towel"</formula>
    </cfRule>
    <cfRule type="cellIs" dxfId="2640" priority="1154" stopIfTrue="1" operator="equal">
      <formula>"Napkin Hs"</formula>
    </cfRule>
  </conditionalFormatting>
  <conditionalFormatting sqref="B81:C81">
    <cfRule type="cellIs" dxfId="2639" priority="1141" stopIfTrue="1" operator="equal">
      <formula>"Towel"</formula>
    </cfRule>
    <cfRule type="cellIs" dxfId="2638" priority="1142" stopIfTrue="1" operator="equal">
      <formula>"Napkin Hs"</formula>
    </cfRule>
  </conditionalFormatting>
  <conditionalFormatting sqref="C81">
    <cfRule type="cellIs" dxfId="2637" priority="1140" stopIfTrue="1" operator="equal">
      <formula>"Napkin Hs"</formula>
    </cfRule>
  </conditionalFormatting>
  <conditionalFormatting sqref="C81">
    <cfRule type="cellIs" dxfId="2636" priority="1137" stopIfTrue="1" operator="equal">
      <formula>"Towel"</formula>
    </cfRule>
    <cfRule type="cellIs" dxfId="2635" priority="1138" stopIfTrue="1" operator="equal">
      <formula>"Napkin Hs"</formula>
    </cfRule>
  </conditionalFormatting>
  <conditionalFormatting sqref="C81">
    <cfRule type="cellIs" dxfId="2634" priority="1139" stopIfTrue="1" operator="equal">
      <formula>"Towel"</formula>
    </cfRule>
  </conditionalFormatting>
  <conditionalFormatting sqref="B87:C88">
    <cfRule type="cellIs" dxfId="2633" priority="1135" stopIfTrue="1" operator="equal">
      <formula>"Towel"</formula>
    </cfRule>
    <cfRule type="cellIs" dxfId="2632" priority="1136" stopIfTrue="1" operator="equal">
      <formula>"Napkin Hs"</formula>
    </cfRule>
  </conditionalFormatting>
  <conditionalFormatting sqref="C87:C88">
    <cfRule type="cellIs" dxfId="2631" priority="1134" stopIfTrue="1" operator="equal">
      <formula>"Napkin Hs"</formula>
    </cfRule>
  </conditionalFormatting>
  <conditionalFormatting sqref="C87:C88">
    <cfRule type="cellIs" dxfId="2630" priority="1131" stopIfTrue="1" operator="equal">
      <formula>"Towel"</formula>
    </cfRule>
    <cfRule type="cellIs" dxfId="2629" priority="1132" stopIfTrue="1" operator="equal">
      <formula>"Napkin Hs"</formula>
    </cfRule>
  </conditionalFormatting>
  <conditionalFormatting sqref="C87:C88">
    <cfRule type="cellIs" dxfId="2628" priority="1133" stopIfTrue="1" operator="equal">
      <formula>"Towel"</formula>
    </cfRule>
  </conditionalFormatting>
  <conditionalFormatting sqref="C86">
    <cfRule type="cellIs" dxfId="2627" priority="1123" stopIfTrue="1" operator="equal">
      <formula>"Towel"</formula>
    </cfRule>
    <cfRule type="cellIs" dxfId="2626" priority="1124" stopIfTrue="1" operator="equal">
      <formula>"Napkin Hs"</formula>
    </cfRule>
  </conditionalFormatting>
  <conditionalFormatting sqref="B86:C86">
    <cfRule type="cellIs" dxfId="2625" priority="1125" stopIfTrue="1" operator="equal">
      <formula>"Towel"</formula>
    </cfRule>
    <cfRule type="cellIs" dxfId="2624" priority="1126" stopIfTrue="1" operator="equal">
      <formula>"Napkin Hs"</formula>
    </cfRule>
  </conditionalFormatting>
  <conditionalFormatting sqref="C86">
    <cfRule type="cellIs" dxfId="2623" priority="1121" stopIfTrue="1" operator="equal">
      <formula>"Towel"</formula>
    </cfRule>
    <cfRule type="cellIs" dxfId="2622" priority="1122" stopIfTrue="1" operator="equal">
      <formula>"Napkin Hs"</formula>
    </cfRule>
  </conditionalFormatting>
  <conditionalFormatting sqref="B86:C86">
    <cfRule type="cellIs" dxfId="2621" priority="1119" stopIfTrue="1" operator="equal">
      <formula>"Towel"</formula>
    </cfRule>
    <cfRule type="cellIs" dxfId="2620" priority="1120" stopIfTrue="1" operator="equal">
      <formula>"Napkin Hs"</formula>
    </cfRule>
  </conditionalFormatting>
  <conditionalFormatting sqref="C86">
    <cfRule type="cellIs" dxfId="2619" priority="1127" stopIfTrue="1" operator="equal">
      <formula>"Towel"</formula>
    </cfRule>
    <cfRule type="cellIs" dxfId="2618" priority="1128" stopIfTrue="1" operator="equal">
      <formula>"Napkin Hs"</formula>
    </cfRule>
  </conditionalFormatting>
  <conditionalFormatting sqref="C86">
    <cfRule type="cellIs" dxfId="2617" priority="1129" stopIfTrue="1" operator="equal">
      <formula>"Towel"</formula>
    </cfRule>
    <cfRule type="cellIs" dxfId="2616" priority="1130" stopIfTrue="1" operator="equal">
      <formula>"Napkin Hs"</formula>
    </cfRule>
  </conditionalFormatting>
  <conditionalFormatting sqref="B86:C86">
    <cfRule type="cellIs" dxfId="2615" priority="1117" stopIfTrue="1" operator="equal">
      <formula>"Towel"</formula>
    </cfRule>
    <cfRule type="cellIs" dxfId="2614" priority="1118" stopIfTrue="1" operator="equal">
      <formula>"Napkin Hs"</formula>
    </cfRule>
  </conditionalFormatting>
  <conditionalFormatting sqref="C86">
    <cfRule type="cellIs" dxfId="2613" priority="1116" stopIfTrue="1" operator="equal">
      <formula>"Napkin Hs"</formula>
    </cfRule>
  </conditionalFormatting>
  <conditionalFormatting sqref="C86">
    <cfRule type="cellIs" dxfId="2612" priority="1113" stopIfTrue="1" operator="equal">
      <formula>"Towel"</formula>
    </cfRule>
    <cfRule type="cellIs" dxfId="2611" priority="1114" stopIfTrue="1" operator="equal">
      <formula>"Napkin Hs"</formula>
    </cfRule>
  </conditionalFormatting>
  <conditionalFormatting sqref="C86">
    <cfRule type="cellIs" dxfId="2610" priority="1115" stopIfTrue="1" operator="equal">
      <formula>"Towel"</formula>
    </cfRule>
  </conditionalFormatting>
  <conditionalFormatting sqref="C80">
    <cfRule type="cellIs" dxfId="2609" priority="1105" stopIfTrue="1" operator="equal">
      <formula>"Towel"</formula>
    </cfRule>
    <cfRule type="cellIs" dxfId="2608" priority="1106" stopIfTrue="1" operator="equal">
      <formula>"Napkin Hs"</formula>
    </cfRule>
  </conditionalFormatting>
  <conditionalFormatting sqref="B80:C80">
    <cfRule type="cellIs" dxfId="2607" priority="1107" stopIfTrue="1" operator="equal">
      <formula>"Towel"</formula>
    </cfRule>
    <cfRule type="cellIs" dxfId="2606" priority="1108" stopIfTrue="1" operator="equal">
      <formula>"Napkin Hs"</formula>
    </cfRule>
  </conditionalFormatting>
  <conditionalFormatting sqref="C80">
    <cfRule type="cellIs" dxfId="2605" priority="1103" stopIfTrue="1" operator="equal">
      <formula>"Towel"</formula>
    </cfRule>
    <cfRule type="cellIs" dxfId="2604" priority="1104" stopIfTrue="1" operator="equal">
      <formula>"Napkin Hs"</formula>
    </cfRule>
  </conditionalFormatting>
  <conditionalFormatting sqref="B80:C80">
    <cfRule type="cellIs" dxfId="2603" priority="1101" stopIfTrue="1" operator="equal">
      <formula>"Towel"</formula>
    </cfRule>
    <cfRule type="cellIs" dxfId="2602" priority="1102" stopIfTrue="1" operator="equal">
      <formula>"Napkin Hs"</formula>
    </cfRule>
  </conditionalFormatting>
  <conditionalFormatting sqref="C80">
    <cfRule type="cellIs" dxfId="2601" priority="1109" stopIfTrue="1" operator="equal">
      <formula>"Towel"</formula>
    </cfRule>
    <cfRule type="cellIs" dxfId="2600" priority="1110" stopIfTrue="1" operator="equal">
      <formula>"Napkin Hs"</formula>
    </cfRule>
  </conditionalFormatting>
  <conditionalFormatting sqref="C80">
    <cfRule type="cellIs" dxfId="2599" priority="1111" stopIfTrue="1" operator="equal">
      <formula>"Towel"</formula>
    </cfRule>
    <cfRule type="cellIs" dxfId="2598" priority="1112" stopIfTrue="1" operator="equal">
      <formula>"Napkin Hs"</formula>
    </cfRule>
  </conditionalFormatting>
  <conditionalFormatting sqref="B80:C80">
    <cfRule type="cellIs" dxfId="2597" priority="1099" stopIfTrue="1" operator="equal">
      <formula>"Towel"</formula>
    </cfRule>
    <cfRule type="cellIs" dxfId="2596" priority="1100" stopIfTrue="1" operator="equal">
      <formula>"Napkin Hs"</formula>
    </cfRule>
  </conditionalFormatting>
  <conditionalFormatting sqref="C80">
    <cfRule type="cellIs" dxfId="2595" priority="1098" stopIfTrue="1" operator="equal">
      <formula>"Napkin Hs"</formula>
    </cfRule>
  </conditionalFormatting>
  <conditionalFormatting sqref="C80">
    <cfRule type="cellIs" dxfId="2594" priority="1095" stopIfTrue="1" operator="equal">
      <formula>"Towel"</formula>
    </cfRule>
    <cfRule type="cellIs" dxfId="2593" priority="1096" stopIfTrue="1" operator="equal">
      <formula>"Napkin Hs"</formula>
    </cfRule>
  </conditionalFormatting>
  <conditionalFormatting sqref="C80">
    <cfRule type="cellIs" dxfId="2592" priority="1097" stopIfTrue="1" operator="equal">
      <formula>"Towel"</formula>
    </cfRule>
  </conditionalFormatting>
  <conditionalFormatting sqref="C85">
    <cfRule type="cellIs" dxfId="2591" priority="1087" stopIfTrue="1" operator="equal">
      <formula>"Towel"</formula>
    </cfRule>
    <cfRule type="cellIs" dxfId="2590" priority="1088" stopIfTrue="1" operator="equal">
      <formula>"Napkin Hs"</formula>
    </cfRule>
  </conditionalFormatting>
  <conditionalFormatting sqref="B85:C85">
    <cfRule type="cellIs" dxfId="2589" priority="1089" stopIfTrue="1" operator="equal">
      <formula>"Towel"</formula>
    </cfRule>
    <cfRule type="cellIs" dxfId="2588" priority="1090" stopIfTrue="1" operator="equal">
      <formula>"Napkin Hs"</formula>
    </cfRule>
  </conditionalFormatting>
  <conditionalFormatting sqref="C85">
    <cfRule type="cellIs" dxfId="2587" priority="1085" stopIfTrue="1" operator="equal">
      <formula>"Towel"</formula>
    </cfRule>
    <cfRule type="cellIs" dxfId="2586" priority="1086" stopIfTrue="1" operator="equal">
      <formula>"Napkin Hs"</formula>
    </cfRule>
  </conditionalFormatting>
  <conditionalFormatting sqref="B85:C85">
    <cfRule type="cellIs" dxfId="2585" priority="1083" stopIfTrue="1" operator="equal">
      <formula>"Towel"</formula>
    </cfRule>
    <cfRule type="cellIs" dxfId="2584" priority="1084" stopIfTrue="1" operator="equal">
      <formula>"Napkin Hs"</formula>
    </cfRule>
  </conditionalFormatting>
  <conditionalFormatting sqref="C85">
    <cfRule type="cellIs" dxfId="2583" priority="1091" stopIfTrue="1" operator="equal">
      <formula>"Towel"</formula>
    </cfRule>
    <cfRule type="cellIs" dxfId="2582" priority="1092" stopIfTrue="1" operator="equal">
      <formula>"Napkin Hs"</formula>
    </cfRule>
  </conditionalFormatting>
  <conditionalFormatting sqref="C85">
    <cfRule type="cellIs" dxfId="2581" priority="1093" stopIfTrue="1" operator="equal">
      <formula>"Towel"</formula>
    </cfRule>
    <cfRule type="cellIs" dxfId="2580" priority="1094" stopIfTrue="1" operator="equal">
      <formula>"Napkin Hs"</formula>
    </cfRule>
  </conditionalFormatting>
  <conditionalFormatting sqref="B85:C85">
    <cfRule type="cellIs" dxfId="2579" priority="1081" stopIfTrue="1" operator="equal">
      <formula>"Towel"</formula>
    </cfRule>
    <cfRule type="cellIs" dxfId="2578" priority="1082" stopIfTrue="1" operator="equal">
      <formula>"Napkin Hs"</formula>
    </cfRule>
  </conditionalFormatting>
  <conditionalFormatting sqref="C85">
    <cfRule type="cellIs" dxfId="2577" priority="1080" stopIfTrue="1" operator="equal">
      <formula>"Napkin Hs"</formula>
    </cfRule>
  </conditionalFormatting>
  <conditionalFormatting sqref="C85">
    <cfRule type="cellIs" dxfId="2576" priority="1077" stopIfTrue="1" operator="equal">
      <formula>"Towel"</formula>
    </cfRule>
    <cfRule type="cellIs" dxfId="2575" priority="1078" stopIfTrue="1" operator="equal">
      <formula>"Napkin Hs"</formula>
    </cfRule>
  </conditionalFormatting>
  <conditionalFormatting sqref="C85">
    <cfRule type="cellIs" dxfId="2574" priority="1079" stopIfTrue="1" operator="equal">
      <formula>"Towel"</formula>
    </cfRule>
  </conditionalFormatting>
  <conditionalFormatting sqref="B94:C94">
    <cfRule type="cellIs" dxfId="2573" priority="1075" stopIfTrue="1" operator="equal">
      <formula>"Towel"</formula>
    </cfRule>
    <cfRule type="cellIs" dxfId="2572" priority="1076" stopIfTrue="1" operator="equal">
      <formula>"Napkin Hs"</formula>
    </cfRule>
  </conditionalFormatting>
  <conditionalFormatting sqref="C94">
    <cfRule type="cellIs" dxfId="2571" priority="1073" stopIfTrue="1" operator="equal">
      <formula>"Towel"</formula>
    </cfRule>
    <cfRule type="cellIs" dxfId="2570" priority="1074" stopIfTrue="1" operator="equal">
      <formula>"Napkin Hs"</formula>
    </cfRule>
  </conditionalFormatting>
  <conditionalFormatting sqref="C94">
    <cfRule type="cellIs" dxfId="2569" priority="1071" stopIfTrue="1" operator="equal">
      <formula>"Towel"</formula>
    </cfRule>
    <cfRule type="cellIs" dxfId="2568" priority="1072" stopIfTrue="1" operator="equal">
      <formula>"Napkin Hs"</formula>
    </cfRule>
  </conditionalFormatting>
  <conditionalFormatting sqref="C94">
    <cfRule type="cellIs" dxfId="2567" priority="1063" stopIfTrue="1" operator="equal">
      <formula>"Towel"</formula>
    </cfRule>
    <cfRule type="cellIs" dxfId="2566" priority="1064" stopIfTrue="1" operator="equal">
      <formula>"Napkin Hs"</formula>
    </cfRule>
  </conditionalFormatting>
  <conditionalFormatting sqref="B94:C94">
    <cfRule type="cellIs" dxfId="2565" priority="1065" stopIfTrue="1" operator="equal">
      <formula>"Towel"</formula>
    </cfRule>
    <cfRule type="cellIs" dxfId="2564" priority="1066" stopIfTrue="1" operator="equal">
      <formula>"Napkin Hs"</formula>
    </cfRule>
  </conditionalFormatting>
  <conditionalFormatting sqref="C94">
    <cfRule type="cellIs" dxfId="2563" priority="1061" stopIfTrue="1" operator="equal">
      <formula>"Towel"</formula>
    </cfRule>
    <cfRule type="cellIs" dxfId="2562" priority="1062" stopIfTrue="1" operator="equal">
      <formula>"Napkin Hs"</formula>
    </cfRule>
  </conditionalFormatting>
  <conditionalFormatting sqref="B94:C94">
    <cfRule type="cellIs" dxfId="2561" priority="1059" stopIfTrue="1" operator="equal">
      <formula>"Towel"</formula>
    </cfRule>
    <cfRule type="cellIs" dxfId="2560" priority="1060" stopIfTrue="1" operator="equal">
      <formula>"Napkin Hs"</formula>
    </cfRule>
  </conditionalFormatting>
  <conditionalFormatting sqref="C94">
    <cfRule type="cellIs" dxfId="2559" priority="1067" stopIfTrue="1" operator="equal">
      <formula>"Towel"</formula>
    </cfRule>
    <cfRule type="cellIs" dxfId="2558" priority="1068" stopIfTrue="1" operator="equal">
      <formula>"Napkin Hs"</formula>
    </cfRule>
  </conditionalFormatting>
  <conditionalFormatting sqref="C94">
    <cfRule type="cellIs" dxfId="2557" priority="1069" stopIfTrue="1" operator="equal">
      <formula>"Towel"</formula>
    </cfRule>
    <cfRule type="cellIs" dxfId="2556" priority="1070" stopIfTrue="1" operator="equal">
      <formula>"Napkin Hs"</formula>
    </cfRule>
  </conditionalFormatting>
  <conditionalFormatting sqref="B92:C93">
    <cfRule type="cellIs" dxfId="2555" priority="1057" stopIfTrue="1" operator="equal">
      <formula>"Towel"</formula>
    </cfRule>
    <cfRule type="cellIs" dxfId="2554" priority="1058" stopIfTrue="1" operator="equal">
      <formula>"Napkin Hs"</formula>
    </cfRule>
  </conditionalFormatting>
  <conditionalFormatting sqref="C92:C93">
    <cfRule type="cellIs" dxfId="2553" priority="1056" stopIfTrue="1" operator="equal">
      <formula>"Napkin Hs"</formula>
    </cfRule>
  </conditionalFormatting>
  <conditionalFormatting sqref="C92:C93">
    <cfRule type="cellIs" dxfId="2552" priority="1053" stopIfTrue="1" operator="equal">
      <formula>"Towel"</formula>
    </cfRule>
    <cfRule type="cellIs" dxfId="2551" priority="1054" stopIfTrue="1" operator="equal">
      <formula>"Napkin Hs"</formula>
    </cfRule>
  </conditionalFormatting>
  <conditionalFormatting sqref="C92:C93">
    <cfRule type="cellIs" dxfId="2550" priority="1055" stopIfTrue="1" operator="equal">
      <formula>"Towel"</formula>
    </cfRule>
  </conditionalFormatting>
  <conditionalFormatting sqref="C90">
    <cfRule type="cellIs" dxfId="2549" priority="1009" stopIfTrue="1" operator="equal">
      <formula>"Towel"</formula>
    </cfRule>
    <cfRule type="cellIs" dxfId="2548" priority="1010" stopIfTrue="1" operator="equal">
      <formula>"Napkin Hs"</formula>
    </cfRule>
  </conditionalFormatting>
  <conditionalFormatting sqref="B90:C90">
    <cfRule type="cellIs" dxfId="2547" priority="1011" stopIfTrue="1" operator="equal">
      <formula>"Towel"</formula>
    </cfRule>
    <cfRule type="cellIs" dxfId="2546" priority="1012" stopIfTrue="1" operator="equal">
      <formula>"Napkin Hs"</formula>
    </cfRule>
  </conditionalFormatting>
  <conditionalFormatting sqref="C90">
    <cfRule type="cellIs" dxfId="2545" priority="1007" stopIfTrue="1" operator="equal">
      <formula>"Towel"</formula>
    </cfRule>
    <cfRule type="cellIs" dxfId="2544" priority="1008" stopIfTrue="1" operator="equal">
      <formula>"Napkin Hs"</formula>
    </cfRule>
  </conditionalFormatting>
  <conditionalFormatting sqref="B90:C90">
    <cfRule type="cellIs" dxfId="2543" priority="1005" stopIfTrue="1" operator="equal">
      <formula>"Towel"</formula>
    </cfRule>
    <cfRule type="cellIs" dxfId="2542" priority="1006" stopIfTrue="1" operator="equal">
      <formula>"Napkin Hs"</formula>
    </cfRule>
  </conditionalFormatting>
  <conditionalFormatting sqref="C90">
    <cfRule type="cellIs" dxfId="2541" priority="1013" stopIfTrue="1" operator="equal">
      <formula>"Towel"</formula>
    </cfRule>
    <cfRule type="cellIs" dxfId="2540" priority="1014" stopIfTrue="1" operator="equal">
      <formula>"Napkin Hs"</formula>
    </cfRule>
  </conditionalFormatting>
  <conditionalFormatting sqref="C90">
    <cfRule type="cellIs" dxfId="2539" priority="1015" stopIfTrue="1" operator="equal">
      <formula>"Towel"</formula>
    </cfRule>
    <cfRule type="cellIs" dxfId="2538" priority="1016" stopIfTrue="1" operator="equal">
      <formula>"Napkin Hs"</formula>
    </cfRule>
  </conditionalFormatting>
  <conditionalFormatting sqref="B90:C90">
    <cfRule type="cellIs" dxfId="2537" priority="1003" stopIfTrue="1" operator="equal">
      <formula>"Towel"</formula>
    </cfRule>
    <cfRule type="cellIs" dxfId="2536" priority="1004" stopIfTrue="1" operator="equal">
      <formula>"Napkin Hs"</formula>
    </cfRule>
  </conditionalFormatting>
  <conditionalFormatting sqref="C90">
    <cfRule type="cellIs" dxfId="2535" priority="1002" stopIfTrue="1" operator="equal">
      <formula>"Napkin Hs"</formula>
    </cfRule>
  </conditionalFormatting>
  <conditionalFormatting sqref="C90">
    <cfRule type="cellIs" dxfId="2534" priority="999" stopIfTrue="1" operator="equal">
      <formula>"Towel"</formula>
    </cfRule>
    <cfRule type="cellIs" dxfId="2533" priority="1000" stopIfTrue="1" operator="equal">
      <formula>"Napkin Hs"</formula>
    </cfRule>
  </conditionalFormatting>
  <conditionalFormatting sqref="C90">
    <cfRule type="cellIs" dxfId="2532" priority="1001" stopIfTrue="1" operator="equal">
      <formula>"Towel"</formula>
    </cfRule>
  </conditionalFormatting>
  <conditionalFormatting sqref="C91">
    <cfRule type="cellIs" dxfId="2531" priority="991" stopIfTrue="1" operator="equal">
      <formula>"Towel"</formula>
    </cfRule>
    <cfRule type="cellIs" dxfId="2530" priority="992" stopIfTrue="1" operator="equal">
      <formula>"Napkin Hs"</formula>
    </cfRule>
  </conditionalFormatting>
  <conditionalFormatting sqref="B91:C91">
    <cfRule type="cellIs" dxfId="2529" priority="993" stopIfTrue="1" operator="equal">
      <formula>"Towel"</formula>
    </cfRule>
    <cfRule type="cellIs" dxfId="2528" priority="994" stopIfTrue="1" operator="equal">
      <formula>"Napkin Hs"</formula>
    </cfRule>
  </conditionalFormatting>
  <conditionalFormatting sqref="C91">
    <cfRule type="cellIs" dxfId="2527" priority="989" stopIfTrue="1" operator="equal">
      <formula>"Towel"</formula>
    </cfRule>
    <cfRule type="cellIs" dxfId="2526" priority="990" stopIfTrue="1" operator="equal">
      <formula>"Napkin Hs"</formula>
    </cfRule>
  </conditionalFormatting>
  <conditionalFormatting sqref="B91:C91">
    <cfRule type="cellIs" dxfId="2525" priority="987" stopIfTrue="1" operator="equal">
      <formula>"Towel"</formula>
    </cfRule>
    <cfRule type="cellIs" dxfId="2524" priority="988" stopIfTrue="1" operator="equal">
      <formula>"Napkin Hs"</formula>
    </cfRule>
  </conditionalFormatting>
  <conditionalFormatting sqref="C91">
    <cfRule type="cellIs" dxfId="2523" priority="995" stopIfTrue="1" operator="equal">
      <formula>"Towel"</formula>
    </cfRule>
    <cfRule type="cellIs" dxfId="2522" priority="996" stopIfTrue="1" operator="equal">
      <formula>"Napkin Hs"</formula>
    </cfRule>
  </conditionalFormatting>
  <conditionalFormatting sqref="C91">
    <cfRule type="cellIs" dxfId="2521" priority="997" stopIfTrue="1" operator="equal">
      <formula>"Towel"</formula>
    </cfRule>
    <cfRule type="cellIs" dxfId="2520" priority="998" stopIfTrue="1" operator="equal">
      <formula>"Napkin Hs"</formula>
    </cfRule>
  </conditionalFormatting>
  <conditionalFormatting sqref="B91:C91">
    <cfRule type="cellIs" dxfId="2519" priority="985" stopIfTrue="1" operator="equal">
      <formula>"Towel"</formula>
    </cfRule>
    <cfRule type="cellIs" dxfId="2518" priority="986" stopIfTrue="1" operator="equal">
      <formula>"Napkin Hs"</formula>
    </cfRule>
  </conditionalFormatting>
  <conditionalFormatting sqref="C91">
    <cfRule type="cellIs" dxfId="2517" priority="984" stopIfTrue="1" operator="equal">
      <formula>"Napkin Hs"</formula>
    </cfRule>
  </conditionalFormatting>
  <conditionalFormatting sqref="C91">
    <cfRule type="cellIs" dxfId="2516" priority="981" stopIfTrue="1" operator="equal">
      <formula>"Towel"</formula>
    </cfRule>
    <cfRule type="cellIs" dxfId="2515" priority="982" stopIfTrue="1" operator="equal">
      <formula>"Napkin Hs"</formula>
    </cfRule>
  </conditionalFormatting>
  <conditionalFormatting sqref="C91">
    <cfRule type="cellIs" dxfId="2514" priority="983" stopIfTrue="1" operator="equal">
      <formula>"Towel"</formula>
    </cfRule>
  </conditionalFormatting>
  <conditionalFormatting sqref="B97:C98">
    <cfRule type="cellIs" dxfId="2513" priority="979" stopIfTrue="1" operator="equal">
      <formula>"Towel"</formula>
    </cfRule>
    <cfRule type="cellIs" dxfId="2512" priority="980" stopIfTrue="1" operator="equal">
      <formula>"Napkin Hs"</formula>
    </cfRule>
  </conditionalFormatting>
  <conditionalFormatting sqref="C97:C98">
    <cfRule type="cellIs" dxfId="2511" priority="978" stopIfTrue="1" operator="equal">
      <formula>"Napkin Hs"</formula>
    </cfRule>
  </conditionalFormatting>
  <conditionalFormatting sqref="C97:C98">
    <cfRule type="cellIs" dxfId="2510" priority="975" stopIfTrue="1" operator="equal">
      <formula>"Towel"</formula>
    </cfRule>
    <cfRule type="cellIs" dxfId="2509" priority="976" stopIfTrue="1" operator="equal">
      <formula>"Napkin Hs"</formula>
    </cfRule>
  </conditionalFormatting>
  <conditionalFormatting sqref="C97:C98">
    <cfRule type="cellIs" dxfId="2508" priority="977" stopIfTrue="1" operator="equal">
      <formula>"Towel"</formula>
    </cfRule>
  </conditionalFormatting>
  <conditionalFormatting sqref="C95">
    <cfRule type="cellIs" dxfId="2507" priority="931" stopIfTrue="1" operator="equal">
      <formula>"Towel"</formula>
    </cfRule>
    <cfRule type="cellIs" dxfId="2506" priority="932" stopIfTrue="1" operator="equal">
      <formula>"Napkin Hs"</formula>
    </cfRule>
  </conditionalFormatting>
  <conditionalFormatting sqref="B95:C95">
    <cfRule type="cellIs" dxfId="2505" priority="933" stopIfTrue="1" operator="equal">
      <formula>"Towel"</formula>
    </cfRule>
    <cfRule type="cellIs" dxfId="2504" priority="934" stopIfTrue="1" operator="equal">
      <formula>"Napkin Hs"</formula>
    </cfRule>
  </conditionalFormatting>
  <conditionalFormatting sqref="C95">
    <cfRule type="cellIs" dxfId="2503" priority="929" stopIfTrue="1" operator="equal">
      <formula>"Towel"</formula>
    </cfRule>
    <cfRule type="cellIs" dxfId="2502" priority="930" stopIfTrue="1" operator="equal">
      <formula>"Napkin Hs"</formula>
    </cfRule>
  </conditionalFormatting>
  <conditionalFormatting sqref="B95:C95">
    <cfRule type="cellIs" dxfId="2501" priority="927" stopIfTrue="1" operator="equal">
      <formula>"Towel"</formula>
    </cfRule>
    <cfRule type="cellIs" dxfId="2500" priority="928" stopIfTrue="1" operator="equal">
      <formula>"Napkin Hs"</formula>
    </cfRule>
  </conditionalFormatting>
  <conditionalFormatting sqref="C95">
    <cfRule type="cellIs" dxfId="2499" priority="935" stopIfTrue="1" operator="equal">
      <formula>"Towel"</formula>
    </cfRule>
    <cfRule type="cellIs" dxfId="2498" priority="936" stopIfTrue="1" operator="equal">
      <formula>"Napkin Hs"</formula>
    </cfRule>
  </conditionalFormatting>
  <conditionalFormatting sqref="C95">
    <cfRule type="cellIs" dxfId="2497" priority="937" stopIfTrue="1" operator="equal">
      <formula>"Towel"</formula>
    </cfRule>
    <cfRule type="cellIs" dxfId="2496" priority="938" stopIfTrue="1" operator="equal">
      <formula>"Napkin Hs"</formula>
    </cfRule>
  </conditionalFormatting>
  <conditionalFormatting sqref="B95:C95">
    <cfRule type="cellIs" dxfId="2495" priority="925" stopIfTrue="1" operator="equal">
      <formula>"Towel"</formula>
    </cfRule>
    <cfRule type="cellIs" dxfId="2494" priority="926" stopIfTrue="1" operator="equal">
      <formula>"Napkin Hs"</formula>
    </cfRule>
  </conditionalFormatting>
  <conditionalFormatting sqref="C95">
    <cfRule type="cellIs" dxfId="2493" priority="924" stopIfTrue="1" operator="equal">
      <formula>"Napkin Hs"</formula>
    </cfRule>
  </conditionalFormatting>
  <conditionalFormatting sqref="C95">
    <cfRule type="cellIs" dxfId="2492" priority="921" stopIfTrue="1" operator="equal">
      <formula>"Towel"</formula>
    </cfRule>
    <cfRule type="cellIs" dxfId="2491" priority="922" stopIfTrue="1" operator="equal">
      <formula>"Napkin Hs"</formula>
    </cfRule>
  </conditionalFormatting>
  <conditionalFormatting sqref="C95">
    <cfRule type="cellIs" dxfId="2490" priority="923" stopIfTrue="1" operator="equal">
      <formula>"Towel"</formula>
    </cfRule>
  </conditionalFormatting>
  <conditionalFormatting sqref="C96">
    <cfRule type="cellIs" dxfId="2489" priority="913" stopIfTrue="1" operator="equal">
      <formula>"Towel"</formula>
    </cfRule>
    <cfRule type="cellIs" dxfId="2488" priority="914" stopIfTrue="1" operator="equal">
      <formula>"Napkin Hs"</formula>
    </cfRule>
  </conditionalFormatting>
  <conditionalFormatting sqref="B96:C96">
    <cfRule type="cellIs" dxfId="2487" priority="915" stopIfTrue="1" operator="equal">
      <formula>"Towel"</formula>
    </cfRule>
    <cfRule type="cellIs" dxfId="2486" priority="916" stopIfTrue="1" operator="equal">
      <formula>"Napkin Hs"</formula>
    </cfRule>
  </conditionalFormatting>
  <conditionalFormatting sqref="C96">
    <cfRule type="cellIs" dxfId="2485" priority="911" stopIfTrue="1" operator="equal">
      <formula>"Towel"</formula>
    </cfRule>
    <cfRule type="cellIs" dxfId="2484" priority="912" stopIfTrue="1" operator="equal">
      <formula>"Napkin Hs"</formula>
    </cfRule>
  </conditionalFormatting>
  <conditionalFormatting sqref="B96:C96">
    <cfRule type="cellIs" dxfId="2483" priority="909" stopIfTrue="1" operator="equal">
      <formula>"Towel"</formula>
    </cfRule>
    <cfRule type="cellIs" dxfId="2482" priority="910" stopIfTrue="1" operator="equal">
      <formula>"Napkin Hs"</formula>
    </cfRule>
  </conditionalFormatting>
  <conditionalFormatting sqref="C96">
    <cfRule type="cellIs" dxfId="2481" priority="917" stopIfTrue="1" operator="equal">
      <formula>"Towel"</formula>
    </cfRule>
    <cfRule type="cellIs" dxfId="2480" priority="918" stopIfTrue="1" operator="equal">
      <formula>"Napkin Hs"</formula>
    </cfRule>
  </conditionalFormatting>
  <conditionalFormatting sqref="C96">
    <cfRule type="cellIs" dxfId="2479" priority="919" stopIfTrue="1" operator="equal">
      <formula>"Towel"</formula>
    </cfRule>
    <cfRule type="cellIs" dxfId="2478" priority="920" stopIfTrue="1" operator="equal">
      <formula>"Napkin Hs"</formula>
    </cfRule>
  </conditionalFormatting>
  <conditionalFormatting sqref="B96:C96">
    <cfRule type="cellIs" dxfId="2477" priority="907" stopIfTrue="1" operator="equal">
      <formula>"Towel"</formula>
    </cfRule>
    <cfRule type="cellIs" dxfId="2476" priority="908" stopIfTrue="1" operator="equal">
      <formula>"Napkin Hs"</formula>
    </cfRule>
  </conditionalFormatting>
  <conditionalFormatting sqref="C96">
    <cfRule type="cellIs" dxfId="2475" priority="906" stopIfTrue="1" operator="equal">
      <formula>"Napkin Hs"</formula>
    </cfRule>
  </conditionalFormatting>
  <conditionalFormatting sqref="C96">
    <cfRule type="cellIs" dxfId="2474" priority="903" stopIfTrue="1" operator="equal">
      <formula>"Towel"</formula>
    </cfRule>
    <cfRule type="cellIs" dxfId="2473" priority="904" stopIfTrue="1" operator="equal">
      <formula>"Napkin Hs"</formula>
    </cfRule>
  </conditionalFormatting>
  <conditionalFormatting sqref="C96">
    <cfRule type="cellIs" dxfId="2472" priority="905" stopIfTrue="1" operator="equal">
      <formula>"Towel"</formula>
    </cfRule>
  </conditionalFormatting>
  <conditionalFormatting sqref="B99:C99">
    <cfRule type="cellIs" dxfId="2471" priority="901" stopIfTrue="1" operator="equal">
      <formula>"Towel"</formula>
    </cfRule>
    <cfRule type="cellIs" dxfId="2470" priority="902" stopIfTrue="1" operator="equal">
      <formula>"Napkin Hs"</formula>
    </cfRule>
  </conditionalFormatting>
  <conditionalFormatting sqref="C99">
    <cfRule type="cellIs" dxfId="2469" priority="900" stopIfTrue="1" operator="equal">
      <formula>"Napkin Hs"</formula>
    </cfRule>
  </conditionalFormatting>
  <conditionalFormatting sqref="C99">
    <cfRule type="cellIs" dxfId="2468" priority="897" stopIfTrue="1" operator="equal">
      <formula>"Towel"</formula>
    </cfRule>
    <cfRule type="cellIs" dxfId="2467" priority="898" stopIfTrue="1" operator="equal">
      <formula>"Napkin Hs"</formula>
    </cfRule>
  </conditionalFormatting>
  <conditionalFormatting sqref="C99">
    <cfRule type="cellIs" dxfId="2466" priority="899" stopIfTrue="1" operator="equal">
      <formula>"Towel"</formula>
    </cfRule>
  </conditionalFormatting>
  <conditionalFormatting sqref="B103:C104">
    <cfRule type="cellIs" dxfId="2465" priority="895" stopIfTrue="1" operator="equal">
      <formula>"Towel"</formula>
    </cfRule>
    <cfRule type="cellIs" dxfId="2464" priority="896" stopIfTrue="1" operator="equal">
      <formula>"Napkin Hs"</formula>
    </cfRule>
  </conditionalFormatting>
  <conditionalFormatting sqref="C103:C104">
    <cfRule type="cellIs" dxfId="2463" priority="894" stopIfTrue="1" operator="equal">
      <formula>"Napkin Hs"</formula>
    </cfRule>
  </conditionalFormatting>
  <conditionalFormatting sqref="C103:C104">
    <cfRule type="cellIs" dxfId="2462" priority="891" stopIfTrue="1" operator="equal">
      <formula>"Towel"</formula>
    </cfRule>
    <cfRule type="cellIs" dxfId="2461" priority="892" stopIfTrue="1" operator="equal">
      <formula>"Napkin Hs"</formula>
    </cfRule>
  </conditionalFormatting>
  <conditionalFormatting sqref="C103:C104">
    <cfRule type="cellIs" dxfId="2460" priority="893" stopIfTrue="1" operator="equal">
      <formula>"Towel"</formula>
    </cfRule>
  </conditionalFormatting>
  <conditionalFormatting sqref="C101">
    <cfRule type="cellIs" dxfId="2459" priority="883" stopIfTrue="1" operator="equal">
      <formula>"Towel"</formula>
    </cfRule>
    <cfRule type="cellIs" dxfId="2458" priority="884" stopIfTrue="1" operator="equal">
      <formula>"Napkin Hs"</formula>
    </cfRule>
  </conditionalFormatting>
  <conditionalFormatting sqref="B101:C101">
    <cfRule type="cellIs" dxfId="2457" priority="885" stopIfTrue="1" operator="equal">
      <formula>"Towel"</formula>
    </cfRule>
    <cfRule type="cellIs" dxfId="2456" priority="886" stopIfTrue="1" operator="equal">
      <formula>"Napkin Hs"</formula>
    </cfRule>
  </conditionalFormatting>
  <conditionalFormatting sqref="C101">
    <cfRule type="cellIs" dxfId="2455" priority="881" stopIfTrue="1" operator="equal">
      <formula>"Towel"</formula>
    </cfRule>
    <cfRule type="cellIs" dxfId="2454" priority="882" stopIfTrue="1" operator="equal">
      <formula>"Napkin Hs"</formula>
    </cfRule>
  </conditionalFormatting>
  <conditionalFormatting sqref="B101:C101">
    <cfRule type="cellIs" dxfId="2453" priority="879" stopIfTrue="1" operator="equal">
      <formula>"Towel"</formula>
    </cfRule>
    <cfRule type="cellIs" dxfId="2452" priority="880" stopIfTrue="1" operator="equal">
      <formula>"Napkin Hs"</formula>
    </cfRule>
  </conditionalFormatting>
  <conditionalFormatting sqref="C101">
    <cfRule type="cellIs" dxfId="2451" priority="887" stopIfTrue="1" operator="equal">
      <formula>"Towel"</formula>
    </cfRule>
    <cfRule type="cellIs" dxfId="2450" priority="888" stopIfTrue="1" operator="equal">
      <formula>"Napkin Hs"</formula>
    </cfRule>
  </conditionalFormatting>
  <conditionalFormatting sqref="C101">
    <cfRule type="cellIs" dxfId="2449" priority="889" stopIfTrue="1" operator="equal">
      <formula>"Towel"</formula>
    </cfRule>
    <cfRule type="cellIs" dxfId="2448" priority="890" stopIfTrue="1" operator="equal">
      <formula>"Napkin Hs"</formula>
    </cfRule>
  </conditionalFormatting>
  <conditionalFormatting sqref="B101:C101">
    <cfRule type="cellIs" dxfId="2447" priority="877" stopIfTrue="1" operator="equal">
      <formula>"Towel"</formula>
    </cfRule>
    <cfRule type="cellIs" dxfId="2446" priority="878" stopIfTrue="1" operator="equal">
      <formula>"Napkin Hs"</formula>
    </cfRule>
  </conditionalFormatting>
  <conditionalFormatting sqref="C101">
    <cfRule type="cellIs" dxfId="2445" priority="876" stopIfTrue="1" operator="equal">
      <formula>"Napkin Hs"</formula>
    </cfRule>
  </conditionalFormatting>
  <conditionalFormatting sqref="C101">
    <cfRule type="cellIs" dxfId="2444" priority="873" stopIfTrue="1" operator="equal">
      <formula>"Towel"</formula>
    </cfRule>
    <cfRule type="cellIs" dxfId="2443" priority="874" stopIfTrue="1" operator="equal">
      <formula>"Napkin Hs"</formula>
    </cfRule>
  </conditionalFormatting>
  <conditionalFormatting sqref="C101">
    <cfRule type="cellIs" dxfId="2442" priority="875" stopIfTrue="1" operator="equal">
      <formula>"Towel"</formula>
    </cfRule>
  </conditionalFormatting>
  <conditionalFormatting sqref="C102">
    <cfRule type="cellIs" dxfId="2441" priority="865" stopIfTrue="1" operator="equal">
      <formula>"Towel"</formula>
    </cfRule>
    <cfRule type="cellIs" dxfId="2440" priority="866" stopIfTrue="1" operator="equal">
      <formula>"Napkin Hs"</formula>
    </cfRule>
  </conditionalFormatting>
  <conditionalFormatting sqref="B102:C102">
    <cfRule type="cellIs" dxfId="2439" priority="867" stopIfTrue="1" operator="equal">
      <formula>"Towel"</formula>
    </cfRule>
    <cfRule type="cellIs" dxfId="2438" priority="868" stopIfTrue="1" operator="equal">
      <formula>"Napkin Hs"</formula>
    </cfRule>
  </conditionalFormatting>
  <conditionalFormatting sqref="C102">
    <cfRule type="cellIs" dxfId="2437" priority="863" stopIfTrue="1" operator="equal">
      <formula>"Towel"</formula>
    </cfRule>
    <cfRule type="cellIs" dxfId="2436" priority="864" stopIfTrue="1" operator="equal">
      <formula>"Napkin Hs"</formula>
    </cfRule>
  </conditionalFormatting>
  <conditionalFormatting sqref="B102:C102">
    <cfRule type="cellIs" dxfId="2435" priority="861" stopIfTrue="1" operator="equal">
      <formula>"Towel"</formula>
    </cfRule>
    <cfRule type="cellIs" dxfId="2434" priority="862" stopIfTrue="1" operator="equal">
      <formula>"Napkin Hs"</formula>
    </cfRule>
  </conditionalFormatting>
  <conditionalFormatting sqref="C102">
    <cfRule type="cellIs" dxfId="2433" priority="869" stopIfTrue="1" operator="equal">
      <formula>"Towel"</formula>
    </cfRule>
    <cfRule type="cellIs" dxfId="2432" priority="870" stopIfTrue="1" operator="equal">
      <formula>"Napkin Hs"</formula>
    </cfRule>
  </conditionalFormatting>
  <conditionalFormatting sqref="C102">
    <cfRule type="cellIs" dxfId="2431" priority="871" stopIfTrue="1" operator="equal">
      <formula>"Towel"</formula>
    </cfRule>
    <cfRule type="cellIs" dxfId="2430" priority="872" stopIfTrue="1" operator="equal">
      <formula>"Napkin Hs"</formula>
    </cfRule>
  </conditionalFormatting>
  <conditionalFormatting sqref="B102:C102">
    <cfRule type="cellIs" dxfId="2429" priority="859" stopIfTrue="1" operator="equal">
      <formula>"Towel"</formula>
    </cfRule>
    <cfRule type="cellIs" dxfId="2428" priority="860" stopIfTrue="1" operator="equal">
      <formula>"Napkin Hs"</formula>
    </cfRule>
  </conditionalFormatting>
  <conditionalFormatting sqref="C102">
    <cfRule type="cellIs" dxfId="2427" priority="858" stopIfTrue="1" operator="equal">
      <formula>"Napkin Hs"</formula>
    </cfRule>
  </conditionalFormatting>
  <conditionalFormatting sqref="C102">
    <cfRule type="cellIs" dxfId="2426" priority="855" stopIfTrue="1" operator="equal">
      <formula>"Towel"</formula>
    </cfRule>
    <cfRule type="cellIs" dxfId="2425" priority="856" stopIfTrue="1" operator="equal">
      <formula>"Napkin Hs"</formula>
    </cfRule>
  </conditionalFormatting>
  <conditionalFormatting sqref="C102">
    <cfRule type="cellIs" dxfId="2424" priority="857" stopIfTrue="1" operator="equal">
      <formula>"Towel"</formula>
    </cfRule>
  </conditionalFormatting>
  <conditionalFormatting sqref="B109:C109">
    <cfRule type="cellIs" dxfId="2423" priority="853" stopIfTrue="1" operator="equal">
      <formula>"Towel"</formula>
    </cfRule>
    <cfRule type="cellIs" dxfId="2422" priority="854" stopIfTrue="1" operator="equal">
      <formula>"Napkin Hs"</formula>
    </cfRule>
  </conditionalFormatting>
  <conditionalFormatting sqref="C109">
    <cfRule type="cellIs" dxfId="2421" priority="852" stopIfTrue="1" operator="equal">
      <formula>"Napkin Hs"</formula>
    </cfRule>
  </conditionalFormatting>
  <conditionalFormatting sqref="C109">
    <cfRule type="cellIs" dxfId="2420" priority="849" stopIfTrue="1" operator="equal">
      <formula>"Towel"</formula>
    </cfRule>
    <cfRule type="cellIs" dxfId="2419" priority="850" stopIfTrue="1" operator="equal">
      <formula>"Napkin Hs"</formula>
    </cfRule>
  </conditionalFormatting>
  <conditionalFormatting sqref="C109">
    <cfRule type="cellIs" dxfId="2418" priority="851" stopIfTrue="1" operator="equal">
      <formula>"Towel"</formula>
    </cfRule>
  </conditionalFormatting>
  <conditionalFormatting sqref="C106">
    <cfRule type="cellIs" dxfId="2417" priority="841" stopIfTrue="1" operator="equal">
      <formula>"Towel"</formula>
    </cfRule>
    <cfRule type="cellIs" dxfId="2416" priority="842" stopIfTrue="1" operator="equal">
      <formula>"Napkin Hs"</formula>
    </cfRule>
  </conditionalFormatting>
  <conditionalFormatting sqref="B106:C106">
    <cfRule type="cellIs" dxfId="2415" priority="843" stopIfTrue="1" operator="equal">
      <formula>"Towel"</formula>
    </cfRule>
    <cfRule type="cellIs" dxfId="2414" priority="844" stopIfTrue="1" operator="equal">
      <formula>"Napkin Hs"</formula>
    </cfRule>
  </conditionalFormatting>
  <conditionalFormatting sqref="C106">
    <cfRule type="cellIs" dxfId="2413" priority="839" stopIfTrue="1" operator="equal">
      <formula>"Towel"</formula>
    </cfRule>
    <cfRule type="cellIs" dxfId="2412" priority="840" stopIfTrue="1" operator="equal">
      <formula>"Napkin Hs"</formula>
    </cfRule>
  </conditionalFormatting>
  <conditionalFormatting sqref="B106:C106">
    <cfRule type="cellIs" dxfId="2411" priority="837" stopIfTrue="1" operator="equal">
      <formula>"Towel"</formula>
    </cfRule>
    <cfRule type="cellIs" dxfId="2410" priority="838" stopIfTrue="1" operator="equal">
      <formula>"Napkin Hs"</formula>
    </cfRule>
  </conditionalFormatting>
  <conditionalFormatting sqref="C106">
    <cfRule type="cellIs" dxfId="2409" priority="845" stopIfTrue="1" operator="equal">
      <formula>"Towel"</formula>
    </cfRule>
    <cfRule type="cellIs" dxfId="2408" priority="846" stopIfTrue="1" operator="equal">
      <formula>"Napkin Hs"</formula>
    </cfRule>
  </conditionalFormatting>
  <conditionalFormatting sqref="C106">
    <cfRule type="cellIs" dxfId="2407" priority="847" stopIfTrue="1" operator="equal">
      <formula>"Towel"</formula>
    </cfRule>
    <cfRule type="cellIs" dxfId="2406" priority="848" stopIfTrue="1" operator="equal">
      <formula>"Napkin Hs"</formula>
    </cfRule>
  </conditionalFormatting>
  <conditionalFormatting sqref="B106:C106">
    <cfRule type="cellIs" dxfId="2405" priority="835" stopIfTrue="1" operator="equal">
      <formula>"Towel"</formula>
    </cfRule>
    <cfRule type="cellIs" dxfId="2404" priority="836" stopIfTrue="1" operator="equal">
      <formula>"Napkin Hs"</formula>
    </cfRule>
  </conditionalFormatting>
  <conditionalFormatting sqref="C106">
    <cfRule type="cellIs" dxfId="2403" priority="834" stopIfTrue="1" operator="equal">
      <formula>"Napkin Hs"</formula>
    </cfRule>
  </conditionalFormatting>
  <conditionalFormatting sqref="C106">
    <cfRule type="cellIs" dxfId="2402" priority="831" stopIfTrue="1" operator="equal">
      <formula>"Towel"</formula>
    </cfRule>
    <cfRule type="cellIs" dxfId="2401" priority="832" stopIfTrue="1" operator="equal">
      <formula>"Napkin Hs"</formula>
    </cfRule>
  </conditionalFormatting>
  <conditionalFormatting sqref="C106">
    <cfRule type="cellIs" dxfId="2400" priority="833" stopIfTrue="1" operator="equal">
      <formula>"Towel"</formula>
    </cfRule>
  </conditionalFormatting>
  <conditionalFormatting sqref="C107:C108">
    <cfRule type="cellIs" dxfId="2399" priority="823" stopIfTrue="1" operator="equal">
      <formula>"Towel"</formula>
    </cfRule>
    <cfRule type="cellIs" dxfId="2398" priority="824" stopIfTrue="1" operator="equal">
      <formula>"Napkin Hs"</formula>
    </cfRule>
  </conditionalFormatting>
  <conditionalFormatting sqref="B107:C108">
    <cfRule type="cellIs" dxfId="2397" priority="825" stopIfTrue="1" operator="equal">
      <formula>"Towel"</formula>
    </cfRule>
    <cfRule type="cellIs" dxfId="2396" priority="826" stopIfTrue="1" operator="equal">
      <formula>"Napkin Hs"</formula>
    </cfRule>
  </conditionalFormatting>
  <conditionalFormatting sqref="C107:C108">
    <cfRule type="cellIs" dxfId="2395" priority="821" stopIfTrue="1" operator="equal">
      <formula>"Towel"</formula>
    </cfRule>
    <cfRule type="cellIs" dxfId="2394" priority="822" stopIfTrue="1" operator="equal">
      <formula>"Napkin Hs"</formula>
    </cfRule>
  </conditionalFormatting>
  <conditionalFormatting sqref="B107:C108">
    <cfRule type="cellIs" dxfId="2393" priority="819" stopIfTrue="1" operator="equal">
      <formula>"Towel"</formula>
    </cfRule>
    <cfRule type="cellIs" dxfId="2392" priority="820" stopIfTrue="1" operator="equal">
      <formula>"Napkin Hs"</formula>
    </cfRule>
  </conditionalFormatting>
  <conditionalFormatting sqref="C107:C108">
    <cfRule type="cellIs" dxfId="2391" priority="827" stopIfTrue="1" operator="equal">
      <formula>"Towel"</formula>
    </cfRule>
    <cfRule type="cellIs" dxfId="2390" priority="828" stopIfTrue="1" operator="equal">
      <formula>"Napkin Hs"</formula>
    </cfRule>
  </conditionalFormatting>
  <conditionalFormatting sqref="C107:C108">
    <cfRule type="cellIs" dxfId="2389" priority="829" stopIfTrue="1" operator="equal">
      <formula>"Towel"</formula>
    </cfRule>
    <cfRule type="cellIs" dxfId="2388" priority="830" stopIfTrue="1" operator="equal">
      <formula>"Napkin Hs"</formula>
    </cfRule>
  </conditionalFormatting>
  <conditionalFormatting sqref="B107:C108">
    <cfRule type="cellIs" dxfId="2387" priority="817" stopIfTrue="1" operator="equal">
      <formula>"Towel"</formula>
    </cfRule>
    <cfRule type="cellIs" dxfId="2386" priority="818" stopIfTrue="1" operator="equal">
      <formula>"Napkin Hs"</formula>
    </cfRule>
  </conditionalFormatting>
  <conditionalFormatting sqref="C107:C108">
    <cfRule type="cellIs" dxfId="2385" priority="816" stopIfTrue="1" operator="equal">
      <formula>"Napkin Hs"</formula>
    </cfRule>
  </conditionalFormatting>
  <conditionalFormatting sqref="C107:C108">
    <cfRule type="cellIs" dxfId="2384" priority="813" stopIfTrue="1" operator="equal">
      <formula>"Towel"</formula>
    </cfRule>
    <cfRule type="cellIs" dxfId="2383" priority="814" stopIfTrue="1" operator="equal">
      <formula>"Napkin Hs"</formula>
    </cfRule>
  </conditionalFormatting>
  <conditionalFormatting sqref="C107:C108">
    <cfRule type="cellIs" dxfId="2382" priority="815" stopIfTrue="1" operator="equal">
      <formula>"Towel"</formula>
    </cfRule>
  </conditionalFormatting>
  <conditionalFormatting sqref="B113:C114">
    <cfRule type="cellIs" dxfId="2381" priority="811" stopIfTrue="1" operator="equal">
      <formula>"Towel"</formula>
    </cfRule>
    <cfRule type="cellIs" dxfId="2380" priority="812" stopIfTrue="1" operator="equal">
      <formula>"Napkin Hs"</formula>
    </cfRule>
  </conditionalFormatting>
  <conditionalFormatting sqref="C113:C114">
    <cfRule type="cellIs" dxfId="2379" priority="810" stopIfTrue="1" operator="equal">
      <formula>"Napkin Hs"</formula>
    </cfRule>
  </conditionalFormatting>
  <conditionalFormatting sqref="C113:C114">
    <cfRule type="cellIs" dxfId="2378" priority="807" stopIfTrue="1" operator="equal">
      <formula>"Towel"</formula>
    </cfRule>
    <cfRule type="cellIs" dxfId="2377" priority="808" stopIfTrue="1" operator="equal">
      <formula>"Napkin Hs"</formula>
    </cfRule>
  </conditionalFormatting>
  <conditionalFormatting sqref="C113:C114">
    <cfRule type="cellIs" dxfId="2376" priority="809" stopIfTrue="1" operator="equal">
      <formula>"Towel"</formula>
    </cfRule>
  </conditionalFormatting>
  <conditionalFormatting sqref="C111:C112">
    <cfRule type="cellIs" dxfId="2375" priority="763" stopIfTrue="1" operator="equal">
      <formula>"Towel"</formula>
    </cfRule>
    <cfRule type="cellIs" dxfId="2374" priority="764" stopIfTrue="1" operator="equal">
      <formula>"Napkin Hs"</formula>
    </cfRule>
  </conditionalFormatting>
  <conditionalFormatting sqref="B111:C112">
    <cfRule type="cellIs" dxfId="2373" priority="765" stopIfTrue="1" operator="equal">
      <formula>"Towel"</formula>
    </cfRule>
    <cfRule type="cellIs" dxfId="2372" priority="766" stopIfTrue="1" operator="equal">
      <formula>"Napkin Hs"</formula>
    </cfRule>
  </conditionalFormatting>
  <conditionalFormatting sqref="C111:C112">
    <cfRule type="cellIs" dxfId="2371" priority="761" stopIfTrue="1" operator="equal">
      <formula>"Towel"</formula>
    </cfRule>
    <cfRule type="cellIs" dxfId="2370" priority="762" stopIfTrue="1" operator="equal">
      <formula>"Napkin Hs"</formula>
    </cfRule>
  </conditionalFormatting>
  <conditionalFormatting sqref="B111:C112">
    <cfRule type="cellIs" dxfId="2369" priority="759" stopIfTrue="1" operator="equal">
      <formula>"Towel"</formula>
    </cfRule>
    <cfRule type="cellIs" dxfId="2368" priority="760" stopIfTrue="1" operator="equal">
      <formula>"Napkin Hs"</formula>
    </cfRule>
  </conditionalFormatting>
  <conditionalFormatting sqref="C111:C112">
    <cfRule type="cellIs" dxfId="2367" priority="767" stopIfTrue="1" operator="equal">
      <formula>"Towel"</formula>
    </cfRule>
    <cfRule type="cellIs" dxfId="2366" priority="768" stopIfTrue="1" operator="equal">
      <formula>"Napkin Hs"</formula>
    </cfRule>
  </conditionalFormatting>
  <conditionalFormatting sqref="C111:C112">
    <cfRule type="cellIs" dxfId="2365" priority="769" stopIfTrue="1" operator="equal">
      <formula>"Towel"</formula>
    </cfRule>
    <cfRule type="cellIs" dxfId="2364" priority="770" stopIfTrue="1" operator="equal">
      <formula>"Napkin Hs"</formula>
    </cfRule>
  </conditionalFormatting>
  <conditionalFormatting sqref="B111:C112">
    <cfRule type="cellIs" dxfId="2363" priority="757" stopIfTrue="1" operator="equal">
      <formula>"Towel"</formula>
    </cfRule>
    <cfRule type="cellIs" dxfId="2362" priority="758" stopIfTrue="1" operator="equal">
      <formula>"Napkin Hs"</formula>
    </cfRule>
  </conditionalFormatting>
  <conditionalFormatting sqref="C111:C112">
    <cfRule type="cellIs" dxfId="2361" priority="756" stopIfTrue="1" operator="equal">
      <formula>"Napkin Hs"</formula>
    </cfRule>
  </conditionalFormatting>
  <conditionalFormatting sqref="C111:C112">
    <cfRule type="cellIs" dxfId="2360" priority="753" stopIfTrue="1" operator="equal">
      <formula>"Towel"</formula>
    </cfRule>
    <cfRule type="cellIs" dxfId="2359" priority="754" stopIfTrue="1" operator="equal">
      <formula>"Napkin Hs"</formula>
    </cfRule>
  </conditionalFormatting>
  <conditionalFormatting sqref="C111:C112">
    <cfRule type="cellIs" dxfId="2358" priority="755" stopIfTrue="1" operator="equal">
      <formula>"Towel"</formula>
    </cfRule>
  </conditionalFormatting>
  <conditionalFormatting sqref="B118:C119">
    <cfRule type="cellIs" dxfId="2357" priority="751" stopIfTrue="1" operator="equal">
      <formula>"Towel"</formula>
    </cfRule>
    <cfRule type="cellIs" dxfId="2356" priority="752" stopIfTrue="1" operator="equal">
      <formula>"Napkin Hs"</formula>
    </cfRule>
  </conditionalFormatting>
  <conditionalFormatting sqref="C118:C119">
    <cfRule type="cellIs" dxfId="2355" priority="750" stopIfTrue="1" operator="equal">
      <formula>"Napkin Hs"</formula>
    </cfRule>
  </conditionalFormatting>
  <conditionalFormatting sqref="C118:C119">
    <cfRule type="cellIs" dxfId="2354" priority="747" stopIfTrue="1" operator="equal">
      <formula>"Towel"</formula>
    </cfRule>
    <cfRule type="cellIs" dxfId="2353" priority="748" stopIfTrue="1" operator="equal">
      <formula>"Napkin Hs"</formula>
    </cfRule>
  </conditionalFormatting>
  <conditionalFormatting sqref="C118:C119">
    <cfRule type="cellIs" dxfId="2352" priority="749" stopIfTrue="1" operator="equal">
      <formula>"Towel"</formula>
    </cfRule>
  </conditionalFormatting>
  <conditionalFormatting sqref="C117">
    <cfRule type="cellIs" dxfId="2351" priority="739" stopIfTrue="1" operator="equal">
      <formula>"Towel"</formula>
    </cfRule>
    <cfRule type="cellIs" dxfId="2350" priority="740" stopIfTrue="1" operator="equal">
      <formula>"Napkin Hs"</formula>
    </cfRule>
  </conditionalFormatting>
  <conditionalFormatting sqref="B117:C117">
    <cfRule type="cellIs" dxfId="2349" priority="741" stopIfTrue="1" operator="equal">
      <formula>"Towel"</formula>
    </cfRule>
    <cfRule type="cellIs" dxfId="2348" priority="742" stopIfTrue="1" operator="equal">
      <formula>"Napkin Hs"</formula>
    </cfRule>
  </conditionalFormatting>
  <conditionalFormatting sqref="C117">
    <cfRule type="cellIs" dxfId="2347" priority="737" stopIfTrue="1" operator="equal">
      <formula>"Towel"</formula>
    </cfRule>
    <cfRule type="cellIs" dxfId="2346" priority="738" stopIfTrue="1" operator="equal">
      <formula>"Napkin Hs"</formula>
    </cfRule>
  </conditionalFormatting>
  <conditionalFormatting sqref="B117:C117">
    <cfRule type="cellIs" dxfId="2345" priority="735" stopIfTrue="1" operator="equal">
      <formula>"Towel"</formula>
    </cfRule>
    <cfRule type="cellIs" dxfId="2344" priority="736" stopIfTrue="1" operator="equal">
      <formula>"Napkin Hs"</formula>
    </cfRule>
  </conditionalFormatting>
  <conditionalFormatting sqref="C117">
    <cfRule type="cellIs" dxfId="2343" priority="743" stopIfTrue="1" operator="equal">
      <formula>"Towel"</formula>
    </cfRule>
    <cfRule type="cellIs" dxfId="2342" priority="744" stopIfTrue="1" operator="equal">
      <formula>"Napkin Hs"</formula>
    </cfRule>
  </conditionalFormatting>
  <conditionalFormatting sqref="C117">
    <cfRule type="cellIs" dxfId="2341" priority="745" stopIfTrue="1" operator="equal">
      <formula>"Towel"</formula>
    </cfRule>
    <cfRule type="cellIs" dxfId="2340" priority="746" stopIfTrue="1" operator="equal">
      <formula>"Napkin Hs"</formula>
    </cfRule>
  </conditionalFormatting>
  <conditionalFormatting sqref="B117:C117">
    <cfRule type="cellIs" dxfId="2339" priority="733" stopIfTrue="1" operator="equal">
      <formula>"Towel"</formula>
    </cfRule>
    <cfRule type="cellIs" dxfId="2338" priority="734" stopIfTrue="1" operator="equal">
      <formula>"Napkin Hs"</formula>
    </cfRule>
  </conditionalFormatting>
  <conditionalFormatting sqref="C117">
    <cfRule type="cellIs" dxfId="2337" priority="732" stopIfTrue="1" operator="equal">
      <formula>"Napkin Hs"</formula>
    </cfRule>
  </conditionalFormatting>
  <conditionalFormatting sqref="C117">
    <cfRule type="cellIs" dxfId="2336" priority="729" stopIfTrue="1" operator="equal">
      <formula>"Towel"</formula>
    </cfRule>
    <cfRule type="cellIs" dxfId="2335" priority="730" stopIfTrue="1" operator="equal">
      <formula>"Napkin Hs"</formula>
    </cfRule>
  </conditionalFormatting>
  <conditionalFormatting sqref="C117">
    <cfRule type="cellIs" dxfId="2334" priority="731" stopIfTrue="1" operator="equal">
      <formula>"Towel"</formula>
    </cfRule>
  </conditionalFormatting>
  <conditionalFormatting sqref="C116">
    <cfRule type="cellIs" dxfId="2333" priority="721" stopIfTrue="1" operator="equal">
      <formula>"Towel"</formula>
    </cfRule>
    <cfRule type="cellIs" dxfId="2332" priority="722" stopIfTrue="1" operator="equal">
      <formula>"Napkin Hs"</formula>
    </cfRule>
  </conditionalFormatting>
  <conditionalFormatting sqref="B116:C116">
    <cfRule type="cellIs" dxfId="2331" priority="723" stopIfTrue="1" operator="equal">
      <formula>"Towel"</formula>
    </cfRule>
    <cfRule type="cellIs" dxfId="2330" priority="724" stopIfTrue="1" operator="equal">
      <formula>"Napkin Hs"</formula>
    </cfRule>
  </conditionalFormatting>
  <conditionalFormatting sqref="C116">
    <cfRule type="cellIs" dxfId="2329" priority="719" stopIfTrue="1" operator="equal">
      <formula>"Towel"</formula>
    </cfRule>
    <cfRule type="cellIs" dxfId="2328" priority="720" stopIfTrue="1" operator="equal">
      <formula>"Napkin Hs"</formula>
    </cfRule>
  </conditionalFormatting>
  <conditionalFormatting sqref="B116:C116">
    <cfRule type="cellIs" dxfId="2327" priority="717" stopIfTrue="1" operator="equal">
      <formula>"Towel"</formula>
    </cfRule>
    <cfRule type="cellIs" dxfId="2326" priority="718" stopIfTrue="1" operator="equal">
      <formula>"Napkin Hs"</formula>
    </cfRule>
  </conditionalFormatting>
  <conditionalFormatting sqref="C116">
    <cfRule type="cellIs" dxfId="2325" priority="725" stopIfTrue="1" operator="equal">
      <formula>"Towel"</formula>
    </cfRule>
    <cfRule type="cellIs" dxfId="2324" priority="726" stopIfTrue="1" operator="equal">
      <formula>"Napkin Hs"</formula>
    </cfRule>
  </conditionalFormatting>
  <conditionalFormatting sqref="C116">
    <cfRule type="cellIs" dxfId="2323" priority="727" stopIfTrue="1" operator="equal">
      <formula>"Towel"</formula>
    </cfRule>
    <cfRule type="cellIs" dxfId="2322" priority="728" stopIfTrue="1" operator="equal">
      <formula>"Napkin Hs"</formula>
    </cfRule>
  </conditionalFormatting>
  <conditionalFormatting sqref="B116:C116">
    <cfRule type="cellIs" dxfId="2321" priority="715" stopIfTrue="1" operator="equal">
      <formula>"Towel"</formula>
    </cfRule>
    <cfRule type="cellIs" dxfId="2320" priority="716" stopIfTrue="1" operator="equal">
      <formula>"Napkin Hs"</formula>
    </cfRule>
  </conditionalFormatting>
  <conditionalFormatting sqref="C116">
    <cfRule type="cellIs" dxfId="2319" priority="714" stopIfTrue="1" operator="equal">
      <formula>"Napkin Hs"</formula>
    </cfRule>
  </conditionalFormatting>
  <conditionalFormatting sqref="C116">
    <cfRule type="cellIs" dxfId="2318" priority="711" stopIfTrue="1" operator="equal">
      <formula>"Towel"</formula>
    </cfRule>
    <cfRule type="cellIs" dxfId="2317" priority="712" stopIfTrue="1" operator="equal">
      <formula>"Napkin Hs"</formula>
    </cfRule>
  </conditionalFormatting>
  <conditionalFormatting sqref="C116">
    <cfRule type="cellIs" dxfId="2316" priority="713" stopIfTrue="1" operator="equal">
      <formula>"Towel"</formula>
    </cfRule>
  </conditionalFormatting>
  <conditionalFormatting sqref="B123:C125">
    <cfRule type="cellIs" dxfId="2315" priority="709" stopIfTrue="1" operator="equal">
      <formula>"Towel"</formula>
    </cfRule>
    <cfRule type="cellIs" dxfId="2314" priority="710" stopIfTrue="1" operator="equal">
      <formula>"Napkin Hs"</formula>
    </cfRule>
  </conditionalFormatting>
  <conditionalFormatting sqref="C123:C125">
    <cfRule type="cellIs" dxfId="2313" priority="708" stopIfTrue="1" operator="equal">
      <formula>"Napkin Hs"</formula>
    </cfRule>
  </conditionalFormatting>
  <conditionalFormatting sqref="C123:C125">
    <cfRule type="cellIs" dxfId="2312" priority="705" stopIfTrue="1" operator="equal">
      <formula>"Towel"</formula>
    </cfRule>
    <cfRule type="cellIs" dxfId="2311" priority="706" stopIfTrue="1" operator="equal">
      <formula>"Napkin Hs"</formula>
    </cfRule>
  </conditionalFormatting>
  <conditionalFormatting sqref="C123:C125">
    <cfRule type="cellIs" dxfId="2310" priority="707" stopIfTrue="1" operator="equal">
      <formula>"Towel"</formula>
    </cfRule>
  </conditionalFormatting>
  <conditionalFormatting sqref="B122:C122">
    <cfRule type="cellIs" dxfId="2309" priority="667" stopIfTrue="1" operator="equal">
      <formula>"Towel"</formula>
    </cfRule>
    <cfRule type="cellIs" dxfId="2308" priority="668" stopIfTrue="1" operator="equal">
      <formula>"Napkin Hs"</formula>
    </cfRule>
  </conditionalFormatting>
  <conditionalFormatting sqref="C122">
    <cfRule type="cellIs" dxfId="2307" priority="666" stopIfTrue="1" operator="equal">
      <formula>"Napkin Hs"</formula>
    </cfRule>
  </conditionalFormatting>
  <conditionalFormatting sqref="C122">
    <cfRule type="cellIs" dxfId="2306" priority="663" stopIfTrue="1" operator="equal">
      <formula>"Towel"</formula>
    </cfRule>
    <cfRule type="cellIs" dxfId="2305" priority="664" stopIfTrue="1" operator="equal">
      <formula>"Napkin Hs"</formula>
    </cfRule>
  </conditionalFormatting>
  <conditionalFormatting sqref="C122">
    <cfRule type="cellIs" dxfId="2304" priority="665" stopIfTrue="1" operator="equal">
      <formula>"Towel"</formula>
    </cfRule>
  </conditionalFormatting>
  <conditionalFormatting sqref="C121">
    <cfRule type="cellIs" dxfId="2303" priority="637" stopIfTrue="1" operator="equal">
      <formula>"Towel"</formula>
    </cfRule>
    <cfRule type="cellIs" dxfId="2302" priority="638" stopIfTrue="1" operator="equal">
      <formula>"Napkin Hs"</formula>
    </cfRule>
  </conditionalFormatting>
  <conditionalFormatting sqref="B121:C121">
    <cfRule type="cellIs" dxfId="2301" priority="639" stopIfTrue="1" operator="equal">
      <formula>"Towel"</formula>
    </cfRule>
    <cfRule type="cellIs" dxfId="2300" priority="640" stopIfTrue="1" operator="equal">
      <formula>"Napkin Hs"</formula>
    </cfRule>
  </conditionalFormatting>
  <conditionalFormatting sqref="C121">
    <cfRule type="cellIs" dxfId="2299" priority="635" stopIfTrue="1" operator="equal">
      <formula>"Towel"</formula>
    </cfRule>
    <cfRule type="cellIs" dxfId="2298" priority="636" stopIfTrue="1" operator="equal">
      <formula>"Napkin Hs"</formula>
    </cfRule>
  </conditionalFormatting>
  <conditionalFormatting sqref="B121:C121">
    <cfRule type="cellIs" dxfId="2297" priority="633" stopIfTrue="1" operator="equal">
      <formula>"Towel"</formula>
    </cfRule>
    <cfRule type="cellIs" dxfId="2296" priority="634" stopIfTrue="1" operator="equal">
      <formula>"Napkin Hs"</formula>
    </cfRule>
  </conditionalFormatting>
  <conditionalFormatting sqref="C121">
    <cfRule type="cellIs" dxfId="2295" priority="641" stopIfTrue="1" operator="equal">
      <formula>"Towel"</formula>
    </cfRule>
    <cfRule type="cellIs" dxfId="2294" priority="642" stopIfTrue="1" operator="equal">
      <formula>"Napkin Hs"</formula>
    </cfRule>
  </conditionalFormatting>
  <conditionalFormatting sqref="C121">
    <cfRule type="cellIs" dxfId="2293" priority="643" stopIfTrue="1" operator="equal">
      <formula>"Towel"</formula>
    </cfRule>
    <cfRule type="cellIs" dxfId="2292" priority="644" stopIfTrue="1" operator="equal">
      <formula>"Napkin Hs"</formula>
    </cfRule>
  </conditionalFormatting>
  <conditionalFormatting sqref="B121:C121">
    <cfRule type="cellIs" dxfId="2291" priority="631" stopIfTrue="1" operator="equal">
      <formula>"Towel"</formula>
    </cfRule>
    <cfRule type="cellIs" dxfId="2290" priority="632" stopIfTrue="1" operator="equal">
      <formula>"Napkin Hs"</formula>
    </cfRule>
  </conditionalFormatting>
  <conditionalFormatting sqref="C121">
    <cfRule type="cellIs" dxfId="2289" priority="630" stopIfTrue="1" operator="equal">
      <formula>"Napkin Hs"</formula>
    </cfRule>
  </conditionalFormatting>
  <conditionalFormatting sqref="C121">
    <cfRule type="cellIs" dxfId="2288" priority="627" stopIfTrue="1" operator="equal">
      <formula>"Towel"</formula>
    </cfRule>
    <cfRule type="cellIs" dxfId="2287" priority="628" stopIfTrue="1" operator="equal">
      <formula>"Napkin Hs"</formula>
    </cfRule>
  </conditionalFormatting>
  <conditionalFormatting sqref="C121">
    <cfRule type="cellIs" dxfId="2286" priority="629" stopIfTrue="1" operator="equal">
      <formula>"Towel"</formula>
    </cfRule>
  </conditionalFormatting>
  <conditionalFormatting sqref="B129:C131">
    <cfRule type="cellIs" dxfId="2285" priority="625" stopIfTrue="1" operator="equal">
      <formula>"Towel"</formula>
    </cfRule>
    <cfRule type="cellIs" dxfId="2284" priority="626" stopIfTrue="1" operator="equal">
      <formula>"Napkin Hs"</formula>
    </cfRule>
  </conditionalFormatting>
  <conditionalFormatting sqref="C129:C131">
    <cfRule type="cellIs" dxfId="2283" priority="624" stopIfTrue="1" operator="equal">
      <formula>"Napkin Hs"</formula>
    </cfRule>
  </conditionalFormatting>
  <conditionalFormatting sqref="C129:C131">
    <cfRule type="cellIs" dxfId="2282" priority="621" stopIfTrue="1" operator="equal">
      <formula>"Towel"</formula>
    </cfRule>
    <cfRule type="cellIs" dxfId="2281" priority="622" stopIfTrue="1" operator="equal">
      <formula>"Napkin Hs"</formula>
    </cfRule>
  </conditionalFormatting>
  <conditionalFormatting sqref="C129:C131">
    <cfRule type="cellIs" dxfId="2280" priority="623" stopIfTrue="1" operator="equal">
      <formula>"Towel"</formula>
    </cfRule>
  </conditionalFormatting>
  <conditionalFormatting sqref="B129:C129">
    <cfRule type="cellIs" dxfId="2279" priority="619" stopIfTrue="1" operator="equal">
      <formula>"Towel"</formula>
    </cfRule>
    <cfRule type="cellIs" dxfId="2278" priority="620" stopIfTrue="1" operator="equal">
      <formula>"Napkin Hs"</formula>
    </cfRule>
  </conditionalFormatting>
  <conditionalFormatting sqref="C129">
    <cfRule type="cellIs" dxfId="2277" priority="618" stopIfTrue="1" operator="equal">
      <formula>"Napkin Hs"</formula>
    </cfRule>
  </conditionalFormatting>
  <conditionalFormatting sqref="C129">
    <cfRule type="cellIs" dxfId="2276" priority="615" stopIfTrue="1" operator="equal">
      <formula>"Towel"</formula>
    </cfRule>
    <cfRule type="cellIs" dxfId="2275" priority="616" stopIfTrue="1" operator="equal">
      <formula>"Napkin Hs"</formula>
    </cfRule>
  </conditionalFormatting>
  <conditionalFormatting sqref="C129">
    <cfRule type="cellIs" dxfId="2274" priority="617" stopIfTrue="1" operator="equal">
      <formula>"Towel"</formula>
    </cfRule>
  </conditionalFormatting>
  <conditionalFormatting sqref="C128">
    <cfRule type="cellIs" dxfId="2273" priority="607" stopIfTrue="1" operator="equal">
      <formula>"Towel"</formula>
    </cfRule>
    <cfRule type="cellIs" dxfId="2272" priority="608" stopIfTrue="1" operator="equal">
      <formula>"Napkin Hs"</formula>
    </cfRule>
  </conditionalFormatting>
  <conditionalFormatting sqref="B128:C128">
    <cfRule type="cellIs" dxfId="2271" priority="609" stopIfTrue="1" operator="equal">
      <formula>"Towel"</formula>
    </cfRule>
    <cfRule type="cellIs" dxfId="2270" priority="610" stopIfTrue="1" operator="equal">
      <formula>"Napkin Hs"</formula>
    </cfRule>
  </conditionalFormatting>
  <conditionalFormatting sqref="C128">
    <cfRule type="cellIs" dxfId="2269" priority="605" stopIfTrue="1" operator="equal">
      <formula>"Towel"</formula>
    </cfRule>
    <cfRule type="cellIs" dxfId="2268" priority="606" stopIfTrue="1" operator="equal">
      <formula>"Napkin Hs"</formula>
    </cfRule>
  </conditionalFormatting>
  <conditionalFormatting sqref="B128:C128">
    <cfRule type="cellIs" dxfId="2267" priority="603" stopIfTrue="1" operator="equal">
      <formula>"Towel"</formula>
    </cfRule>
    <cfRule type="cellIs" dxfId="2266" priority="604" stopIfTrue="1" operator="equal">
      <formula>"Napkin Hs"</formula>
    </cfRule>
  </conditionalFormatting>
  <conditionalFormatting sqref="C128">
    <cfRule type="cellIs" dxfId="2265" priority="611" stopIfTrue="1" operator="equal">
      <formula>"Towel"</formula>
    </cfRule>
    <cfRule type="cellIs" dxfId="2264" priority="612" stopIfTrue="1" operator="equal">
      <formula>"Napkin Hs"</formula>
    </cfRule>
  </conditionalFormatting>
  <conditionalFormatting sqref="C128">
    <cfRule type="cellIs" dxfId="2263" priority="613" stopIfTrue="1" operator="equal">
      <formula>"Towel"</formula>
    </cfRule>
    <cfRule type="cellIs" dxfId="2262" priority="614" stopIfTrue="1" operator="equal">
      <formula>"Napkin Hs"</formula>
    </cfRule>
  </conditionalFormatting>
  <conditionalFormatting sqref="B128:C128">
    <cfRule type="cellIs" dxfId="2261" priority="601" stopIfTrue="1" operator="equal">
      <formula>"Towel"</formula>
    </cfRule>
    <cfRule type="cellIs" dxfId="2260" priority="602" stopIfTrue="1" operator="equal">
      <formula>"Napkin Hs"</formula>
    </cfRule>
  </conditionalFormatting>
  <conditionalFormatting sqref="C128">
    <cfRule type="cellIs" dxfId="2259" priority="600" stopIfTrue="1" operator="equal">
      <formula>"Napkin Hs"</formula>
    </cfRule>
  </conditionalFormatting>
  <conditionalFormatting sqref="C128">
    <cfRule type="cellIs" dxfId="2258" priority="597" stopIfTrue="1" operator="equal">
      <formula>"Towel"</formula>
    </cfRule>
    <cfRule type="cellIs" dxfId="2257" priority="598" stopIfTrue="1" operator="equal">
      <formula>"Napkin Hs"</formula>
    </cfRule>
  </conditionalFormatting>
  <conditionalFormatting sqref="C128">
    <cfRule type="cellIs" dxfId="2256" priority="599" stopIfTrue="1" operator="equal">
      <formula>"Towel"</formula>
    </cfRule>
  </conditionalFormatting>
  <conditionalFormatting sqref="B128:C128">
    <cfRule type="cellIs" dxfId="2255" priority="595" stopIfTrue="1" operator="equal">
      <formula>"Towel"</formula>
    </cfRule>
    <cfRule type="cellIs" dxfId="2254" priority="596" stopIfTrue="1" operator="equal">
      <formula>"Napkin Hs"</formula>
    </cfRule>
  </conditionalFormatting>
  <conditionalFormatting sqref="C128">
    <cfRule type="cellIs" dxfId="2253" priority="594" stopIfTrue="1" operator="equal">
      <formula>"Napkin Hs"</formula>
    </cfRule>
  </conditionalFormatting>
  <conditionalFormatting sqref="C128">
    <cfRule type="cellIs" dxfId="2252" priority="591" stopIfTrue="1" operator="equal">
      <formula>"Towel"</formula>
    </cfRule>
    <cfRule type="cellIs" dxfId="2251" priority="592" stopIfTrue="1" operator="equal">
      <formula>"Napkin Hs"</formula>
    </cfRule>
  </conditionalFormatting>
  <conditionalFormatting sqref="C128">
    <cfRule type="cellIs" dxfId="2250" priority="593" stopIfTrue="1" operator="equal">
      <formula>"Towel"</formula>
    </cfRule>
  </conditionalFormatting>
  <conditionalFormatting sqref="C127">
    <cfRule type="cellIs" dxfId="2249" priority="583" stopIfTrue="1" operator="equal">
      <formula>"Towel"</formula>
    </cfRule>
    <cfRule type="cellIs" dxfId="2248" priority="584" stopIfTrue="1" operator="equal">
      <formula>"Napkin Hs"</formula>
    </cfRule>
  </conditionalFormatting>
  <conditionalFormatting sqref="B127:C127">
    <cfRule type="cellIs" dxfId="2247" priority="585" stopIfTrue="1" operator="equal">
      <formula>"Towel"</formula>
    </cfRule>
    <cfRule type="cellIs" dxfId="2246" priority="586" stopIfTrue="1" operator="equal">
      <formula>"Napkin Hs"</formula>
    </cfRule>
  </conditionalFormatting>
  <conditionalFormatting sqref="C127">
    <cfRule type="cellIs" dxfId="2245" priority="581" stopIfTrue="1" operator="equal">
      <formula>"Towel"</formula>
    </cfRule>
    <cfRule type="cellIs" dxfId="2244" priority="582" stopIfTrue="1" operator="equal">
      <formula>"Napkin Hs"</formula>
    </cfRule>
  </conditionalFormatting>
  <conditionalFormatting sqref="B127:C127">
    <cfRule type="cellIs" dxfId="2243" priority="579" stopIfTrue="1" operator="equal">
      <formula>"Towel"</formula>
    </cfRule>
    <cfRule type="cellIs" dxfId="2242" priority="580" stopIfTrue="1" operator="equal">
      <formula>"Napkin Hs"</formula>
    </cfRule>
  </conditionalFormatting>
  <conditionalFormatting sqref="C127">
    <cfRule type="cellIs" dxfId="2241" priority="587" stopIfTrue="1" operator="equal">
      <formula>"Towel"</formula>
    </cfRule>
    <cfRule type="cellIs" dxfId="2240" priority="588" stopIfTrue="1" operator="equal">
      <formula>"Napkin Hs"</formula>
    </cfRule>
  </conditionalFormatting>
  <conditionalFormatting sqref="C127">
    <cfRule type="cellIs" dxfId="2239" priority="589" stopIfTrue="1" operator="equal">
      <formula>"Towel"</formula>
    </cfRule>
    <cfRule type="cellIs" dxfId="2238" priority="590" stopIfTrue="1" operator="equal">
      <formula>"Napkin Hs"</formula>
    </cfRule>
  </conditionalFormatting>
  <conditionalFormatting sqref="B127:C127">
    <cfRule type="cellIs" dxfId="2237" priority="577" stopIfTrue="1" operator="equal">
      <formula>"Towel"</formula>
    </cfRule>
    <cfRule type="cellIs" dxfId="2236" priority="578" stopIfTrue="1" operator="equal">
      <formula>"Napkin Hs"</formula>
    </cfRule>
  </conditionalFormatting>
  <conditionalFormatting sqref="C127">
    <cfRule type="cellIs" dxfId="2235" priority="576" stopIfTrue="1" operator="equal">
      <formula>"Napkin Hs"</formula>
    </cfRule>
  </conditionalFormatting>
  <conditionalFormatting sqref="C127">
    <cfRule type="cellIs" dxfId="2234" priority="573" stopIfTrue="1" operator="equal">
      <formula>"Towel"</formula>
    </cfRule>
    <cfRule type="cellIs" dxfId="2233" priority="574" stopIfTrue="1" operator="equal">
      <formula>"Napkin Hs"</formula>
    </cfRule>
  </conditionalFormatting>
  <conditionalFormatting sqref="C127">
    <cfRule type="cellIs" dxfId="2232" priority="575" stopIfTrue="1" operator="equal">
      <formula>"Towel"</formula>
    </cfRule>
  </conditionalFormatting>
  <conditionalFormatting sqref="C132:C133">
    <cfRule type="cellIs" dxfId="2231" priority="571" stopIfTrue="1" operator="equal">
      <formula>"Towel"</formula>
    </cfRule>
    <cfRule type="cellIs" dxfId="2230" priority="572" stopIfTrue="1" operator="equal">
      <formula>"Napkin Hs"</formula>
    </cfRule>
  </conditionalFormatting>
  <conditionalFormatting sqref="C132:C133">
    <cfRule type="cellIs" dxfId="2229" priority="563" stopIfTrue="1" operator="equal">
      <formula>"Towel"</formula>
    </cfRule>
    <cfRule type="cellIs" dxfId="2228" priority="564" stopIfTrue="1" operator="equal">
      <formula>"Napkin Hs"</formula>
    </cfRule>
  </conditionalFormatting>
  <conditionalFormatting sqref="C132:C133">
    <cfRule type="cellIs" dxfId="2227" priority="561" stopIfTrue="1" operator="equal">
      <formula>"Towel"</formula>
    </cfRule>
    <cfRule type="cellIs" dxfId="2226" priority="562" stopIfTrue="1" operator="equal">
      <formula>"Napkin Hs"</formula>
    </cfRule>
  </conditionalFormatting>
  <conditionalFormatting sqref="C132:C133">
    <cfRule type="cellIs" dxfId="2225" priority="559" stopIfTrue="1" operator="equal">
      <formula>"Towel"</formula>
    </cfRule>
    <cfRule type="cellIs" dxfId="2224" priority="560" stopIfTrue="1" operator="equal">
      <formula>"Napkin Hs"</formula>
    </cfRule>
  </conditionalFormatting>
  <conditionalFormatting sqref="C132:C133">
    <cfRule type="cellIs" dxfId="2223" priority="553" stopIfTrue="1" operator="equal">
      <formula>"Towel"</formula>
    </cfRule>
    <cfRule type="cellIs" dxfId="2222" priority="554" stopIfTrue="1" operator="equal">
      <formula>"Napkin Hs"</formula>
    </cfRule>
  </conditionalFormatting>
  <conditionalFormatting sqref="C132:C133">
    <cfRule type="cellIs" dxfId="2221" priority="555" stopIfTrue="1" operator="equal">
      <formula>"Towel"</formula>
    </cfRule>
    <cfRule type="cellIs" dxfId="2220" priority="556" stopIfTrue="1" operator="equal">
      <formula>"Napkin Hs"</formula>
    </cfRule>
  </conditionalFormatting>
  <conditionalFormatting sqref="C132:C133">
    <cfRule type="cellIs" dxfId="2219" priority="557" stopIfTrue="1" operator="equal">
      <formula>"Towel"</formula>
    </cfRule>
    <cfRule type="cellIs" dxfId="2218" priority="558" stopIfTrue="1" operator="equal">
      <formula>"Napkin Hs"</formula>
    </cfRule>
  </conditionalFormatting>
  <conditionalFormatting sqref="C132:C133">
    <cfRule type="cellIs" dxfId="2217" priority="569" stopIfTrue="1" operator="equal">
      <formula>"Towel"</formula>
    </cfRule>
    <cfRule type="cellIs" dxfId="2216" priority="570" stopIfTrue="1" operator="equal">
      <formula>"Napkin Hs"</formula>
    </cfRule>
  </conditionalFormatting>
  <conditionalFormatting sqref="C132:C133">
    <cfRule type="cellIs" dxfId="2215" priority="567" stopIfTrue="1" operator="equal">
      <formula>"Towel"</formula>
    </cfRule>
    <cfRule type="cellIs" dxfId="2214" priority="568" stopIfTrue="1" operator="equal">
      <formula>"Napkin Hs"</formula>
    </cfRule>
  </conditionalFormatting>
  <conditionalFormatting sqref="C132:C133">
    <cfRule type="cellIs" dxfId="2213" priority="565" stopIfTrue="1" operator="equal">
      <formula>"Towel"</formula>
    </cfRule>
    <cfRule type="cellIs" dxfId="2212" priority="566" stopIfTrue="1" operator="equal">
      <formula>"Napkin Hs"</formula>
    </cfRule>
  </conditionalFormatting>
  <conditionalFormatting sqref="B132:B133">
    <cfRule type="cellIs" dxfId="2211" priority="545" stopIfTrue="1" operator="equal">
      <formula>"Towel"</formula>
    </cfRule>
    <cfRule type="cellIs" dxfId="2210" priority="546" stopIfTrue="1" operator="equal">
      <formula>"Napkin Hs"</formula>
    </cfRule>
  </conditionalFormatting>
  <conditionalFormatting sqref="B132:B133">
    <cfRule type="cellIs" dxfId="2209" priority="543" stopIfTrue="1" operator="equal">
      <formula>"Towel"</formula>
    </cfRule>
    <cfRule type="cellIs" dxfId="2208" priority="544" stopIfTrue="1" operator="equal">
      <formula>"Napkin Hs"</formula>
    </cfRule>
  </conditionalFormatting>
  <conditionalFormatting sqref="B132:B133">
    <cfRule type="cellIs" dxfId="2207" priority="541" stopIfTrue="1" operator="equal">
      <formula>"Towel"</formula>
    </cfRule>
    <cfRule type="cellIs" dxfId="2206" priority="542" stopIfTrue="1" operator="equal">
      <formula>"Napkin Hs"</formula>
    </cfRule>
  </conditionalFormatting>
  <conditionalFormatting sqref="C132:C133">
    <cfRule type="cellIs" dxfId="2205" priority="551" stopIfTrue="1" operator="equal">
      <formula>"Towel"</formula>
    </cfRule>
    <cfRule type="cellIs" dxfId="2204" priority="552" stopIfTrue="1" operator="equal">
      <formula>"Napkin Hs"</formula>
    </cfRule>
  </conditionalFormatting>
  <conditionalFormatting sqref="C132:C133">
    <cfRule type="cellIs" dxfId="2203" priority="549" stopIfTrue="1" operator="equal">
      <formula>"Towel"</formula>
    </cfRule>
    <cfRule type="cellIs" dxfId="2202" priority="550" stopIfTrue="1" operator="equal">
      <formula>"Napkin Hs"</formula>
    </cfRule>
  </conditionalFormatting>
  <conditionalFormatting sqref="B132:B133">
    <cfRule type="cellIs" dxfId="2201" priority="547" stopIfTrue="1" operator="equal">
      <formula>"Towel"</formula>
    </cfRule>
    <cfRule type="cellIs" dxfId="2200" priority="548" stopIfTrue="1" operator="equal">
      <formula>"Napkin Hs"</formula>
    </cfRule>
  </conditionalFormatting>
  <conditionalFormatting sqref="B134:C135">
    <cfRule type="cellIs" dxfId="2199" priority="539" stopIfTrue="1" operator="equal">
      <formula>"Towel"</formula>
    </cfRule>
    <cfRule type="cellIs" dxfId="2198" priority="540" stopIfTrue="1" operator="equal">
      <formula>"Napkin Hs"</formula>
    </cfRule>
  </conditionalFormatting>
  <conditionalFormatting sqref="C134:C135">
    <cfRule type="cellIs" dxfId="2197" priority="538" stopIfTrue="1" operator="equal">
      <formula>"Napkin Hs"</formula>
    </cfRule>
  </conditionalFormatting>
  <conditionalFormatting sqref="C134:C135">
    <cfRule type="cellIs" dxfId="2196" priority="535" stopIfTrue="1" operator="equal">
      <formula>"Towel"</formula>
    </cfRule>
    <cfRule type="cellIs" dxfId="2195" priority="536" stopIfTrue="1" operator="equal">
      <formula>"Napkin Hs"</formula>
    </cfRule>
  </conditionalFormatting>
  <conditionalFormatting sqref="C134:C135">
    <cfRule type="cellIs" dxfId="2194" priority="537" stopIfTrue="1" operator="equal">
      <formula>"Towel"</formula>
    </cfRule>
  </conditionalFormatting>
  <conditionalFormatting sqref="B134:C134">
    <cfRule type="cellIs" dxfId="2193" priority="533" stopIfTrue="1" operator="equal">
      <formula>"Towel"</formula>
    </cfRule>
    <cfRule type="cellIs" dxfId="2192" priority="534" stopIfTrue="1" operator="equal">
      <formula>"Napkin Hs"</formula>
    </cfRule>
  </conditionalFormatting>
  <conditionalFormatting sqref="C134">
    <cfRule type="cellIs" dxfId="2191" priority="532" stopIfTrue="1" operator="equal">
      <formula>"Napkin Hs"</formula>
    </cfRule>
  </conditionalFormatting>
  <conditionalFormatting sqref="C134">
    <cfRule type="cellIs" dxfId="2190" priority="529" stopIfTrue="1" operator="equal">
      <formula>"Towel"</formula>
    </cfRule>
    <cfRule type="cellIs" dxfId="2189" priority="530" stopIfTrue="1" operator="equal">
      <formula>"Napkin Hs"</formula>
    </cfRule>
  </conditionalFormatting>
  <conditionalFormatting sqref="C134">
    <cfRule type="cellIs" dxfId="2188" priority="531" stopIfTrue="1" operator="equal">
      <formula>"Towel"</formula>
    </cfRule>
  </conditionalFormatting>
  <conditionalFormatting sqref="C132:C133">
    <cfRule type="cellIs" dxfId="2187" priority="497" stopIfTrue="1" operator="equal">
      <formula>"Towel"</formula>
    </cfRule>
    <cfRule type="cellIs" dxfId="2186" priority="498" stopIfTrue="1" operator="equal">
      <formula>"Napkin Hs"</formula>
    </cfRule>
  </conditionalFormatting>
  <conditionalFormatting sqref="B132:C133">
    <cfRule type="cellIs" dxfId="2185" priority="499" stopIfTrue="1" operator="equal">
      <formula>"Towel"</formula>
    </cfRule>
    <cfRule type="cellIs" dxfId="2184" priority="500" stopIfTrue="1" operator="equal">
      <formula>"Napkin Hs"</formula>
    </cfRule>
  </conditionalFormatting>
  <conditionalFormatting sqref="C132:C133">
    <cfRule type="cellIs" dxfId="2183" priority="495" stopIfTrue="1" operator="equal">
      <formula>"Towel"</formula>
    </cfRule>
    <cfRule type="cellIs" dxfId="2182" priority="496" stopIfTrue="1" operator="equal">
      <formula>"Napkin Hs"</formula>
    </cfRule>
  </conditionalFormatting>
  <conditionalFormatting sqref="B132:C133">
    <cfRule type="cellIs" dxfId="2181" priority="493" stopIfTrue="1" operator="equal">
      <formula>"Towel"</formula>
    </cfRule>
    <cfRule type="cellIs" dxfId="2180" priority="494" stopIfTrue="1" operator="equal">
      <formula>"Napkin Hs"</formula>
    </cfRule>
  </conditionalFormatting>
  <conditionalFormatting sqref="C132:C133">
    <cfRule type="cellIs" dxfId="2179" priority="501" stopIfTrue="1" operator="equal">
      <formula>"Towel"</formula>
    </cfRule>
    <cfRule type="cellIs" dxfId="2178" priority="502" stopIfTrue="1" operator="equal">
      <formula>"Napkin Hs"</formula>
    </cfRule>
  </conditionalFormatting>
  <conditionalFormatting sqref="C132:C133">
    <cfRule type="cellIs" dxfId="2177" priority="503" stopIfTrue="1" operator="equal">
      <formula>"Towel"</formula>
    </cfRule>
    <cfRule type="cellIs" dxfId="2176" priority="504" stopIfTrue="1" operator="equal">
      <formula>"Napkin Hs"</formula>
    </cfRule>
  </conditionalFormatting>
  <conditionalFormatting sqref="B132:C133">
    <cfRule type="cellIs" dxfId="2175" priority="491" stopIfTrue="1" operator="equal">
      <formula>"Towel"</formula>
    </cfRule>
    <cfRule type="cellIs" dxfId="2174" priority="492" stopIfTrue="1" operator="equal">
      <formula>"Napkin Hs"</formula>
    </cfRule>
  </conditionalFormatting>
  <conditionalFormatting sqref="C132:C133">
    <cfRule type="cellIs" dxfId="2173" priority="490" stopIfTrue="1" operator="equal">
      <formula>"Napkin Hs"</formula>
    </cfRule>
  </conditionalFormatting>
  <conditionalFormatting sqref="C132:C133">
    <cfRule type="cellIs" dxfId="2172" priority="487" stopIfTrue="1" operator="equal">
      <formula>"Towel"</formula>
    </cfRule>
    <cfRule type="cellIs" dxfId="2171" priority="488" stopIfTrue="1" operator="equal">
      <formula>"Napkin Hs"</formula>
    </cfRule>
  </conditionalFormatting>
  <conditionalFormatting sqref="C132:C133">
    <cfRule type="cellIs" dxfId="2170" priority="489" stopIfTrue="1" operator="equal">
      <formula>"Towel"</formula>
    </cfRule>
  </conditionalFormatting>
  <conditionalFormatting sqref="B139:C140">
    <cfRule type="cellIs" dxfId="2169" priority="453" stopIfTrue="1" operator="equal">
      <formula>"Towel"</formula>
    </cfRule>
    <cfRule type="cellIs" dxfId="2168" priority="454" stopIfTrue="1" operator="equal">
      <formula>"Napkin Hs"</formula>
    </cfRule>
  </conditionalFormatting>
  <conditionalFormatting sqref="C139:C140">
    <cfRule type="cellIs" dxfId="2167" priority="452" stopIfTrue="1" operator="equal">
      <formula>"Napkin Hs"</formula>
    </cfRule>
  </conditionalFormatting>
  <conditionalFormatting sqref="C139:C140">
    <cfRule type="cellIs" dxfId="2166" priority="449" stopIfTrue="1" operator="equal">
      <formula>"Towel"</formula>
    </cfRule>
    <cfRule type="cellIs" dxfId="2165" priority="450" stopIfTrue="1" operator="equal">
      <formula>"Napkin Hs"</formula>
    </cfRule>
  </conditionalFormatting>
  <conditionalFormatting sqref="C139:C140">
    <cfRule type="cellIs" dxfId="2164" priority="451" stopIfTrue="1" operator="equal">
      <formula>"Towel"</formula>
    </cfRule>
  </conditionalFormatting>
  <conditionalFormatting sqref="B139:C139">
    <cfRule type="cellIs" dxfId="2163" priority="447" stopIfTrue="1" operator="equal">
      <formula>"Towel"</formula>
    </cfRule>
    <cfRule type="cellIs" dxfId="2162" priority="448" stopIfTrue="1" operator="equal">
      <formula>"Napkin Hs"</formula>
    </cfRule>
  </conditionalFormatting>
  <conditionalFormatting sqref="C139">
    <cfRule type="cellIs" dxfId="2161" priority="446" stopIfTrue="1" operator="equal">
      <formula>"Napkin Hs"</formula>
    </cfRule>
  </conditionalFormatting>
  <conditionalFormatting sqref="C139">
    <cfRule type="cellIs" dxfId="2160" priority="443" stopIfTrue="1" operator="equal">
      <formula>"Towel"</formula>
    </cfRule>
    <cfRule type="cellIs" dxfId="2159" priority="444" stopIfTrue="1" operator="equal">
      <formula>"Napkin Hs"</formula>
    </cfRule>
  </conditionalFormatting>
  <conditionalFormatting sqref="C139">
    <cfRule type="cellIs" dxfId="2158" priority="445" stopIfTrue="1" operator="equal">
      <formula>"Towel"</formula>
    </cfRule>
  </conditionalFormatting>
  <conditionalFormatting sqref="C138">
    <cfRule type="cellIs" dxfId="2157" priority="435" stopIfTrue="1" operator="equal">
      <formula>"Towel"</formula>
    </cfRule>
    <cfRule type="cellIs" dxfId="2156" priority="436" stopIfTrue="1" operator="equal">
      <formula>"Napkin Hs"</formula>
    </cfRule>
  </conditionalFormatting>
  <conditionalFormatting sqref="B138:C138">
    <cfRule type="cellIs" dxfId="2155" priority="437" stopIfTrue="1" operator="equal">
      <formula>"Towel"</formula>
    </cfRule>
    <cfRule type="cellIs" dxfId="2154" priority="438" stopIfTrue="1" operator="equal">
      <formula>"Napkin Hs"</formula>
    </cfRule>
  </conditionalFormatting>
  <conditionalFormatting sqref="C138">
    <cfRule type="cellIs" dxfId="2153" priority="433" stopIfTrue="1" operator="equal">
      <formula>"Towel"</formula>
    </cfRule>
    <cfRule type="cellIs" dxfId="2152" priority="434" stopIfTrue="1" operator="equal">
      <formula>"Napkin Hs"</formula>
    </cfRule>
  </conditionalFormatting>
  <conditionalFormatting sqref="B138:C138">
    <cfRule type="cellIs" dxfId="2151" priority="431" stopIfTrue="1" operator="equal">
      <formula>"Towel"</formula>
    </cfRule>
    <cfRule type="cellIs" dxfId="2150" priority="432" stopIfTrue="1" operator="equal">
      <formula>"Napkin Hs"</formula>
    </cfRule>
  </conditionalFormatting>
  <conditionalFormatting sqref="C138">
    <cfRule type="cellIs" dxfId="2149" priority="439" stopIfTrue="1" operator="equal">
      <formula>"Towel"</formula>
    </cfRule>
    <cfRule type="cellIs" dxfId="2148" priority="440" stopIfTrue="1" operator="equal">
      <formula>"Napkin Hs"</formula>
    </cfRule>
  </conditionalFormatting>
  <conditionalFormatting sqref="C138">
    <cfRule type="cellIs" dxfId="2147" priority="441" stopIfTrue="1" operator="equal">
      <formula>"Towel"</formula>
    </cfRule>
    <cfRule type="cellIs" dxfId="2146" priority="442" stopIfTrue="1" operator="equal">
      <formula>"Napkin Hs"</formula>
    </cfRule>
  </conditionalFormatting>
  <conditionalFormatting sqref="B138:C138">
    <cfRule type="cellIs" dxfId="2145" priority="429" stopIfTrue="1" operator="equal">
      <formula>"Towel"</formula>
    </cfRule>
    <cfRule type="cellIs" dxfId="2144" priority="430" stopIfTrue="1" operator="equal">
      <formula>"Napkin Hs"</formula>
    </cfRule>
  </conditionalFormatting>
  <conditionalFormatting sqref="C138">
    <cfRule type="cellIs" dxfId="2143" priority="428" stopIfTrue="1" operator="equal">
      <formula>"Napkin Hs"</formula>
    </cfRule>
  </conditionalFormatting>
  <conditionalFormatting sqref="C138">
    <cfRule type="cellIs" dxfId="2142" priority="425" stopIfTrue="1" operator="equal">
      <formula>"Towel"</formula>
    </cfRule>
    <cfRule type="cellIs" dxfId="2141" priority="426" stopIfTrue="1" operator="equal">
      <formula>"Napkin Hs"</formula>
    </cfRule>
  </conditionalFormatting>
  <conditionalFormatting sqref="C138">
    <cfRule type="cellIs" dxfId="2140" priority="427" stopIfTrue="1" operator="equal">
      <formula>"Towel"</formula>
    </cfRule>
  </conditionalFormatting>
  <conditionalFormatting sqref="B138:C138">
    <cfRule type="cellIs" dxfId="2139" priority="423" stopIfTrue="1" operator="equal">
      <formula>"Towel"</formula>
    </cfRule>
    <cfRule type="cellIs" dxfId="2138" priority="424" stopIfTrue="1" operator="equal">
      <formula>"Napkin Hs"</formula>
    </cfRule>
  </conditionalFormatting>
  <conditionalFormatting sqref="C138">
    <cfRule type="cellIs" dxfId="2137" priority="422" stopIfTrue="1" operator="equal">
      <formula>"Napkin Hs"</formula>
    </cfRule>
  </conditionalFormatting>
  <conditionalFormatting sqref="C138">
    <cfRule type="cellIs" dxfId="2136" priority="419" stopIfTrue="1" operator="equal">
      <formula>"Towel"</formula>
    </cfRule>
    <cfRule type="cellIs" dxfId="2135" priority="420" stopIfTrue="1" operator="equal">
      <formula>"Napkin Hs"</formula>
    </cfRule>
  </conditionalFormatting>
  <conditionalFormatting sqref="C138">
    <cfRule type="cellIs" dxfId="2134" priority="421" stopIfTrue="1" operator="equal">
      <formula>"Towel"</formula>
    </cfRule>
  </conditionalFormatting>
  <conditionalFormatting sqref="C137">
    <cfRule type="cellIs" dxfId="2133" priority="399" stopIfTrue="1" operator="equal">
      <formula>"Towel"</formula>
    </cfRule>
    <cfRule type="cellIs" dxfId="2132" priority="400" stopIfTrue="1" operator="equal">
      <formula>"Napkin Hs"</formula>
    </cfRule>
  </conditionalFormatting>
  <conditionalFormatting sqref="C137">
    <cfRule type="cellIs" dxfId="2131" priority="391" stopIfTrue="1" operator="equal">
      <formula>"Towel"</formula>
    </cfRule>
    <cfRule type="cellIs" dxfId="2130" priority="392" stopIfTrue="1" operator="equal">
      <formula>"Napkin Hs"</formula>
    </cfRule>
  </conditionalFormatting>
  <conditionalFormatting sqref="C137">
    <cfRule type="cellIs" dxfId="2129" priority="389" stopIfTrue="1" operator="equal">
      <formula>"Towel"</formula>
    </cfRule>
    <cfRule type="cellIs" dxfId="2128" priority="390" stopIfTrue="1" operator="equal">
      <formula>"Napkin Hs"</formula>
    </cfRule>
  </conditionalFormatting>
  <conditionalFormatting sqref="C137">
    <cfRule type="cellIs" dxfId="2127" priority="387" stopIfTrue="1" operator="equal">
      <formula>"Towel"</formula>
    </cfRule>
    <cfRule type="cellIs" dxfId="2126" priority="388" stopIfTrue="1" operator="equal">
      <formula>"Napkin Hs"</formula>
    </cfRule>
  </conditionalFormatting>
  <conditionalFormatting sqref="C137">
    <cfRule type="cellIs" dxfId="2125" priority="381" stopIfTrue="1" operator="equal">
      <formula>"Towel"</formula>
    </cfRule>
    <cfRule type="cellIs" dxfId="2124" priority="382" stopIfTrue="1" operator="equal">
      <formula>"Napkin Hs"</formula>
    </cfRule>
  </conditionalFormatting>
  <conditionalFormatting sqref="C137">
    <cfRule type="cellIs" dxfId="2123" priority="383" stopIfTrue="1" operator="equal">
      <formula>"Towel"</formula>
    </cfRule>
    <cfRule type="cellIs" dxfId="2122" priority="384" stopIfTrue="1" operator="equal">
      <formula>"Napkin Hs"</formula>
    </cfRule>
  </conditionalFormatting>
  <conditionalFormatting sqref="C137">
    <cfRule type="cellIs" dxfId="2121" priority="385" stopIfTrue="1" operator="equal">
      <formula>"Towel"</formula>
    </cfRule>
    <cfRule type="cellIs" dxfId="2120" priority="386" stopIfTrue="1" operator="equal">
      <formula>"Napkin Hs"</formula>
    </cfRule>
  </conditionalFormatting>
  <conditionalFormatting sqref="C137">
    <cfRule type="cellIs" dxfId="2119" priority="397" stopIfTrue="1" operator="equal">
      <formula>"Towel"</formula>
    </cfRule>
    <cfRule type="cellIs" dxfId="2118" priority="398" stopIfTrue="1" operator="equal">
      <formula>"Napkin Hs"</formula>
    </cfRule>
  </conditionalFormatting>
  <conditionalFormatting sqref="C137">
    <cfRule type="cellIs" dxfId="2117" priority="395" stopIfTrue="1" operator="equal">
      <formula>"Towel"</formula>
    </cfRule>
    <cfRule type="cellIs" dxfId="2116" priority="396" stopIfTrue="1" operator="equal">
      <formula>"Napkin Hs"</formula>
    </cfRule>
  </conditionalFormatting>
  <conditionalFormatting sqref="C137">
    <cfRule type="cellIs" dxfId="2115" priority="393" stopIfTrue="1" operator="equal">
      <formula>"Towel"</formula>
    </cfRule>
    <cfRule type="cellIs" dxfId="2114" priority="394" stopIfTrue="1" operator="equal">
      <formula>"Napkin Hs"</formula>
    </cfRule>
  </conditionalFormatting>
  <conditionalFormatting sqref="B137">
    <cfRule type="cellIs" dxfId="2113" priority="373" stopIfTrue="1" operator="equal">
      <formula>"Towel"</formula>
    </cfRule>
    <cfRule type="cellIs" dxfId="2112" priority="374" stopIfTrue="1" operator="equal">
      <formula>"Napkin Hs"</formula>
    </cfRule>
  </conditionalFormatting>
  <conditionalFormatting sqref="B137">
    <cfRule type="cellIs" dxfId="2111" priority="371" stopIfTrue="1" operator="equal">
      <formula>"Towel"</formula>
    </cfRule>
    <cfRule type="cellIs" dxfId="2110" priority="372" stopIfTrue="1" operator="equal">
      <formula>"Napkin Hs"</formula>
    </cfRule>
  </conditionalFormatting>
  <conditionalFormatting sqref="B137">
    <cfRule type="cellIs" dxfId="2109" priority="369" stopIfTrue="1" operator="equal">
      <formula>"Towel"</formula>
    </cfRule>
    <cfRule type="cellIs" dxfId="2108" priority="370" stopIfTrue="1" operator="equal">
      <formula>"Napkin Hs"</formula>
    </cfRule>
  </conditionalFormatting>
  <conditionalFormatting sqref="C137">
    <cfRule type="cellIs" dxfId="2107" priority="379" stopIfTrue="1" operator="equal">
      <formula>"Towel"</formula>
    </cfRule>
    <cfRule type="cellIs" dxfId="2106" priority="380" stopIfTrue="1" operator="equal">
      <formula>"Napkin Hs"</formula>
    </cfRule>
  </conditionalFormatting>
  <conditionalFormatting sqref="C137">
    <cfRule type="cellIs" dxfId="2105" priority="377" stopIfTrue="1" operator="equal">
      <formula>"Towel"</formula>
    </cfRule>
    <cfRule type="cellIs" dxfId="2104" priority="378" stopIfTrue="1" operator="equal">
      <formula>"Napkin Hs"</formula>
    </cfRule>
  </conditionalFormatting>
  <conditionalFormatting sqref="B137">
    <cfRule type="cellIs" dxfId="2103" priority="375" stopIfTrue="1" operator="equal">
      <formula>"Towel"</formula>
    </cfRule>
    <cfRule type="cellIs" dxfId="2102" priority="376" stopIfTrue="1" operator="equal">
      <formula>"Napkin Hs"</formula>
    </cfRule>
  </conditionalFormatting>
  <conditionalFormatting sqref="C137">
    <cfRule type="cellIs" dxfId="2101" priority="361" stopIfTrue="1" operator="equal">
      <formula>"Towel"</formula>
    </cfRule>
    <cfRule type="cellIs" dxfId="2100" priority="362" stopIfTrue="1" operator="equal">
      <formula>"Napkin Hs"</formula>
    </cfRule>
  </conditionalFormatting>
  <conditionalFormatting sqref="B137:C137">
    <cfRule type="cellIs" dxfId="2099" priority="363" stopIfTrue="1" operator="equal">
      <formula>"Towel"</formula>
    </cfRule>
    <cfRule type="cellIs" dxfId="2098" priority="364" stopIfTrue="1" operator="equal">
      <formula>"Napkin Hs"</formula>
    </cfRule>
  </conditionalFormatting>
  <conditionalFormatting sqref="C137">
    <cfRule type="cellIs" dxfId="2097" priority="359" stopIfTrue="1" operator="equal">
      <formula>"Towel"</formula>
    </cfRule>
    <cfRule type="cellIs" dxfId="2096" priority="360" stopIfTrue="1" operator="equal">
      <formula>"Napkin Hs"</formula>
    </cfRule>
  </conditionalFormatting>
  <conditionalFormatting sqref="B137:C137">
    <cfRule type="cellIs" dxfId="2095" priority="357" stopIfTrue="1" operator="equal">
      <formula>"Towel"</formula>
    </cfRule>
    <cfRule type="cellIs" dxfId="2094" priority="358" stopIfTrue="1" operator="equal">
      <formula>"Napkin Hs"</formula>
    </cfRule>
  </conditionalFormatting>
  <conditionalFormatting sqref="C137">
    <cfRule type="cellIs" dxfId="2093" priority="365" stopIfTrue="1" operator="equal">
      <formula>"Towel"</formula>
    </cfRule>
    <cfRule type="cellIs" dxfId="2092" priority="366" stopIfTrue="1" operator="equal">
      <formula>"Napkin Hs"</formula>
    </cfRule>
  </conditionalFormatting>
  <conditionalFormatting sqref="C137">
    <cfRule type="cellIs" dxfId="2091" priority="367" stopIfTrue="1" operator="equal">
      <formula>"Towel"</formula>
    </cfRule>
    <cfRule type="cellIs" dxfId="2090" priority="368" stopIfTrue="1" operator="equal">
      <formula>"Napkin Hs"</formula>
    </cfRule>
  </conditionalFormatting>
  <conditionalFormatting sqref="B137:C137">
    <cfRule type="cellIs" dxfId="2089" priority="355" stopIfTrue="1" operator="equal">
      <formula>"Towel"</formula>
    </cfRule>
    <cfRule type="cellIs" dxfId="2088" priority="356" stopIfTrue="1" operator="equal">
      <formula>"Napkin Hs"</formula>
    </cfRule>
  </conditionalFormatting>
  <conditionalFormatting sqref="C137">
    <cfRule type="cellIs" dxfId="2087" priority="354" stopIfTrue="1" operator="equal">
      <formula>"Napkin Hs"</formula>
    </cfRule>
  </conditionalFormatting>
  <conditionalFormatting sqref="C137">
    <cfRule type="cellIs" dxfId="2086" priority="351" stopIfTrue="1" operator="equal">
      <formula>"Towel"</formula>
    </cfRule>
    <cfRule type="cellIs" dxfId="2085" priority="352" stopIfTrue="1" operator="equal">
      <formula>"Napkin Hs"</formula>
    </cfRule>
  </conditionalFormatting>
  <conditionalFormatting sqref="C137">
    <cfRule type="cellIs" dxfId="2084" priority="353" stopIfTrue="1" operator="equal">
      <formula>"Towel"</formula>
    </cfRule>
  </conditionalFormatting>
  <conditionalFormatting sqref="B144:C145">
    <cfRule type="cellIs" dxfId="2083" priority="349" stopIfTrue="1" operator="equal">
      <formula>"Towel"</formula>
    </cfRule>
    <cfRule type="cellIs" dxfId="2082" priority="350" stopIfTrue="1" operator="equal">
      <formula>"Napkin Hs"</formula>
    </cfRule>
  </conditionalFormatting>
  <conditionalFormatting sqref="C144:C145">
    <cfRule type="cellIs" dxfId="2081" priority="348" stopIfTrue="1" operator="equal">
      <formula>"Napkin Hs"</formula>
    </cfRule>
  </conditionalFormatting>
  <conditionalFormatting sqref="C144:C145">
    <cfRule type="cellIs" dxfId="2080" priority="345" stopIfTrue="1" operator="equal">
      <formula>"Towel"</formula>
    </cfRule>
    <cfRule type="cellIs" dxfId="2079" priority="346" stopIfTrue="1" operator="equal">
      <formula>"Napkin Hs"</formula>
    </cfRule>
  </conditionalFormatting>
  <conditionalFormatting sqref="C144:C145">
    <cfRule type="cellIs" dxfId="2078" priority="347" stopIfTrue="1" operator="equal">
      <formula>"Towel"</formula>
    </cfRule>
  </conditionalFormatting>
  <conditionalFormatting sqref="B144:C144">
    <cfRule type="cellIs" dxfId="2077" priority="343" stopIfTrue="1" operator="equal">
      <formula>"Towel"</formula>
    </cfRule>
    <cfRule type="cellIs" dxfId="2076" priority="344" stopIfTrue="1" operator="equal">
      <formula>"Napkin Hs"</formula>
    </cfRule>
  </conditionalFormatting>
  <conditionalFormatting sqref="C144">
    <cfRule type="cellIs" dxfId="2075" priority="342" stopIfTrue="1" operator="equal">
      <formula>"Napkin Hs"</formula>
    </cfRule>
  </conditionalFormatting>
  <conditionalFormatting sqref="C144">
    <cfRule type="cellIs" dxfId="2074" priority="339" stopIfTrue="1" operator="equal">
      <formula>"Towel"</formula>
    </cfRule>
    <cfRule type="cellIs" dxfId="2073" priority="340" stopIfTrue="1" operator="equal">
      <formula>"Napkin Hs"</formula>
    </cfRule>
  </conditionalFormatting>
  <conditionalFormatting sqref="C144">
    <cfRule type="cellIs" dxfId="2072" priority="341" stopIfTrue="1" operator="equal">
      <formula>"Towel"</formula>
    </cfRule>
  </conditionalFormatting>
  <conditionalFormatting sqref="C143">
    <cfRule type="cellIs" dxfId="2071" priority="331" stopIfTrue="1" operator="equal">
      <formula>"Towel"</formula>
    </cfRule>
    <cfRule type="cellIs" dxfId="2070" priority="332" stopIfTrue="1" operator="equal">
      <formula>"Napkin Hs"</formula>
    </cfRule>
  </conditionalFormatting>
  <conditionalFormatting sqref="B143:C143">
    <cfRule type="cellIs" dxfId="2069" priority="333" stopIfTrue="1" operator="equal">
      <formula>"Towel"</formula>
    </cfRule>
    <cfRule type="cellIs" dxfId="2068" priority="334" stopIfTrue="1" operator="equal">
      <formula>"Napkin Hs"</formula>
    </cfRule>
  </conditionalFormatting>
  <conditionalFormatting sqref="C143">
    <cfRule type="cellIs" dxfId="2067" priority="329" stopIfTrue="1" operator="equal">
      <formula>"Towel"</formula>
    </cfRule>
    <cfRule type="cellIs" dxfId="2066" priority="330" stopIfTrue="1" operator="equal">
      <formula>"Napkin Hs"</formula>
    </cfRule>
  </conditionalFormatting>
  <conditionalFormatting sqref="B143:C143">
    <cfRule type="cellIs" dxfId="2065" priority="327" stopIfTrue="1" operator="equal">
      <formula>"Towel"</formula>
    </cfRule>
    <cfRule type="cellIs" dxfId="2064" priority="328" stopIfTrue="1" operator="equal">
      <formula>"Napkin Hs"</formula>
    </cfRule>
  </conditionalFormatting>
  <conditionalFormatting sqref="C143">
    <cfRule type="cellIs" dxfId="2063" priority="335" stopIfTrue="1" operator="equal">
      <formula>"Towel"</formula>
    </cfRule>
    <cfRule type="cellIs" dxfId="2062" priority="336" stopIfTrue="1" operator="equal">
      <formula>"Napkin Hs"</formula>
    </cfRule>
  </conditionalFormatting>
  <conditionalFormatting sqref="C143">
    <cfRule type="cellIs" dxfId="2061" priority="337" stopIfTrue="1" operator="equal">
      <formula>"Towel"</formula>
    </cfRule>
    <cfRule type="cellIs" dxfId="2060" priority="338" stopIfTrue="1" operator="equal">
      <formula>"Napkin Hs"</formula>
    </cfRule>
  </conditionalFormatting>
  <conditionalFormatting sqref="B143:C143">
    <cfRule type="cellIs" dxfId="2059" priority="325" stopIfTrue="1" operator="equal">
      <formula>"Towel"</formula>
    </cfRule>
    <cfRule type="cellIs" dxfId="2058" priority="326" stopIfTrue="1" operator="equal">
      <formula>"Napkin Hs"</formula>
    </cfRule>
  </conditionalFormatting>
  <conditionalFormatting sqref="C143">
    <cfRule type="cellIs" dxfId="2057" priority="324" stopIfTrue="1" operator="equal">
      <formula>"Napkin Hs"</formula>
    </cfRule>
  </conditionalFormatting>
  <conditionalFormatting sqref="C143">
    <cfRule type="cellIs" dxfId="2056" priority="321" stopIfTrue="1" operator="equal">
      <formula>"Towel"</formula>
    </cfRule>
    <cfRule type="cellIs" dxfId="2055" priority="322" stopIfTrue="1" operator="equal">
      <formula>"Napkin Hs"</formula>
    </cfRule>
  </conditionalFormatting>
  <conditionalFormatting sqref="C143">
    <cfRule type="cellIs" dxfId="2054" priority="323" stopIfTrue="1" operator="equal">
      <formula>"Towel"</formula>
    </cfRule>
  </conditionalFormatting>
  <conditionalFormatting sqref="B143:C143">
    <cfRule type="cellIs" dxfId="2053" priority="319" stopIfTrue="1" operator="equal">
      <formula>"Towel"</formula>
    </cfRule>
    <cfRule type="cellIs" dxfId="2052" priority="320" stopIfTrue="1" operator="equal">
      <formula>"Napkin Hs"</formula>
    </cfRule>
  </conditionalFormatting>
  <conditionalFormatting sqref="C143">
    <cfRule type="cellIs" dxfId="2051" priority="318" stopIfTrue="1" operator="equal">
      <formula>"Napkin Hs"</formula>
    </cfRule>
  </conditionalFormatting>
  <conditionalFormatting sqref="C143">
    <cfRule type="cellIs" dxfId="2050" priority="315" stopIfTrue="1" operator="equal">
      <formula>"Towel"</formula>
    </cfRule>
    <cfRule type="cellIs" dxfId="2049" priority="316" stopIfTrue="1" operator="equal">
      <formula>"Napkin Hs"</formula>
    </cfRule>
  </conditionalFormatting>
  <conditionalFormatting sqref="C143">
    <cfRule type="cellIs" dxfId="2048" priority="317" stopIfTrue="1" operator="equal">
      <formula>"Towel"</formula>
    </cfRule>
  </conditionalFormatting>
  <conditionalFormatting sqref="C142">
    <cfRule type="cellIs" dxfId="2047" priority="313" stopIfTrue="1" operator="equal">
      <formula>"Towel"</formula>
    </cfRule>
    <cfRule type="cellIs" dxfId="2046" priority="314" stopIfTrue="1" operator="equal">
      <formula>"Napkin Hs"</formula>
    </cfRule>
  </conditionalFormatting>
  <conditionalFormatting sqref="C142">
    <cfRule type="cellIs" dxfId="2045" priority="305" stopIfTrue="1" operator="equal">
      <formula>"Towel"</formula>
    </cfRule>
    <cfRule type="cellIs" dxfId="2044" priority="306" stopIfTrue="1" operator="equal">
      <formula>"Napkin Hs"</formula>
    </cfRule>
  </conditionalFormatting>
  <conditionalFormatting sqref="C142">
    <cfRule type="cellIs" dxfId="2043" priority="303" stopIfTrue="1" operator="equal">
      <formula>"Towel"</formula>
    </cfRule>
    <cfRule type="cellIs" dxfId="2042" priority="304" stopIfTrue="1" operator="equal">
      <formula>"Napkin Hs"</formula>
    </cfRule>
  </conditionalFormatting>
  <conditionalFormatting sqref="C142">
    <cfRule type="cellIs" dxfId="2041" priority="301" stopIfTrue="1" operator="equal">
      <formula>"Towel"</formula>
    </cfRule>
    <cfRule type="cellIs" dxfId="2040" priority="302" stopIfTrue="1" operator="equal">
      <formula>"Napkin Hs"</formula>
    </cfRule>
  </conditionalFormatting>
  <conditionalFormatting sqref="C142">
    <cfRule type="cellIs" dxfId="2039" priority="295" stopIfTrue="1" operator="equal">
      <formula>"Towel"</formula>
    </cfRule>
    <cfRule type="cellIs" dxfId="2038" priority="296" stopIfTrue="1" operator="equal">
      <formula>"Napkin Hs"</formula>
    </cfRule>
  </conditionalFormatting>
  <conditionalFormatting sqref="C142">
    <cfRule type="cellIs" dxfId="2037" priority="297" stopIfTrue="1" operator="equal">
      <formula>"Towel"</formula>
    </cfRule>
    <cfRule type="cellIs" dxfId="2036" priority="298" stopIfTrue="1" operator="equal">
      <formula>"Napkin Hs"</formula>
    </cfRule>
  </conditionalFormatting>
  <conditionalFormatting sqref="C142">
    <cfRule type="cellIs" dxfId="2035" priority="299" stopIfTrue="1" operator="equal">
      <formula>"Towel"</formula>
    </cfRule>
    <cfRule type="cellIs" dxfId="2034" priority="300" stopIfTrue="1" operator="equal">
      <formula>"Napkin Hs"</formula>
    </cfRule>
  </conditionalFormatting>
  <conditionalFormatting sqref="C142">
    <cfRule type="cellIs" dxfId="2033" priority="311" stopIfTrue="1" operator="equal">
      <formula>"Towel"</formula>
    </cfRule>
    <cfRule type="cellIs" dxfId="2032" priority="312" stopIfTrue="1" operator="equal">
      <formula>"Napkin Hs"</formula>
    </cfRule>
  </conditionalFormatting>
  <conditionalFormatting sqref="C142">
    <cfRule type="cellIs" dxfId="2031" priority="309" stopIfTrue="1" operator="equal">
      <formula>"Towel"</formula>
    </cfRule>
    <cfRule type="cellIs" dxfId="2030" priority="310" stopIfTrue="1" operator="equal">
      <formula>"Napkin Hs"</formula>
    </cfRule>
  </conditionalFormatting>
  <conditionalFormatting sqref="C142">
    <cfRule type="cellIs" dxfId="2029" priority="307" stopIfTrue="1" operator="equal">
      <formula>"Towel"</formula>
    </cfRule>
    <cfRule type="cellIs" dxfId="2028" priority="308" stopIfTrue="1" operator="equal">
      <formula>"Napkin Hs"</formula>
    </cfRule>
  </conditionalFormatting>
  <conditionalFormatting sqref="B142">
    <cfRule type="cellIs" dxfId="2027" priority="287" stopIfTrue="1" operator="equal">
      <formula>"Towel"</formula>
    </cfRule>
    <cfRule type="cellIs" dxfId="2026" priority="288" stopIfTrue="1" operator="equal">
      <formula>"Napkin Hs"</formula>
    </cfRule>
  </conditionalFormatting>
  <conditionalFormatting sqref="B142">
    <cfRule type="cellIs" dxfId="2025" priority="285" stopIfTrue="1" operator="equal">
      <formula>"Towel"</formula>
    </cfRule>
    <cfRule type="cellIs" dxfId="2024" priority="286" stopIfTrue="1" operator="equal">
      <formula>"Napkin Hs"</formula>
    </cfRule>
  </conditionalFormatting>
  <conditionalFormatting sqref="B142">
    <cfRule type="cellIs" dxfId="2023" priority="283" stopIfTrue="1" operator="equal">
      <formula>"Towel"</formula>
    </cfRule>
    <cfRule type="cellIs" dxfId="2022" priority="284" stopIfTrue="1" operator="equal">
      <formula>"Napkin Hs"</formula>
    </cfRule>
  </conditionalFormatting>
  <conditionalFormatting sqref="C142">
    <cfRule type="cellIs" dxfId="2021" priority="293" stopIfTrue="1" operator="equal">
      <formula>"Towel"</formula>
    </cfRule>
    <cfRule type="cellIs" dxfId="2020" priority="294" stopIfTrue="1" operator="equal">
      <formula>"Napkin Hs"</formula>
    </cfRule>
  </conditionalFormatting>
  <conditionalFormatting sqref="C142">
    <cfRule type="cellIs" dxfId="2019" priority="291" stopIfTrue="1" operator="equal">
      <formula>"Towel"</formula>
    </cfRule>
    <cfRule type="cellIs" dxfId="2018" priority="292" stopIfTrue="1" operator="equal">
      <formula>"Napkin Hs"</formula>
    </cfRule>
  </conditionalFormatting>
  <conditionalFormatting sqref="B142">
    <cfRule type="cellIs" dxfId="2017" priority="289" stopIfTrue="1" operator="equal">
      <formula>"Towel"</formula>
    </cfRule>
    <cfRule type="cellIs" dxfId="2016" priority="290" stopIfTrue="1" operator="equal">
      <formula>"Napkin Hs"</formula>
    </cfRule>
  </conditionalFormatting>
  <conditionalFormatting sqref="C142">
    <cfRule type="cellIs" dxfId="2015" priority="275" stopIfTrue="1" operator="equal">
      <formula>"Towel"</formula>
    </cfRule>
    <cfRule type="cellIs" dxfId="2014" priority="276" stopIfTrue="1" operator="equal">
      <formula>"Napkin Hs"</formula>
    </cfRule>
  </conditionalFormatting>
  <conditionalFormatting sqref="B142:C142">
    <cfRule type="cellIs" dxfId="2013" priority="277" stopIfTrue="1" operator="equal">
      <formula>"Towel"</formula>
    </cfRule>
    <cfRule type="cellIs" dxfId="2012" priority="278" stopIfTrue="1" operator="equal">
      <formula>"Napkin Hs"</formula>
    </cfRule>
  </conditionalFormatting>
  <conditionalFormatting sqref="C142">
    <cfRule type="cellIs" dxfId="2011" priority="273" stopIfTrue="1" operator="equal">
      <formula>"Towel"</formula>
    </cfRule>
    <cfRule type="cellIs" dxfId="2010" priority="274" stopIfTrue="1" operator="equal">
      <formula>"Napkin Hs"</formula>
    </cfRule>
  </conditionalFormatting>
  <conditionalFormatting sqref="B142:C142">
    <cfRule type="cellIs" dxfId="2009" priority="271" stopIfTrue="1" operator="equal">
      <formula>"Towel"</formula>
    </cfRule>
    <cfRule type="cellIs" dxfId="2008" priority="272" stopIfTrue="1" operator="equal">
      <formula>"Napkin Hs"</formula>
    </cfRule>
  </conditionalFormatting>
  <conditionalFormatting sqref="C142">
    <cfRule type="cellIs" dxfId="2007" priority="279" stopIfTrue="1" operator="equal">
      <formula>"Towel"</formula>
    </cfRule>
    <cfRule type="cellIs" dxfId="2006" priority="280" stopIfTrue="1" operator="equal">
      <formula>"Napkin Hs"</formula>
    </cfRule>
  </conditionalFormatting>
  <conditionalFormatting sqref="C142">
    <cfRule type="cellIs" dxfId="2005" priority="281" stopIfTrue="1" operator="equal">
      <formula>"Towel"</formula>
    </cfRule>
    <cfRule type="cellIs" dxfId="2004" priority="282" stopIfTrue="1" operator="equal">
      <formula>"Napkin Hs"</formula>
    </cfRule>
  </conditionalFormatting>
  <conditionalFormatting sqref="B142:C142">
    <cfRule type="cellIs" dxfId="2003" priority="269" stopIfTrue="1" operator="equal">
      <formula>"Towel"</formula>
    </cfRule>
    <cfRule type="cellIs" dxfId="2002" priority="270" stopIfTrue="1" operator="equal">
      <formula>"Napkin Hs"</formula>
    </cfRule>
  </conditionalFormatting>
  <conditionalFormatting sqref="C142">
    <cfRule type="cellIs" dxfId="2001" priority="268" stopIfTrue="1" operator="equal">
      <formula>"Napkin Hs"</formula>
    </cfRule>
  </conditionalFormatting>
  <conditionalFormatting sqref="C142">
    <cfRule type="cellIs" dxfId="2000" priority="265" stopIfTrue="1" operator="equal">
      <formula>"Towel"</formula>
    </cfRule>
    <cfRule type="cellIs" dxfId="1999" priority="266" stopIfTrue="1" operator="equal">
      <formula>"Napkin Hs"</formula>
    </cfRule>
  </conditionalFormatting>
  <conditionalFormatting sqref="C142">
    <cfRule type="cellIs" dxfId="1998" priority="267" stopIfTrue="1" operator="equal">
      <formula>"Towel"</formula>
    </cfRule>
  </conditionalFormatting>
  <conditionalFormatting sqref="B146:C146">
    <cfRule type="cellIs" dxfId="1997" priority="263" stopIfTrue="1" operator="equal">
      <formula>"Towel"</formula>
    </cfRule>
    <cfRule type="cellIs" dxfId="1996" priority="264" stopIfTrue="1" operator="equal">
      <formula>"Napkin Hs"</formula>
    </cfRule>
  </conditionalFormatting>
  <conditionalFormatting sqref="C146">
    <cfRule type="cellIs" dxfId="1995" priority="262" stopIfTrue="1" operator="equal">
      <formula>"Napkin Hs"</formula>
    </cfRule>
  </conditionalFormatting>
  <conditionalFormatting sqref="C146">
    <cfRule type="cellIs" dxfId="1994" priority="259" stopIfTrue="1" operator="equal">
      <formula>"Towel"</formula>
    </cfRule>
    <cfRule type="cellIs" dxfId="1993" priority="260" stopIfTrue="1" operator="equal">
      <formula>"Napkin Hs"</formula>
    </cfRule>
  </conditionalFormatting>
  <conditionalFormatting sqref="C146">
    <cfRule type="cellIs" dxfId="1992" priority="261" stopIfTrue="1" operator="equal">
      <formula>"Towel"</formula>
    </cfRule>
  </conditionalFormatting>
  <conditionalFormatting sqref="B150:C151">
    <cfRule type="cellIs" dxfId="1991" priority="257" stopIfTrue="1" operator="equal">
      <formula>"Towel"</formula>
    </cfRule>
    <cfRule type="cellIs" dxfId="1990" priority="258" stopIfTrue="1" operator="equal">
      <formula>"Napkin Hs"</formula>
    </cfRule>
  </conditionalFormatting>
  <conditionalFormatting sqref="C150:C151">
    <cfRule type="cellIs" dxfId="1989" priority="256" stopIfTrue="1" operator="equal">
      <formula>"Napkin Hs"</formula>
    </cfRule>
  </conditionalFormatting>
  <conditionalFormatting sqref="C150:C151">
    <cfRule type="cellIs" dxfId="1988" priority="253" stopIfTrue="1" operator="equal">
      <formula>"Towel"</formula>
    </cfRule>
    <cfRule type="cellIs" dxfId="1987" priority="254" stopIfTrue="1" operator="equal">
      <formula>"Napkin Hs"</formula>
    </cfRule>
  </conditionalFormatting>
  <conditionalFormatting sqref="C150:C151">
    <cfRule type="cellIs" dxfId="1986" priority="255" stopIfTrue="1" operator="equal">
      <formula>"Towel"</formula>
    </cfRule>
  </conditionalFormatting>
  <conditionalFormatting sqref="B150:C150">
    <cfRule type="cellIs" dxfId="1985" priority="251" stopIfTrue="1" operator="equal">
      <formula>"Towel"</formula>
    </cfRule>
    <cfRule type="cellIs" dxfId="1984" priority="252" stopIfTrue="1" operator="equal">
      <formula>"Napkin Hs"</formula>
    </cfRule>
  </conditionalFormatting>
  <conditionalFormatting sqref="C150">
    <cfRule type="cellIs" dxfId="1983" priority="250" stopIfTrue="1" operator="equal">
      <formula>"Napkin Hs"</formula>
    </cfRule>
  </conditionalFormatting>
  <conditionalFormatting sqref="C150">
    <cfRule type="cellIs" dxfId="1982" priority="247" stopIfTrue="1" operator="equal">
      <formula>"Towel"</formula>
    </cfRule>
    <cfRule type="cellIs" dxfId="1981" priority="248" stopIfTrue="1" operator="equal">
      <formula>"Napkin Hs"</formula>
    </cfRule>
  </conditionalFormatting>
  <conditionalFormatting sqref="C150">
    <cfRule type="cellIs" dxfId="1980" priority="249" stopIfTrue="1" operator="equal">
      <formula>"Towel"</formula>
    </cfRule>
  </conditionalFormatting>
  <conditionalFormatting sqref="C149">
    <cfRule type="cellIs" dxfId="1979" priority="239" stopIfTrue="1" operator="equal">
      <formula>"Towel"</formula>
    </cfRule>
    <cfRule type="cellIs" dxfId="1978" priority="240" stopIfTrue="1" operator="equal">
      <formula>"Napkin Hs"</formula>
    </cfRule>
  </conditionalFormatting>
  <conditionalFormatting sqref="B149:C149">
    <cfRule type="cellIs" dxfId="1977" priority="241" stopIfTrue="1" operator="equal">
      <formula>"Towel"</formula>
    </cfRule>
    <cfRule type="cellIs" dxfId="1976" priority="242" stopIfTrue="1" operator="equal">
      <formula>"Napkin Hs"</formula>
    </cfRule>
  </conditionalFormatting>
  <conditionalFormatting sqref="C149">
    <cfRule type="cellIs" dxfId="1975" priority="237" stopIfTrue="1" operator="equal">
      <formula>"Towel"</formula>
    </cfRule>
    <cfRule type="cellIs" dxfId="1974" priority="238" stopIfTrue="1" operator="equal">
      <formula>"Napkin Hs"</formula>
    </cfRule>
  </conditionalFormatting>
  <conditionalFormatting sqref="B149:C149">
    <cfRule type="cellIs" dxfId="1973" priority="235" stopIfTrue="1" operator="equal">
      <formula>"Towel"</formula>
    </cfRule>
    <cfRule type="cellIs" dxfId="1972" priority="236" stopIfTrue="1" operator="equal">
      <formula>"Napkin Hs"</formula>
    </cfRule>
  </conditionalFormatting>
  <conditionalFormatting sqref="C149">
    <cfRule type="cellIs" dxfId="1971" priority="243" stopIfTrue="1" operator="equal">
      <formula>"Towel"</formula>
    </cfRule>
    <cfRule type="cellIs" dxfId="1970" priority="244" stopIfTrue="1" operator="equal">
      <formula>"Napkin Hs"</formula>
    </cfRule>
  </conditionalFormatting>
  <conditionalFormatting sqref="C149">
    <cfRule type="cellIs" dxfId="1969" priority="245" stopIfTrue="1" operator="equal">
      <formula>"Towel"</formula>
    </cfRule>
    <cfRule type="cellIs" dxfId="1968" priority="246" stopIfTrue="1" operator="equal">
      <formula>"Napkin Hs"</formula>
    </cfRule>
  </conditionalFormatting>
  <conditionalFormatting sqref="B149:C149">
    <cfRule type="cellIs" dxfId="1967" priority="233" stopIfTrue="1" operator="equal">
      <formula>"Towel"</formula>
    </cfRule>
    <cfRule type="cellIs" dxfId="1966" priority="234" stopIfTrue="1" operator="equal">
      <formula>"Napkin Hs"</formula>
    </cfRule>
  </conditionalFormatting>
  <conditionalFormatting sqref="C149">
    <cfRule type="cellIs" dxfId="1965" priority="232" stopIfTrue="1" operator="equal">
      <formula>"Napkin Hs"</formula>
    </cfRule>
  </conditionalFormatting>
  <conditionalFormatting sqref="C149">
    <cfRule type="cellIs" dxfId="1964" priority="229" stopIfTrue="1" operator="equal">
      <formula>"Towel"</formula>
    </cfRule>
    <cfRule type="cellIs" dxfId="1963" priority="230" stopIfTrue="1" operator="equal">
      <formula>"Napkin Hs"</formula>
    </cfRule>
  </conditionalFormatting>
  <conditionalFormatting sqref="C149">
    <cfRule type="cellIs" dxfId="1962" priority="231" stopIfTrue="1" operator="equal">
      <formula>"Towel"</formula>
    </cfRule>
  </conditionalFormatting>
  <conditionalFormatting sqref="B149:C149">
    <cfRule type="cellIs" dxfId="1961" priority="227" stopIfTrue="1" operator="equal">
      <formula>"Towel"</formula>
    </cfRule>
    <cfRule type="cellIs" dxfId="1960" priority="228" stopIfTrue="1" operator="equal">
      <formula>"Napkin Hs"</formula>
    </cfRule>
  </conditionalFormatting>
  <conditionalFormatting sqref="C149">
    <cfRule type="cellIs" dxfId="1959" priority="226" stopIfTrue="1" operator="equal">
      <formula>"Napkin Hs"</formula>
    </cfRule>
  </conditionalFormatting>
  <conditionalFormatting sqref="C149">
    <cfRule type="cellIs" dxfId="1958" priority="223" stopIfTrue="1" operator="equal">
      <formula>"Towel"</formula>
    </cfRule>
    <cfRule type="cellIs" dxfId="1957" priority="224" stopIfTrue="1" operator="equal">
      <formula>"Napkin Hs"</formula>
    </cfRule>
  </conditionalFormatting>
  <conditionalFormatting sqref="C149">
    <cfRule type="cellIs" dxfId="1956" priority="225" stopIfTrue="1" operator="equal">
      <formula>"Towel"</formula>
    </cfRule>
  </conditionalFormatting>
  <conditionalFormatting sqref="C148">
    <cfRule type="cellIs" dxfId="1955" priority="221" stopIfTrue="1" operator="equal">
      <formula>"Towel"</formula>
    </cfRule>
    <cfRule type="cellIs" dxfId="1954" priority="222" stopIfTrue="1" operator="equal">
      <formula>"Napkin Hs"</formula>
    </cfRule>
  </conditionalFormatting>
  <conditionalFormatting sqref="C148">
    <cfRule type="cellIs" dxfId="1953" priority="213" stopIfTrue="1" operator="equal">
      <formula>"Towel"</formula>
    </cfRule>
    <cfRule type="cellIs" dxfId="1952" priority="214" stopIfTrue="1" operator="equal">
      <formula>"Napkin Hs"</formula>
    </cfRule>
  </conditionalFormatting>
  <conditionalFormatting sqref="C148">
    <cfRule type="cellIs" dxfId="1951" priority="211" stopIfTrue="1" operator="equal">
      <formula>"Towel"</formula>
    </cfRule>
    <cfRule type="cellIs" dxfId="1950" priority="212" stopIfTrue="1" operator="equal">
      <formula>"Napkin Hs"</formula>
    </cfRule>
  </conditionalFormatting>
  <conditionalFormatting sqref="C148">
    <cfRule type="cellIs" dxfId="1949" priority="209" stopIfTrue="1" operator="equal">
      <formula>"Towel"</formula>
    </cfRule>
    <cfRule type="cellIs" dxfId="1948" priority="210" stopIfTrue="1" operator="equal">
      <formula>"Napkin Hs"</formula>
    </cfRule>
  </conditionalFormatting>
  <conditionalFormatting sqref="C148">
    <cfRule type="cellIs" dxfId="1947" priority="203" stopIfTrue="1" operator="equal">
      <formula>"Towel"</formula>
    </cfRule>
    <cfRule type="cellIs" dxfId="1946" priority="204" stopIfTrue="1" operator="equal">
      <formula>"Napkin Hs"</formula>
    </cfRule>
  </conditionalFormatting>
  <conditionalFormatting sqref="C148">
    <cfRule type="cellIs" dxfId="1945" priority="205" stopIfTrue="1" operator="equal">
      <formula>"Towel"</formula>
    </cfRule>
    <cfRule type="cellIs" dxfId="1944" priority="206" stopIfTrue="1" operator="equal">
      <formula>"Napkin Hs"</formula>
    </cfRule>
  </conditionalFormatting>
  <conditionalFormatting sqref="C148">
    <cfRule type="cellIs" dxfId="1943" priority="207" stopIfTrue="1" operator="equal">
      <formula>"Towel"</formula>
    </cfRule>
    <cfRule type="cellIs" dxfId="1942" priority="208" stopIfTrue="1" operator="equal">
      <formula>"Napkin Hs"</formula>
    </cfRule>
  </conditionalFormatting>
  <conditionalFormatting sqref="C148">
    <cfRule type="cellIs" dxfId="1941" priority="219" stopIfTrue="1" operator="equal">
      <formula>"Towel"</formula>
    </cfRule>
    <cfRule type="cellIs" dxfId="1940" priority="220" stopIfTrue="1" operator="equal">
      <formula>"Napkin Hs"</formula>
    </cfRule>
  </conditionalFormatting>
  <conditionalFormatting sqref="C148">
    <cfRule type="cellIs" dxfId="1939" priority="217" stopIfTrue="1" operator="equal">
      <formula>"Towel"</formula>
    </cfRule>
    <cfRule type="cellIs" dxfId="1938" priority="218" stopIfTrue="1" operator="equal">
      <formula>"Napkin Hs"</formula>
    </cfRule>
  </conditionalFormatting>
  <conditionalFormatting sqref="C148">
    <cfRule type="cellIs" dxfId="1937" priority="215" stopIfTrue="1" operator="equal">
      <formula>"Towel"</formula>
    </cfRule>
    <cfRule type="cellIs" dxfId="1936" priority="216" stopIfTrue="1" operator="equal">
      <formula>"Napkin Hs"</formula>
    </cfRule>
  </conditionalFormatting>
  <conditionalFormatting sqref="B148">
    <cfRule type="cellIs" dxfId="1935" priority="195" stopIfTrue="1" operator="equal">
      <formula>"Towel"</formula>
    </cfRule>
    <cfRule type="cellIs" dxfId="1934" priority="196" stopIfTrue="1" operator="equal">
      <formula>"Napkin Hs"</formula>
    </cfRule>
  </conditionalFormatting>
  <conditionalFormatting sqref="B148">
    <cfRule type="cellIs" dxfId="1933" priority="193" stopIfTrue="1" operator="equal">
      <formula>"Towel"</formula>
    </cfRule>
    <cfRule type="cellIs" dxfId="1932" priority="194" stopIfTrue="1" operator="equal">
      <formula>"Napkin Hs"</formula>
    </cfRule>
  </conditionalFormatting>
  <conditionalFormatting sqref="B148">
    <cfRule type="cellIs" dxfId="1931" priority="191" stopIfTrue="1" operator="equal">
      <formula>"Towel"</formula>
    </cfRule>
    <cfRule type="cellIs" dxfId="1930" priority="192" stopIfTrue="1" operator="equal">
      <formula>"Napkin Hs"</formula>
    </cfRule>
  </conditionalFormatting>
  <conditionalFormatting sqref="C148">
    <cfRule type="cellIs" dxfId="1929" priority="201" stopIfTrue="1" operator="equal">
      <formula>"Towel"</formula>
    </cfRule>
    <cfRule type="cellIs" dxfId="1928" priority="202" stopIfTrue="1" operator="equal">
      <formula>"Napkin Hs"</formula>
    </cfRule>
  </conditionalFormatting>
  <conditionalFormatting sqref="C148">
    <cfRule type="cellIs" dxfId="1927" priority="199" stopIfTrue="1" operator="equal">
      <formula>"Towel"</formula>
    </cfRule>
    <cfRule type="cellIs" dxfId="1926" priority="200" stopIfTrue="1" operator="equal">
      <formula>"Napkin Hs"</formula>
    </cfRule>
  </conditionalFormatting>
  <conditionalFormatting sqref="B148">
    <cfRule type="cellIs" dxfId="1925" priority="197" stopIfTrue="1" operator="equal">
      <formula>"Towel"</formula>
    </cfRule>
    <cfRule type="cellIs" dxfId="1924" priority="198" stopIfTrue="1" operator="equal">
      <formula>"Napkin Hs"</formula>
    </cfRule>
  </conditionalFormatting>
  <conditionalFormatting sqref="C148">
    <cfRule type="cellIs" dxfId="1923" priority="183" stopIfTrue="1" operator="equal">
      <formula>"Towel"</formula>
    </cfRule>
    <cfRule type="cellIs" dxfId="1922" priority="184" stopIfTrue="1" operator="equal">
      <formula>"Napkin Hs"</formula>
    </cfRule>
  </conditionalFormatting>
  <conditionalFormatting sqref="B148:C148">
    <cfRule type="cellIs" dxfId="1921" priority="185" stopIfTrue="1" operator="equal">
      <formula>"Towel"</formula>
    </cfRule>
    <cfRule type="cellIs" dxfId="1920" priority="186" stopIfTrue="1" operator="equal">
      <formula>"Napkin Hs"</formula>
    </cfRule>
  </conditionalFormatting>
  <conditionalFormatting sqref="C148">
    <cfRule type="cellIs" dxfId="1919" priority="181" stopIfTrue="1" operator="equal">
      <formula>"Towel"</formula>
    </cfRule>
    <cfRule type="cellIs" dxfId="1918" priority="182" stopIfTrue="1" operator="equal">
      <formula>"Napkin Hs"</formula>
    </cfRule>
  </conditionalFormatting>
  <conditionalFormatting sqref="B148:C148">
    <cfRule type="cellIs" dxfId="1917" priority="179" stopIfTrue="1" operator="equal">
      <formula>"Towel"</formula>
    </cfRule>
    <cfRule type="cellIs" dxfId="1916" priority="180" stopIfTrue="1" operator="equal">
      <formula>"Napkin Hs"</formula>
    </cfRule>
  </conditionalFormatting>
  <conditionalFormatting sqref="C148">
    <cfRule type="cellIs" dxfId="1915" priority="187" stopIfTrue="1" operator="equal">
      <formula>"Towel"</formula>
    </cfRule>
    <cfRule type="cellIs" dxfId="1914" priority="188" stopIfTrue="1" operator="equal">
      <formula>"Napkin Hs"</formula>
    </cfRule>
  </conditionalFormatting>
  <conditionalFormatting sqref="C148">
    <cfRule type="cellIs" dxfId="1913" priority="189" stopIfTrue="1" operator="equal">
      <formula>"Towel"</formula>
    </cfRule>
    <cfRule type="cellIs" dxfId="1912" priority="190" stopIfTrue="1" operator="equal">
      <formula>"Napkin Hs"</formula>
    </cfRule>
  </conditionalFormatting>
  <conditionalFormatting sqref="B148:C148">
    <cfRule type="cellIs" dxfId="1911" priority="177" stopIfTrue="1" operator="equal">
      <formula>"Towel"</formula>
    </cfRule>
    <cfRule type="cellIs" dxfId="1910" priority="178" stopIfTrue="1" operator="equal">
      <formula>"Napkin Hs"</formula>
    </cfRule>
  </conditionalFormatting>
  <conditionalFormatting sqref="C148">
    <cfRule type="cellIs" dxfId="1909" priority="176" stopIfTrue="1" operator="equal">
      <formula>"Napkin Hs"</formula>
    </cfRule>
  </conditionalFormatting>
  <conditionalFormatting sqref="C148">
    <cfRule type="cellIs" dxfId="1908" priority="173" stopIfTrue="1" operator="equal">
      <formula>"Towel"</formula>
    </cfRule>
    <cfRule type="cellIs" dxfId="1907" priority="174" stopIfTrue="1" operator="equal">
      <formula>"Napkin Hs"</formula>
    </cfRule>
  </conditionalFormatting>
  <conditionalFormatting sqref="C148">
    <cfRule type="cellIs" dxfId="1906" priority="175" stopIfTrue="1" operator="equal">
      <formula>"Towel"</formula>
    </cfRule>
  </conditionalFormatting>
  <conditionalFormatting sqref="B155:C156">
    <cfRule type="cellIs" dxfId="1905" priority="171" stopIfTrue="1" operator="equal">
      <formula>"Towel"</formula>
    </cfRule>
    <cfRule type="cellIs" dxfId="1904" priority="172" stopIfTrue="1" operator="equal">
      <formula>"Napkin Hs"</formula>
    </cfRule>
  </conditionalFormatting>
  <conditionalFormatting sqref="C155:C156">
    <cfRule type="cellIs" dxfId="1903" priority="170" stopIfTrue="1" operator="equal">
      <formula>"Napkin Hs"</formula>
    </cfRule>
  </conditionalFormatting>
  <conditionalFormatting sqref="C155:C156">
    <cfRule type="cellIs" dxfId="1902" priority="167" stopIfTrue="1" operator="equal">
      <formula>"Towel"</formula>
    </cfRule>
    <cfRule type="cellIs" dxfId="1901" priority="168" stopIfTrue="1" operator="equal">
      <formula>"Napkin Hs"</formula>
    </cfRule>
  </conditionalFormatting>
  <conditionalFormatting sqref="C155:C156">
    <cfRule type="cellIs" dxfId="1900" priority="169" stopIfTrue="1" operator="equal">
      <formula>"Towel"</formula>
    </cfRule>
  </conditionalFormatting>
  <conditionalFormatting sqref="B155:C155">
    <cfRule type="cellIs" dxfId="1899" priority="165" stopIfTrue="1" operator="equal">
      <formula>"Towel"</formula>
    </cfRule>
    <cfRule type="cellIs" dxfId="1898" priority="166" stopIfTrue="1" operator="equal">
      <formula>"Napkin Hs"</formula>
    </cfRule>
  </conditionalFormatting>
  <conditionalFormatting sqref="C155">
    <cfRule type="cellIs" dxfId="1897" priority="164" stopIfTrue="1" operator="equal">
      <formula>"Napkin Hs"</formula>
    </cfRule>
  </conditionalFormatting>
  <conditionalFormatting sqref="C155">
    <cfRule type="cellIs" dxfId="1896" priority="161" stopIfTrue="1" operator="equal">
      <formula>"Towel"</formula>
    </cfRule>
    <cfRule type="cellIs" dxfId="1895" priority="162" stopIfTrue="1" operator="equal">
      <formula>"Napkin Hs"</formula>
    </cfRule>
  </conditionalFormatting>
  <conditionalFormatting sqref="C155">
    <cfRule type="cellIs" dxfId="1894" priority="163" stopIfTrue="1" operator="equal">
      <formula>"Towel"</formula>
    </cfRule>
  </conditionalFormatting>
  <conditionalFormatting sqref="C154">
    <cfRule type="cellIs" dxfId="1893" priority="153" stopIfTrue="1" operator="equal">
      <formula>"Towel"</formula>
    </cfRule>
    <cfRule type="cellIs" dxfId="1892" priority="154" stopIfTrue="1" operator="equal">
      <formula>"Napkin Hs"</formula>
    </cfRule>
  </conditionalFormatting>
  <conditionalFormatting sqref="B154:C154">
    <cfRule type="cellIs" dxfId="1891" priority="155" stopIfTrue="1" operator="equal">
      <formula>"Towel"</formula>
    </cfRule>
    <cfRule type="cellIs" dxfId="1890" priority="156" stopIfTrue="1" operator="equal">
      <formula>"Napkin Hs"</formula>
    </cfRule>
  </conditionalFormatting>
  <conditionalFormatting sqref="C154">
    <cfRule type="cellIs" dxfId="1889" priority="151" stopIfTrue="1" operator="equal">
      <formula>"Towel"</formula>
    </cfRule>
    <cfRule type="cellIs" dxfId="1888" priority="152" stopIfTrue="1" operator="equal">
      <formula>"Napkin Hs"</formula>
    </cfRule>
  </conditionalFormatting>
  <conditionalFormatting sqref="B154:C154">
    <cfRule type="cellIs" dxfId="1887" priority="149" stopIfTrue="1" operator="equal">
      <formula>"Towel"</formula>
    </cfRule>
    <cfRule type="cellIs" dxfId="1886" priority="150" stopIfTrue="1" operator="equal">
      <formula>"Napkin Hs"</formula>
    </cfRule>
  </conditionalFormatting>
  <conditionalFormatting sqref="C154">
    <cfRule type="cellIs" dxfId="1885" priority="157" stopIfTrue="1" operator="equal">
      <formula>"Towel"</formula>
    </cfRule>
    <cfRule type="cellIs" dxfId="1884" priority="158" stopIfTrue="1" operator="equal">
      <formula>"Napkin Hs"</formula>
    </cfRule>
  </conditionalFormatting>
  <conditionalFormatting sqref="C154">
    <cfRule type="cellIs" dxfId="1883" priority="159" stopIfTrue="1" operator="equal">
      <formula>"Towel"</formula>
    </cfRule>
    <cfRule type="cellIs" dxfId="1882" priority="160" stopIfTrue="1" operator="equal">
      <formula>"Napkin Hs"</formula>
    </cfRule>
  </conditionalFormatting>
  <conditionalFormatting sqref="B154:C154">
    <cfRule type="cellIs" dxfId="1881" priority="147" stopIfTrue="1" operator="equal">
      <formula>"Towel"</formula>
    </cfRule>
    <cfRule type="cellIs" dxfId="1880" priority="148" stopIfTrue="1" operator="equal">
      <formula>"Napkin Hs"</formula>
    </cfRule>
  </conditionalFormatting>
  <conditionalFormatting sqref="C154">
    <cfRule type="cellIs" dxfId="1879" priority="146" stopIfTrue="1" operator="equal">
      <formula>"Napkin Hs"</formula>
    </cfRule>
  </conditionalFormatting>
  <conditionalFormatting sqref="C154">
    <cfRule type="cellIs" dxfId="1878" priority="143" stopIfTrue="1" operator="equal">
      <formula>"Towel"</formula>
    </cfRule>
    <cfRule type="cellIs" dxfId="1877" priority="144" stopIfTrue="1" operator="equal">
      <formula>"Napkin Hs"</formula>
    </cfRule>
  </conditionalFormatting>
  <conditionalFormatting sqref="C154">
    <cfRule type="cellIs" dxfId="1876" priority="145" stopIfTrue="1" operator="equal">
      <formula>"Towel"</formula>
    </cfRule>
  </conditionalFormatting>
  <conditionalFormatting sqref="B154:C154">
    <cfRule type="cellIs" dxfId="1875" priority="141" stopIfTrue="1" operator="equal">
      <formula>"Towel"</formula>
    </cfRule>
    <cfRule type="cellIs" dxfId="1874" priority="142" stopIfTrue="1" operator="equal">
      <formula>"Napkin Hs"</formula>
    </cfRule>
  </conditionalFormatting>
  <conditionalFormatting sqref="C154">
    <cfRule type="cellIs" dxfId="1873" priority="140" stopIfTrue="1" operator="equal">
      <formula>"Napkin Hs"</formula>
    </cfRule>
  </conditionalFormatting>
  <conditionalFormatting sqref="C154">
    <cfRule type="cellIs" dxfId="1872" priority="137" stopIfTrue="1" operator="equal">
      <formula>"Towel"</formula>
    </cfRule>
    <cfRule type="cellIs" dxfId="1871" priority="138" stopIfTrue="1" operator="equal">
      <formula>"Napkin Hs"</formula>
    </cfRule>
  </conditionalFormatting>
  <conditionalFormatting sqref="C154">
    <cfRule type="cellIs" dxfId="1870" priority="139" stopIfTrue="1" operator="equal">
      <formula>"Towel"</formula>
    </cfRule>
  </conditionalFormatting>
  <conditionalFormatting sqref="C153">
    <cfRule type="cellIs" dxfId="1869" priority="135" stopIfTrue="1" operator="equal">
      <formula>"Towel"</formula>
    </cfRule>
    <cfRule type="cellIs" dxfId="1868" priority="136" stopIfTrue="1" operator="equal">
      <formula>"Napkin Hs"</formula>
    </cfRule>
  </conditionalFormatting>
  <conditionalFormatting sqref="C153">
    <cfRule type="cellIs" dxfId="1867" priority="127" stopIfTrue="1" operator="equal">
      <formula>"Towel"</formula>
    </cfRule>
    <cfRule type="cellIs" dxfId="1866" priority="128" stopIfTrue="1" operator="equal">
      <formula>"Napkin Hs"</formula>
    </cfRule>
  </conditionalFormatting>
  <conditionalFormatting sqref="C153">
    <cfRule type="cellIs" dxfId="1865" priority="125" stopIfTrue="1" operator="equal">
      <formula>"Towel"</formula>
    </cfRule>
    <cfRule type="cellIs" dxfId="1864" priority="126" stopIfTrue="1" operator="equal">
      <formula>"Napkin Hs"</formula>
    </cfRule>
  </conditionalFormatting>
  <conditionalFormatting sqref="C153">
    <cfRule type="cellIs" dxfId="1863" priority="123" stopIfTrue="1" operator="equal">
      <formula>"Towel"</formula>
    </cfRule>
    <cfRule type="cellIs" dxfId="1862" priority="124" stopIfTrue="1" operator="equal">
      <formula>"Napkin Hs"</formula>
    </cfRule>
  </conditionalFormatting>
  <conditionalFormatting sqref="C153">
    <cfRule type="cellIs" dxfId="1861" priority="117" stopIfTrue="1" operator="equal">
      <formula>"Towel"</formula>
    </cfRule>
    <cfRule type="cellIs" dxfId="1860" priority="118" stopIfTrue="1" operator="equal">
      <formula>"Napkin Hs"</formula>
    </cfRule>
  </conditionalFormatting>
  <conditionalFormatting sqref="C153">
    <cfRule type="cellIs" dxfId="1859" priority="119" stopIfTrue="1" operator="equal">
      <formula>"Towel"</formula>
    </cfRule>
    <cfRule type="cellIs" dxfId="1858" priority="120" stopIfTrue="1" operator="equal">
      <formula>"Napkin Hs"</formula>
    </cfRule>
  </conditionalFormatting>
  <conditionalFormatting sqref="C153">
    <cfRule type="cellIs" dxfId="1857" priority="121" stopIfTrue="1" operator="equal">
      <formula>"Towel"</formula>
    </cfRule>
    <cfRule type="cellIs" dxfId="1856" priority="122" stopIfTrue="1" operator="equal">
      <formula>"Napkin Hs"</formula>
    </cfRule>
  </conditionalFormatting>
  <conditionalFormatting sqref="C153">
    <cfRule type="cellIs" dxfId="1855" priority="133" stopIfTrue="1" operator="equal">
      <formula>"Towel"</formula>
    </cfRule>
    <cfRule type="cellIs" dxfId="1854" priority="134" stopIfTrue="1" operator="equal">
      <formula>"Napkin Hs"</formula>
    </cfRule>
  </conditionalFormatting>
  <conditionalFormatting sqref="C153">
    <cfRule type="cellIs" dxfId="1853" priority="131" stopIfTrue="1" operator="equal">
      <formula>"Towel"</formula>
    </cfRule>
    <cfRule type="cellIs" dxfId="1852" priority="132" stopIfTrue="1" operator="equal">
      <formula>"Napkin Hs"</formula>
    </cfRule>
  </conditionalFormatting>
  <conditionalFormatting sqref="C153">
    <cfRule type="cellIs" dxfId="1851" priority="129" stopIfTrue="1" operator="equal">
      <formula>"Towel"</formula>
    </cfRule>
    <cfRule type="cellIs" dxfId="1850" priority="130" stopIfTrue="1" operator="equal">
      <formula>"Napkin Hs"</formula>
    </cfRule>
  </conditionalFormatting>
  <conditionalFormatting sqref="B153">
    <cfRule type="cellIs" dxfId="1849" priority="109" stopIfTrue="1" operator="equal">
      <formula>"Towel"</formula>
    </cfRule>
    <cfRule type="cellIs" dxfId="1848" priority="110" stopIfTrue="1" operator="equal">
      <formula>"Napkin Hs"</formula>
    </cfRule>
  </conditionalFormatting>
  <conditionalFormatting sqref="B153">
    <cfRule type="cellIs" dxfId="1847" priority="107" stopIfTrue="1" operator="equal">
      <formula>"Towel"</formula>
    </cfRule>
    <cfRule type="cellIs" dxfId="1846" priority="108" stopIfTrue="1" operator="equal">
      <formula>"Napkin Hs"</formula>
    </cfRule>
  </conditionalFormatting>
  <conditionalFormatting sqref="B153">
    <cfRule type="cellIs" dxfId="1845" priority="105" stopIfTrue="1" operator="equal">
      <formula>"Towel"</formula>
    </cfRule>
    <cfRule type="cellIs" dxfId="1844" priority="106" stopIfTrue="1" operator="equal">
      <formula>"Napkin Hs"</formula>
    </cfRule>
  </conditionalFormatting>
  <conditionalFormatting sqref="C153">
    <cfRule type="cellIs" dxfId="1843" priority="115" stopIfTrue="1" operator="equal">
      <formula>"Towel"</formula>
    </cfRule>
    <cfRule type="cellIs" dxfId="1842" priority="116" stopIfTrue="1" operator="equal">
      <formula>"Napkin Hs"</formula>
    </cfRule>
  </conditionalFormatting>
  <conditionalFormatting sqref="C153">
    <cfRule type="cellIs" dxfId="1841" priority="113" stopIfTrue="1" operator="equal">
      <formula>"Towel"</formula>
    </cfRule>
    <cfRule type="cellIs" dxfId="1840" priority="114" stopIfTrue="1" operator="equal">
      <formula>"Napkin Hs"</formula>
    </cfRule>
  </conditionalFormatting>
  <conditionalFormatting sqref="B153">
    <cfRule type="cellIs" dxfId="1839" priority="111" stopIfTrue="1" operator="equal">
      <formula>"Towel"</formula>
    </cfRule>
    <cfRule type="cellIs" dxfId="1838" priority="112" stopIfTrue="1" operator="equal">
      <formula>"Napkin Hs"</formula>
    </cfRule>
  </conditionalFormatting>
  <conditionalFormatting sqref="C153">
    <cfRule type="cellIs" dxfId="1837" priority="97" stopIfTrue="1" operator="equal">
      <formula>"Towel"</formula>
    </cfRule>
    <cfRule type="cellIs" dxfId="1836" priority="98" stopIfTrue="1" operator="equal">
      <formula>"Napkin Hs"</formula>
    </cfRule>
  </conditionalFormatting>
  <conditionalFormatting sqref="B153:C153">
    <cfRule type="cellIs" dxfId="1835" priority="99" stopIfTrue="1" operator="equal">
      <formula>"Towel"</formula>
    </cfRule>
    <cfRule type="cellIs" dxfId="1834" priority="100" stopIfTrue="1" operator="equal">
      <formula>"Napkin Hs"</formula>
    </cfRule>
  </conditionalFormatting>
  <conditionalFormatting sqref="C153">
    <cfRule type="cellIs" dxfId="1833" priority="95" stopIfTrue="1" operator="equal">
      <formula>"Towel"</formula>
    </cfRule>
    <cfRule type="cellIs" dxfId="1832" priority="96" stopIfTrue="1" operator="equal">
      <formula>"Napkin Hs"</formula>
    </cfRule>
  </conditionalFormatting>
  <conditionalFormatting sqref="B153:C153">
    <cfRule type="cellIs" dxfId="1831" priority="93" stopIfTrue="1" operator="equal">
      <formula>"Towel"</formula>
    </cfRule>
    <cfRule type="cellIs" dxfId="1830" priority="94" stopIfTrue="1" operator="equal">
      <formula>"Napkin Hs"</formula>
    </cfRule>
  </conditionalFormatting>
  <conditionalFormatting sqref="C153">
    <cfRule type="cellIs" dxfId="1829" priority="101" stopIfTrue="1" operator="equal">
      <formula>"Towel"</formula>
    </cfRule>
    <cfRule type="cellIs" dxfId="1828" priority="102" stopIfTrue="1" operator="equal">
      <formula>"Napkin Hs"</formula>
    </cfRule>
  </conditionalFormatting>
  <conditionalFormatting sqref="C153">
    <cfRule type="cellIs" dxfId="1827" priority="103" stopIfTrue="1" operator="equal">
      <formula>"Towel"</formula>
    </cfRule>
    <cfRule type="cellIs" dxfId="1826" priority="104" stopIfTrue="1" operator="equal">
      <formula>"Napkin Hs"</formula>
    </cfRule>
  </conditionalFormatting>
  <conditionalFormatting sqref="B153:C153">
    <cfRule type="cellIs" dxfId="1825" priority="91" stopIfTrue="1" operator="equal">
      <formula>"Towel"</formula>
    </cfRule>
    <cfRule type="cellIs" dxfId="1824" priority="92" stopIfTrue="1" operator="equal">
      <formula>"Napkin Hs"</formula>
    </cfRule>
  </conditionalFormatting>
  <conditionalFormatting sqref="C153">
    <cfRule type="cellIs" dxfId="1823" priority="90" stopIfTrue="1" operator="equal">
      <formula>"Napkin Hs"</formula>
    </cfRule>
  </conditionalFormatting>
  <conditionalFormatting sqref="C153">
    <cfRule type="cellIs" dxfId="1822" priority="87" stopIfTrue="1" operator="equal">
      <formula>"Towel"</formula>
    </cfRule>
    <cfRule type="cellIs" dxfId="1821" priority="88" stopIfTrue="1" operator="equal">
      <formula>"Napkin Hs"</formula>
    </cfRule>
  </conditionalFormatting>
  <conditionalFormatting sqref="C153">
    <cfRule type="cellIs" dxfId="1820" priority="89" stopIfTrue="1" operator="equal">
      <formula>"Towel"</formula>
    </cfRule>
  </conditionalFormatting>
  <conditionalFormatting sqref="B160:C161">
    <cfRule type="cellIs" dxfId="1819" priority="85" stopIfTrue="1" operator="equal">
      <formula>"Towel"</formula>
    </cfRule>
    <cfRule type="cellIs" dxfId="1818" priority="86" stopIfTrue="1" operator="equal">
      <formula>"Napkin Hs"</formula>
    </cfRule>
  </conditionalFormatting>
  <conditionalFormatting sqref="C160:C161">
    <cfRule type="cellIs" dxfId="1817" priority="84" stopIfTrue="1" operator="equal">
      <formula>"Napkin Hs"</formula>
    </cfRule>
  </conditionalFormatting>
  <conditionalFormatting sqref="C160:C161">
    <cfRule type="cellIs" dxfId="1816" priority="81" stopIfTrue="1" operator="equal">
      <formula>"Towel"</formula>
    </cfRule>
    <cfRule type="cellIs" dxfId="1815" priority="82" stopIfTrue="1" operator="equal">
      <formula>"Napkin Hs"</formula>
    </cfRule>
  </conditionalFormatting>
  <conditionalFormatting sqref="C160:C161">
    <cfRule type="cellIs" dxfId="1814" priority="83" stopIfTrue="1" operator="equal">
      <formula>"Towel"</formula>
    </cfRule>
  </conditionalFormatting>
  <conditionalFormatting sqref="B160:C160">
    <cfRule type="cellIs" dxfId="1813" priority="79" stopIfTrue="1" operator="equal">
      <formula>"Towel"</formula>
    </cfRule>
    <cfRule type="cellIs" dxfId="1812" priority="80" stopIfTrue="1" operator="equal">
      <formula>"Napkin Hs"</formula>
    </cfRule>
  </conditionalFormatting>
  <conditionalFormatting sqref="C160">
    <cfRule type="cellIs" dxfId="1811" priority="78" stopIfTrue="1" operator="equal">
      <formula>"Napkin Hs"</formula>
    </cfRule>
  </conditionalFormatting>
  <conditionalFormatting sqref="C160">
    <cfRule type="cellIs" dxfId="1810" priority="75" stopIfTrue="1" operator="equal">
      <formula>"Towel"</formula>
    </cfRule>
    <cfRule type="cellIs" dxfId="1809" priority="76" stopIfTrue="1" operator="equal">
      <formula>"Napkin Hs"</formula>
    </cfRule>
  </conditionalFormatting>
  <conditionalFormatting sqref="C160">
    <cfRule type="cellIs" dxfId="1808" priority="77" stopIfTrue="1" operator="equal">
      <formula>"Towel"</formula>
    </cfRule>
  </conditionalFormatting>
  <conditionalFormatting sqref="C158:C159">
    <cfRule type="cellIs" dxfId="1807" priority="49" stopIfTrue="1" operator="equal">
      <formula>"Towel"</formula>
    </cfRule>
    <cfRule type="cellIs" dxfId="1806" priority="50" stopIfTrue="1" operator="equal">
      <formula>"Napkin Hs"</formula>
    </cfRule>
  </conditionalFormatting>
  <conditionalFormatting sqref="C158:C159">
    <cfRule type="cellIs" dxfId="1805" priority="41" stopIfTrue="1" operator="equal">
      <formula>"Towel"</formula>
    </cfRule>
    <cfRule type="cellIs" dxfId="1804" priority="42" stopIfTrue="1" operator="equal">
      <formula>"Napkin Hs"</formula>
    </cfRule>
  </conditionalFormatting>
  <conditionalFormatting sqref="C158:C159">
    <cfRule type="cellIs" dxfId="1803" priority="39" stopIfTrue="1" operator="equal">
      <formula>"Towel"</formula>
    </cfRule>
    <cfRule type="cellIs" dxfId="1802" priority="40" stopIfTrue="1" operator="equal">
      <formula>"Napkin Hs"</formula>
    </cfRule>
  </conditionalFormatting>
  <conditionalFormatting sqref="C158:C159">
    <cfRule type="cellIs" dxfId="1801" priority="37" stopIfTrue="1" operator="equal">
      <formula>"Towel"</formula>
    </cfRule>
    <cfRule type="cellIs" dxfId="1800" priority="38" stopIfTrue="1" operator="equal">
      <formula>"Napkin Hs"</formula>
    </cfRule>
  </conditionalFormatting>
  <conditionalFormatting sqref="C158:C159">
    <cfRule type="cellIs" dxfId="1799" priority="31" stopIfTrue="1" operator="equal">
      <formula>"Towel"</formula>
    </cfRule>
    <cfRule type="cellIs" dxfId="1798" priority="32" stopIfTrue="1" operator="equal">
      <formula>"Napkin Hs"</formula>
    </cfRule>
  </conditionalFormatting>
  <conditionalFormatting sqref="C158:C159">
    <cfRule type="cellIs" dxfId="1797" priority="33" stopIfTrue="1" operator="equal">
      <formula>"Towel"</formula>
    </cfRule>
    <cfRule type="cellIs" dxfId="1796" priority="34" stopIfTrue="1" operator="equal">
      <formula>"Napkin Hs"</formula>
    </cfRule>
  </conditionalFormatting>
  <conditionalFormatting sqref="C158:C159">
    <cfRule type="cellIs" dxfId="1795" priority="35" stopIfTrue="1" operator="equal">
      <formula>"Towel"</formula>
    </cfRule>
    <cfRule type="cellIs" dxfId="1794" priority="36" stopIfTrue="1" operator="equal">
      <formula>"Napkin Hs"</formula>
    </cfRule>
  </conditionalFormatting>
  <conditionalFormatting sqref="C158:C159">
    <cfRule type="cellIs" dxfId="1793" priority="47" stopIfTrue="1" operator="equal">
      <formula>"Towel"</formula>
    </cfRule>
    <cfRule type="cellIs" dxfId="1792" priority="48" stopIfTrue="1" operator="equal">
      <formula>"Napkin Hs"</formula>
    </cfRule>
  </conditionalFormatting>
  <conditionalFormatting sqref="C158:C159">
    <cfRule type="cellIs" dxfId="1791" priority="45" stopIfTrue="1" operator="equal">
      <formula>"Towel"</formula>
    </cfRule>
    <cfRule type="cellIs" dxfId="1790" priority="46" stopIfTrue="1" operator="equal">
      <formula>"Napkin Hs"</formula>
    </cfRule>
  </conditionalFormatting>
  <conditionalFormatting sqref="C158:C159">
    <cfRule type="cellIs" dxfId="1789" priority="43" stopIfTrue="1" operator="equal">
      <formula>"Towel"</formula>
    </cfRule>
    <cfRule type="cellIs" dxfId="1788" priority="44" stopIfTrue="1" operator="equal">
      <formula>"Napkin Hs"</formula>
    </cfRule>
  </conditionalFormatting>
  <conditionalFormatting sqref="B158:B159">
    <cfRule type="cellIs" dxfId="1787" priority="23" stopIfTrue="1" operator="equal">
      <formula>"Towel"</formula>
    </cfRule>
    <cfRule type="cellIs" dxfId="1786" priority="24" stopIfTrue="1" operator="equal">
      <formula>"Napkin Hs"</formula>
    </cfRule>
  </conditionalFormatting>
  <conditionalFormatting sqref="B158:B159">
    <cfRule type="cellIs" dxfId="1785" priority="21" stopIfTrue="1" operator="equal">
      <formula>"Towel"</formula>
    </cfRule>
    <cfRule type="cellIs" dxfId="1784" priority="22" stopIfTrue="1" operator="equal">
      <formula>"Napkin Hs"</formula>
    </cfRule>
  </conditionalFormatting>
  <conditionalFormatting sqref="B158:B159">
    <cfRule type="cellIs" dxfId="1783" priority="19" stopIfTrue="1" operator="equal">
      <formula>"Towel"</formula>
    </cfRule>
    <cfRule type="cellIs" dxfId="1782" priority="20" stopIfTrue="1" operator="equal">
      <formula>"Napkin Hs"</formula>
    </cfRule>
  </conditionalFormatting>
  <conditionalFormatting sqref="C158:C159">
    <cfRule type="cellIs" dxfId="1781" priority="29" stopIfTrue="1" operator="equal">
      <formula>"Towel"</formula>
    </cfRule>
    <cfRule type="cellIs" dxfId="1780" priority="30" stopIfTrue="1" operator="equal">
      <formula>"Napkin Hs"</formula>
    </cfRule>
  </conditionalFormatting>
  <conditionalFormatting sqref="C158:C159">
    <cfRule type="cellIs" dxfId="1779" priority="27" stopIfTrue="1" operator="equal">
      <formula>"Towel"</formula>
    </cfRule>
    <cfRule type="cellIs" dxfId="1778" priority="28" stopIfTrue="1" operator="equal">
      <formula>"Napkin Hs"</formula>
    </cfRule>
  </conditionalFormatting>
  <conditionalFormatting sqref="B158:B159">
    <cfRule type="cellIs" dxfId="1777" priority="25" stopIfTrue="1" operator="equal">
      <formula>"Towel"</formula>
    </cfRule>
    <cfRule type="cellIs" dxfId="1776" priority="26" stopIfTrue="1" operator="equal">
      <formula>"Napkin Hs"</formula>
    </cfRule>
  </conditionalFormatting>
  <conditionalFormatting sqref="C158:C159">
    <cfRule type="cellIs" dxfId="1775" priority="11" stopIfTrue="1" operator="equal">
      <formula>"Towel"</formula>
    </cfRule>
    <cfRule type="cellIs" dxfId="1774" priority="12" stopIfTrue="1" operator="equal">
      <formula>"Napkin Hs"</formula>
    </cfRule>
  </conditionalFormatting>
  <conditionalFormatting sqref="B158:C159">
    <cfRule type="cellIs" dxfId="1773" priority="13" stopIfTrue="1" operator="equal">
      <formula>"Towel"</formula>
    </cfRule>
    <cfRule type="cellIs" dxfId="1772" priority="14" stopIfTrue="1" operator="equal">
      <formula>"Napkin Hs"</formula>
    </cfRule>
  </conditionalFormatting>
  <conditionalFormatting sqref="C158:C159">
    <cfRule type="cellIs" dxfId="1771" priority="9" stopIfTrue="1" operator="equal">
      <formula>"Towel"</formula>
    </cfRule>
    <cfRule type="cellIs" dxfId="1770" priority="10" stopIfTrue="1" operator="equal">
      <formula>"Napkin Hs"</formula>
    </cfRule>
  </conditionalFormatting>
  <conditionalFormatting sqref="B158:C159">
    <cfRule type="cellIs" dxfId="1769" priority="7" stopIfTrue="1" operator="equal">
      <formula>"Towel"</formula>
    </cfRule>
    <cfRule type="cellIs" dxfId="1768" priority="8" stopIfTrue="1" operator="equal">
      <formula>"Napkin Hs"</formula>
    </cfRule>
  </conditionalFormatting>
  <conditionalFormatting sqref="C158:C159">
    <cfRule type="cellIs" dxfId="1767" priority="15" stopIfTrue="1" operator="equal">
      <formula>"Towel"</formula>
    </cfRule>
    <cfRule type="cellIs" dxfId="1766" priority="16" stopIfTrue="1" operator="equal">
      <formula>"Napkin Hs"</formula>
    </cfRule>
  </conditionalFormatting>
  <conditionalFormatting sqref="C158:C159">
    <cfRule type="cellIs" dxfId="1765" priority="17" stopIfTrue="1" operator="equal">
      <formula>"Towel"</formula>
    </cfRule>
    <cfRule type="cellIs" dxfId="1764" priority="18" stopIfTrue="1" operator="equal">
      <formula>"Napkin Hs"</formula>
    </cfRule>
  </conditionalFormatting>
  <conditionalFormatting sqref="B158:C159">
    <cfRule type="cellIs" dxfId="1763" priority="5" stopIfTrue="1" operator="equal">
      <formula>"Towel"</formula>
    </cfRule>
    <cfRule type="cellIs" dxfId="1762" priority="6" stopIfTrue="1" operator="equal">
      <formula>"Napkin Hs"</formula>
    </cfRule>
  </conditionalFormatting>
  <conditionalFormatting sqref="C158:C159">
    <cfRule type="cellIs" dxfId="1761" priority="4" stopIfTrue="1" operator="equal">
      <formula>"Napkin Hs"</formula>
    </cfRule>
  </conditionalFormatting>
  <conditionalFormatting sqref="C158:C159">
    <cfRule type="cellIs" dxfId="1760" priority="1" stopIfTrue="1" operator="equal">
      <formula>"Towel"</formula>
    </cfRule>
    <cfRule type="cellIs" dxfId="1759" priority="2" stopIfTrue="1" operator="equal">
      <formula>"Napkin Hs"</formula>
    </cfRule>
  </conditionalFormatting>
  <conditionalFormatting sqref="C158:C159">
    <cfRule type="cellIs" dxfId="175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272"/>
  <sheetViews>
    <sheetView tabSelected="1" zoomScale="90" zoomScaleNormal="90" workbookViewId="0">
      <pane xSplit="6" ySplit="6" topLeftCell="AZ7" activePane="bottomRight" state="frozen"/>
      <selection pane="topRight" activeCell="F1" sqref="F1"/>
      <selection pane="bottomLeft" activeCell="A7" sqref="A7"/>
      <selection pane="bottomRight" activeCell="BF6" sqref="BF6:BF154"/>
    </sheetView>
  </sheetViews>
  <sheetFormatPr defaultColWidth="10.28515625" defaultRowHeight="12"/>
  <cols>
    <col min="1" max="1" width="12.28515625" style="30" customWidth="1"/>
    <col min="2" max="2" width="14.140625" style="30" customWidth="1"/>
    <col min="3" max="3" width="10.140625" style="30" customWidth="1"/>
    <col min="4" max="4" width="10.28515625" style="30" customWidth="1"/>
    <col min="5" max="5" width="7.5703125" style="30" bestFit="1" customWidth="1"/>
    <col min="6" max="6" width="7" style="55" customWidth="1"/>
    <col min="7" max="9" width="10.28515625" style="30" customWidth="1"/>
    <col min="10" max="11" width="10.28515625" style="84" customWidth="1"/>
    <col min="12" max="13" width="12.7109375" style="56" customWidth="1"/>
    <col min="14" max="15" width="10.28515625" style="30" customWidth="1"/>
    <col min="16" max="16" width="16.85546875" style="30" bestFit="1" customWidth="1"/>
    <col min="17" max="17" width="12.7109375" style="372"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41.42578125" style="30" customWidth="1"/>
    <col min="32" max="38" width="10.28515625" style="30" customWidth="1"/>
    <col min="39" max="39" width="11.7109375" style="30" customWidth="1"/>
    <col min="40" max="41" width="10.28515625" style="30" customWidth="1"/>
    <col min="42" max="43" width="12.42578125" style="30" customWidth="1"/>
    <col min="44" max="44" width="29.7109375" style="30" customWidth="1"/>
    <col min="45" max="52" width="10.28515625" style="30" customWidth="1"/>
    <col min="53" max="16384" width="10.28515625" style="30"/>
  </cols>
  <sheetData>
    <row r="1" spans="1:58" s="23" customFormat="1" ht="15.75" customHeight="1">
      <c r="A1" s="22" t="s">
        <v>403</v>
      </c>
      <c r="G1" s="24"/>
      <c r="H1" s="24"/>
      <c r="I1" s="24"/>
      <c r="J1" s="81"/>
      <c r="K1" s="81"/>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1"/>
      <c r="G2" s="24"/>
      <c r="H2" s="24"/>
      <c r="I2" s="24"/>
      <c r="J2" s="81"/>
      <c r="K2" s="81"/>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60" t="s">
        <v>9</v>
      </c>
      <c r="B3" s="660" t="s">
        <v>10</v>
      </c>
      <c r="C3" s="660" t="s">
        <v>200</v>
      </c>
      <c r="D3" s="660" t="s">
        <v>105</v>
      </c>
      <c r="E3" s="660" t="s">
        <v>106</v>
      </c>
      <c r="F3" s="660" t="s">
        <v>107</v>
      </c>
      <c r="G3" s="685" t="s">
        <v>108</v>
      </c>
      <c r="H3" s="686"/>
      <c r="I3" s="686"/>
      <c r="J3" s="686"/>
      <c r="K3" s="687"/>
      <c r="L3" s="691" t="s">
        <v>109</v>
      </c>
      <c r="M3" s="692"/>
      <c r="N3" s="693"/>
      <c r="O3" s="697" t="s">
        <v>110</v>
      </c>
      <c r="P3" s="655" t="s">
        <v>122</v>
      </c>
      <c r="Q3" s="697" t="s">
        <v>111</v>
      </c>
      <c r="R3" s="653" t="s">
        <v>112</v>
      </c>
      <c r="S3" s="653" t="s">
        <v>113</v>
      </c>
      <c r="T3" s="660" t="s">
        <v>166</v>
      </c>
      <c r="U3" s="660" t="s">
        <v>165</v>
      </c>
      <c r="V3" s="660" t="s">
        <v>167</v>
      </c>
      <c r="W3" s="653" t="s">
        <v>157</v>
      </c>
      <c r="X3" s="675" t="s">
        <v>115</v>
      </c>
      <c r="Y3" s="675" t="s">
        <v>292</v>
      </c>
      <c r="Z3" s="653" t="s">
        <v>116</v>
      </c>
      <c r="AA3" s="660" t="s">
        <v>168</v>
      </c>
      <c r="AB3" s="660" t="s">
        <v>179</v>
      </c>
      <c r="AC3" s="660" t="s">
        <v>177</v>
      </c>
      <c r="AD3" s="660" t="s">
        <v>140</v>
      </c>
      <c r="AE3" s="660" t="s">
        <v>141</v>
      </c>
      <c r="AF3" s="682" t="s">
        <v>142</v>
      </c>
      <c r="AG3" s="682"/>
      <c r="AH3" s="682"/>
      <c r="AI3" s="682"/>
      <c r="AJ3" s="682"/>
      <c r="AK3" s="682"/>
      <c r="AL3" s="682"/>
      <c r="AM3" s="649" t="s">
        <v>143</v>
      </c>
      <c r="AN3" s="661" t="s">
        <v>117</v>
      </c>
      <c r="AO3" s="661"/>
      <c r="AP3" s="661"/>
      <c r="AQ3" s="661"/>
      <c r="AR3" s="661"/>
      <c r="AS3" s="662" t="s">
        <v>118</v>
      </c>
      <c r="AT3" s="656" t="s">
        <v>201</v>
      </c>
      <c r="AU3" s="657"/>
      <c r="AV3" s="664" t="s">
        <v>144</v>
      </c>
      <c r="AW3" s="665"/>
      <c r="AX3" s="666" t="s">
        <v>144</v>
      </c>
      <c r="AY3" s="667"/>
      <c r="AZ3" s="668" t="s">
        <v>301</v>
      </c>
      <c r="BA3" s="652" t="s">
        <v>119</v>
      </c>
      <c r="BB3" s="647" t="s">
        <v>120</v>
      </c>
      <c r="BC3" s="647" t="s">
        <v>121</v>
      </c>
      <c r="BD3" s="641" t="s">
        <v>372</v>
      </c>
      <c r="BE3" s="644" t="s">
        <v>373</v>
      </c>
      <c r="BF3" s="647" t="s">
        <v>374</v>
      </c>
    </row>
    <row r="4" spans="1:58" ht="12" customHeight="1">
      <c r="A4" s="673"/>
      <c r="B4" s="673"/>
      <c r="C4" s="673"/>
      <c r="D4" s="673"/>
      <c r="E4" s="673"/>
      <c r="F4" s="673"/>
      <c r="G4" s="688"/>
      <c r="H4" s="689"/>
      <c r="I4" s="689"/>
      <c r="J4" s="689"/>
      <c r="K4" s="690"/>
      <c r="L4" s="694"/>
      <c r="M4" s="695"/>
      <c r="N4" s="696"/>
      <c r="O4" s="698"/>
      <c r="P4" s="671"/>
      <c r="Q4" s="698"/>
      <c r="R4" s="674"/>
      <c r="S4" s="674"/>
      <c r="T4" s="673"/>
      <c r="U4" s="673"/>
      <c r="V4" s="673"/>
      <c r="W4" s="674"/>
      <c r="X4" s="676"/>
      <c r="Y4" s="676"/>
      <c r="Z4" s="674"/>
      <c r="AA4" s="673"/>
      <c r="AB4" s="673"/>
      <c r="AC4" s="673"/>
      <c r="AD4" s="673"/>
      <c r="AE4" s="673"/>
      <c r="AF4" s="679" t="s">
        <v>145</v>
      </c>
      <c r="AG4" s="680"/>
      <c r="AH4" s="681"/>
      <c r="AI4" s="671" t="s">
        <v>202</v>
      </c>
      <c r="AJ4" s="671" t="s">
        <v>16</v>
      </c>
      <c r="AK4" s="671" t="s">
        <v>146</v>
      </c>
      <c r="AL4" s="671" t="s">
        <v>19</v>
      </c>
      <c r="AM4" s="650"/>
      <c r="AN4" s="654" t="s">
        <v>123</v>
      </c>
      <c r="AO4" s="654" t="s">
        <v>16</v>
      </c>
      <c r="AP4" s="654" t="s">
        <v>124</v>
      </c>
      <c r="AQ4" s="654" t="s">
        <v>19</v>
      </c>
      <c r="AR4" s="652" t="s">
        <v>125</v>
      </c>
      <c r="AS4" s="662"/>
      <c r="AT4" s="658"/>
      <c r="AU4" s="659"/>
      <c r="AV4" s="511" t="s">
        <v>8</v>
      </c>
      <c r="AW4" s="511" t="s">
        <v>147</v>
      </c>
      <c r="AX4" s="512" t="s">
        <v>8</v>
      </c>
      <c r="AY4" s="513" t="s">
        <v>147</v>
      </c>
      <c r="AZ4" s="669"/>
      <c r="BA4" s="652"/>
      <c r="BB4" s="647"/>
      <c r="BC4" s="647"/>
      <c r="BD4" s="642"/>
      <c r="BE4" s="645"/>
      <c r="BF4" s="647"/>
    </row>
    <row r="5" spans="1:58" s="33" customFormat="1" ht="48">
      <c r="A5" s="673"/>
      <c r="B5" s="673"/>
      <c r="C5" s="678"/>
      <c r="D5" s="673"/>
      <c r="E5" s="673"/>
      <c r="F5" s="673"/>
      <c r="G5" s="531" t="s">
        <v>126</v>
      </c>
      <c r="H5" s="529" t="s">
        <v>127</v>
      </c>
      <c r="I5" s="31" t="s">
        <v>128</v>
      </c>
      <c r="J5" s="82" t="s">
        <v>129</v>
      </c>
      <c r="K5" s="82" t="s">
        <v>114</v>
      </c>
      <c r="L5" s="32" t="s">
        <v>130</v>
      </c>
      <c r="M5" s="32" t="s">
        <v>131</v>
      </c>
      <c r="N5" s="529" t="s">
        <v>132</v>
      </c>
      <c r="O5" s="698"/>
      <c r="P5" s="672"/>
      <c r="Q5" s="698"/>
      <c r="R5" s="674"/>
      <c r="S5" s="674"/>
      <c r="T5" s="673"/>
      <c r="U5" s="673"/>
      <c r="V5" s="673"/>
      <c r="W5" s="674"/>
      <c r="X5" s="676"/>
      <c r="Y5" s="677"/>
      <c r="Z5" s="674"/>
      <c r="AA5" s="673"/>
      <c r="AB5" s="678"/>
      <c r="AC5" s="673"/>
      <c r="AD5" s="678"/>
      <c r="AE5" s="673"/>
      <c r="AF5" s="453" t="s">
        <v>293</v>
      </c>
      <c r="AG5" s="530" t="s">
        <v>294</v>
      </c>
      <c r="AH5" s="530" t="s">
        <v>295</v>
      </c>
      <c r="AI5" s="672"/>
      <c r="AJ5" s="672"/>
      <c r="AK5" s="672"/>
      <c r="AL5" s="672"/>
      <c r="AM5" s="651"/>
      <c r="AN5" s="655"/>
      <c r="AO5" s="655"/>
      <c r="AP5" s="655"/>
      <c r="AQ5" s="655"/>
      <c r="AR5" s="653"/>
      <c r="AS5" s="663"/>
      <c r="AT5" s="532" t="s">
        <v>289</v>
      </c>
      <c r="AU5" s="532" t="s">
        <v>290</v>
      </c>
      <c r="AV5" s="514" t="s">
        <v>291</v>
      </c>
      <c r="AW5" s="514" t="s">
        <v>291</v>
      </c>
      <c r="AX5" s="512" t="s">
        <v>18</v>
      </c>
      <c r="AY5" s="512" t="s">
        <v>18</v>
      </c>
      <c r="AZ5" s="670"/>
      <c r="BA5" s="653"/>
      <c r="BB5" s="660"/>
      <c r="BC5" s="660"/>
      <c r="BD5" s="643"/>
      <c r="BE5" s="646"/>
      <c r="BF5" s="648"/>
    </row>
    <row r="6" spans="1:58" ht="12.95" customHeight="1">
      <c r="A6" s="41">
        <f>+Report1!A9</f>
        <v>45962</v>
      </c>
      <c r="B6" s="42" t="s">
        <v>431</v>
      </c>
      <c r="C6" s="443">
        <f>(M6*E6*O6*Q6)/100000000</f>
        <v>3.9742302600000001</v>
      </c>
      <c r="D6" s="42" t="s">
        <v>434</v>
      </c>
      <c r="E6" s="43">
        <v>14</v>
      </c>
      <c r="F6" s="43">
        <v>1</v>
      </c>
      <c r="G6" s="498">
        <v>1295</v>
      </c>
      <c r="H6" s="45">
        <f>+N6</f>
        <v>0.22999999999999998</v>
      </c>
      <c r="I6" s="46">
        <v>0.88</v>
      </c>
      <c r="J6" s="83">
        <f>E6*G6*(1-H6)*1440/1000000*2.74</f>
        <v>55.080970560000011</v>
      </c>
      <c r="K6" s="83">
        <f t="shared" ref="K6:K7" si="0">(IF(G6&lt;L6,L6,G6)*(1-IF(H6&lt;N6,H6,N6))*E6*O6*Q6)/100000000</f>
        <v>4.3988275100000003</v>
      </c>
      <c r="L6" s="36">
        <v>1170</v>
      </c>
      <c r="M6" s="36">
        <v>900.9</v>
      </c>
      <c r="N6" s="47">
        <f>1-(M6/L6)</f>
        <v>0.22999999999999998</v>
      </c>
      <c r="O6" s="48">
        <f>+'Trim Rwd'!H5</f>
        <v>274</v>
      </c>
      <c r="P6" s="49">
        <f>O6*(Q6-R6-S6)</f>
        <v>26578</v>
      </c>
      <c r="Q6" s="48">
        <v>115</v>
      </c>
      <c r="R6" s="499">
        <v>0</v>
      </c>
      <c r="S6" s="499">
        <v>18</v>
      </c>
      <c r="T6" s="38">
        <f>E6*M6*O6*Q6/100000000</f>
        <v>3.9742302600000001</v>
      </c>
      <c r="U6" s="38">
        <f>E6*M6*O6*(Q6-R6-S6)/100000000</f>
        <v>3.3521768280000002</v>
      </c>
      <c r="V6" s="38">
        <f>E6*G6*(1-N6)*O6/100*(R6+S6)/1000000</f>
        <v>0.68851213199999994</v>
      </c>
      <c r="W6" s="38">
        <f>+'1'!K8/1000</f>
        <v>7.0170000000000003</v>
      </c>
      <c r="X6" s="500">
        <f>SUM(W6:W9)/SUM(K6:K9)</f>
        <v>0.72220006040347318</v>
      </c>
      <c r="Y6" s="212">
        <v>0</v>
      </c>
      <c r="Z6" s="38">
        <v>0</v>
      </c>
      <c r="AA6" s="50">
        <f>SUM(U6:U9)-SUM(W6:W9)-SUM(Z6:Z9)-SUM(Y6:Y9)</f>
        <v>2.7535099961645528</v>
      </c>
      <c r="AB6" s="50">
        <f>(SUM(K6:K9)-SUM(W6:W9)-SUM(Y6:Y9)-SUM(Z6:Z9)-SUM(AC6:AC9)-SUM(V6:V9))-AA6</f>
        <v>-0.80389188626582264</v>
      </c>
      <c r="AC6" s="38">
        <f>K6-T6</f>
        <v>0.42459725000000015</v>
      </c>
      <c r="AD6" s="38">
        <f>+AM6+BA6</f>
        <v>0</v>
      </c>
      <c r="AE6" s="231" t="s">
        <v>390</v>
      </c>
      <c r="AF6" s="38">
        <v>0</v>
      </c>
      <c r="AG6" s="38"/>
      <c r="AH6" s="38"/>
      <c r="AI6" s="501"/>
      <c r="AJ6" s="38"/>
      <c r="AK6" s="38"/>
      <c r="AL6" s="38"/>
      <c r="AM6" s="38">
        <f>SUM(AF6:AL6)+AT6</f>
        <v>0</v>
      </c>
      <c r="AN6" s="38"/>
      <c r="AO6" s="38"/>
      <c r="AP6" s="38"/>
      <c r="AQ6" s="38"/>
      <c r="AR6" s="38">
        <f>SUM(AN6:AQ6)</f>
        <v>0</v>
      </c>
      <c r="AS6" s="38"/>
      <c r="AT6" s="38"/>
      <c r="AU6" s="38"/>
      <c r="AV6" s="38"/>
      <c r="AW6" s="38"/>
      <c r="AX6" s="38"/>
      <c r="AY6" s="38"/>
      <c r="AZ6" s="38"/>
      <c r="BA6" s="38">
        <f>+AR6+AS6+AU6+AV6+AX6</f>
        <v>0</v>
      </c>
      <c r="BB6" s="34">
        <v>0</v>
      </c>
      <c r="BC6" s="52"/>
      <c r="BD6" s="52"/>
      <c r="BE6" s="34"/>
      <c r="BF6" s="52">
        <v>2</v>
      </c>
    </row>
    <row r="7" spans="1:58" ht="12.95" customHeight="1">
      <c r="A7" s="41"/>
      <c r="B7" s="42" t="s">
        <v>431</v>
      </c>
      <c r="C7" s="443">
        <f>(M7*E7*O7*Q7)/100000000</f>
        <v>45.011377876898734</v>
      </c>
      <c r="D7" s="42" t="s">
        <v>434</v>
      </c>
      <c r="E7" s="43">
        <v>13.5</v>
      </c>
      <c r="F7" s="43">
        <v>1</v>
      </c>
      <c r="G7" s="498">
        <v>1345</v>
      </c>
      <c r="H7" s="45">
        <f>+N7</f>
        <v>0.22999999999999998</v>
      </c>
      <c r="I7" s="46">
        <v>0.88</v>
      </c>
      <c r="J7" s="83">
        <f>E7*G7*(1-H7)*1440/1000000*2.74</f>
        <v>55.164518640000004</v>
      </c>
      <c r="K7" s="83">
        <f t="shared" si="0"/>
        <v>50.759018887500012</v>
      </c>
      <c r="L7" s="36">
        <v>1192.7004219409282</v>
      </c>
      <c r="M7" s="36">
        <v>918.37932489451475</v>
      </c>
      <c r="N7" s="47">
        <f>1-(M7/L7)</f>
        <v>0.22999999999999998</v>
      </c>
      <c r="O7" s="48">
        <f>+'Trim Rwd'!H4</f>
        <v>274</v>
      </c>
      <c r="P7" s="49">
        <f>O7*(Q7-R7-S7)</f>
        <v>316470</v>
      </c>
      <c r="Q7" s="48">
        <f>1185+140</f>
        <v>1325</v>
      </c>
      <c r="R7" s="499">
        <f>25+115</f>
        <v>140</v>
      </c>
      <c r="S7" s="499">
        <v>30</v>
      </c>
      <c r="T7" s="38">
        <f>E7*M7*O7*Q7/100000000</f>
        <v>45.011377876898734</v>
      </c>
      <c r="U7" s="38">
        <f>E7*M7*O7*(Q7-R7-S7)/100000000</f>
        <v>39.236333168164556</v>
      </c>
      <c r="V7" s="38">
        <f>E7*G7*(1-N7)*O7/100*(R7+S7)/1000000</f>
        <v>6.5124778950000008</v>
      </c>
      <c r="W7" s="38">
        <f>+'1'!K7/1000</f>
        <v>32.817999999999998</v>
      </c>
      <c r="X7" s="39"/>
      <c r="Y7" s="212"/>
      <c r="Z7" s="38"/>
      <c r="AA7" s="38"/>
      <c r="AB7" s="38"/>
      <c r="AC7" s="38">
        <f>K7-T7</f>
        <v>5.7476410106012779</v>
      </c>
      <c r="AD7" s="38">
        <f t="shared" ref="AD7:AD10" si="1">+AM7+BA7</f>
        <v>10</v>
      </c>
      <c r="AE7" s="231" t="s">
        <v>435</v>
      </c>
      <c r="AF7" s="38"/>
      <c r="AG7" s="38">
        <v>10</v>
      </c>
      <c r="AH7" s="38"/>
      <c r="AI7" s="501"/>
      <c r="AJ7" s="38"/>
      <c r="AK7" s="38"/>
      <c r="AL7" s="38"/>
      <c r="AM7" s="38">
        <f t="shared" ref="AM7:AM10" si="2">SUM(AF7:AL7)+AT7</f>
        <v>10</v>
      </c>
      <c r="AN7" s="84"/>
      <c r="AO7" s="38"/>
      <c r="AP7" s="38"/>
      <c r="AQ7" s="38"/>
      <c r="AR7" s="38">
        <f t="shared" ref="AR7:AR10" si="3">SUM(AN7:AQ7)</f>
        <v>0</v>
      </c>
      <c r="AS7" s="38"/>
      <c r="AT7" s="38"/>
      <c r="AU7" s="38"/>
      <c r="AV7" s="38"/>
      <c r="AW7" s="38"/>
      <c r="AX7" s="38"/>
      <c r="AY7" s="38"/>
      <c r="AZ7" s="38"/>
      <c r="BA7" s="38">
        <f t="shared" ref="BA7:BA10" si="4">+AR7+AS7+AU7+AV7+AX7</f>
        <v>0</v>
      </c>
      <c r="BB7" s="51"/>
      <c r="BC7" s="52">
        <v>11</v>
      </c>
      <c r="BD7" s="52"/>
      <c r="BE7" s="51"/>
      <c r="BF7" s="52"/>
    </row>
    <row r="8" spans="1:58" ht="12.95" customHeight="1">
      <c r="A8" s="41"/>
      <c r="B8" s="42"/>
      <c r="C8" s="443"/>
      <c r="D8" s="42"/>
      <c r="E8" s="43"/>
      <c r="F8" s="43"/>
      <c r="G8" s="44"/>
      <c r="H8" s="45"/>
      <c r="I8" s="46"/>
      <c r="J8" s="83"/>
      <c r="K8" s="83"/>
      <c r="L8" s="36"/>
      <c r="M8" s="36"/>
      <c r="N8" s="47"/>
      <c r="O8" s="48"/>
      <c r="P8" s="49"/>
      <c r="Q8" s="48"/>
      <c r="R8" s="499"/>
      <c r="S8" s="499"/>
      <c r="T8" s="38"/>
      <c r="U8" s="38"/>
      <c r="V8" s="38"/>
      <c r="W8" s="38"/>
      <c r="X8" s="39"/>
      <c r="Y8" s="212"/>
      <c r="Z8" s="38"/>
      <c r="AA8" s="38"/>
      <c r="AB8" s="38"/>
      <c r="AC8" s="38"/>
      <c r="AD8" s="38">
        <f t="shared" si="1"/>
        <v>23</v>
      </c>
      <c r="AE8" s="231" t="s">
        <v>436</v>
      </c>
      <c r="AF8" s="34"/>
      <c r="AG8" s="34"/>
      <c r="AH8" s="34">
        <v>23</v>
      </c>
      <c r="AJ8" s="38"/>
      <c r="AK8" s="38"/>
      <c r="AL8" s="38"/>
      <c r="AM8" s="38">
        <f t="shared" si="2"/>
        <v>23</v>
      </c>
      <c r="AN8" s="38"/>
      <c r="AO8" s="38"/>
      <c r="AP8" s="38"/>
      <c r="AQ8" s="38"/>
      <c r="AR8" s="38">
        <f t="shared" si="3"/>
        <v>0</v>
      </c>
      <c r="AS8" s="38"/>
      <c r="AT8" s="38"/>
      <c r="AU8" s="38"/>
      <c r="AV8" s="38"/>
      <c r="AW8" s="38"/>
      <c r="AX8" s="38"/>
      <c r="AY8" s="38"/>
      <c r="AZ8" s="38"/>
      <c r="BA8" s="38">
        <f t="shared" si="4"/>
        <v>0</v>
      </c>
      <c r="BB8" s="34"/>
      <c r="BC8" s="502"/>
      <c r="BD8" s="502"/>
      <c r="BE8" s="34"/>
      <c r="BF8" s="502"/>
    </row>
    <row r="9" spans="1:58" ht="12.95" customHeight="1">
      <c r="A9" s="41"/>
      <c r="B9" s="42"/>
      <c r="C9" s="443"/>
      <c r="D9" s="42"/>
      <c r="E9" s="43"/>
      <c r="F9" s="43"/>
      <c r="G9" s="44"/>
      <c r="H9" s="45"/>
      <c r="I9" s="46"/>
      <c r="J9" s="83"/>
      <c r="K9" s="83"/>
      <c r="L9" s="36"/>
      <c r="M9" s="36"/>
      <c r="N9" s="47"/>
      <c r="O9" s="48"/>
      <c r="P9" s="49"/>
      <c r="Q9" s="35"/>
      <c r="R9" s="499"/>
      <c r="S9" s="499"/>
      <c r="T9" s="38"/>
      <c r="U9" s="38"/>
      <c r="V9" s="38"/>
      <c r="W9" s="38"/>
      <c r="X9" s="39"/>
      <c r="Y9" s="212"/>
      <c r="Z9" s="38"/>
      <c r="AA9" s="38"/>
      <c r="AB9" s="38"/>
      <c r="AC9" s="38"/>
      <c r="AD9" s="38">
        <f t="shared" si="1"/>
        <v>15</v>
      </c>
      <c r="AE9" s="234" t="s">
        <v>228</v>
      </c>
      <c r="AF9" s="38"/>
      <c r="AG9" s="38"/>
      <c r="AH9" s="38"/>
      <c r="AI9" s="501">
        <v>15</v>
      </c>
      <c r="AJ9" s="38"/>
      <c r="AK9" s="38"/>
      <c r="AL9" s="38"/>
      <c r="AM9" s="38">
        <f t="shared" si="2"/>
        <v>15</v>
      </c>
      <c r="AN9" s="38"/>
      <c r="AO9" s="38"/>
      <c r="AP9" s="38"/>
      <c r="AQ9" s="38"/>
      <c r="AR9" s="38">
        <f t="shared" si="3"/>
        <v>0</v>
      </c>
      <c r="AS9" s="38"/>
      <c r="AT9" s="38"/>
      <c r="AU9" s="38"/>
      <c r="AV9" s="38"/>
      <c r="AW9" s="38"/>
      <c r="AX9" s="38"/>
      <c r="AY9" s="38"/>
      <c r="AZ9" s="38"/>
      <c r="BA9" s="38">
        <f t="shared" si="4"/>
        <v>0</v>
      </c>
      <c r="BB9" s="51"/>
      <c r="BC9" s="52"/>
      <c r="BD9" s="52"/>
      <c r="BE9" s="51"/>
      <c r="BF9" s="52"/>
    </row>
    <row r="10" spans="1:58" ht="12.95" customHeight="1">
      <c r="A10" s="41"/>
      <c r="B10" s="42"/>
      <c r="C10" s="443"/>
      <c r="D10" s="42"/>
      <c r="E10" s="43"/>
      <c r="F10" s="43"/>
      <c r="G10" s="498"/>
      <c r="H10" s="45"/>
      <c r="I10" s="46"/>
      <c r="J10" s="83"/>
      <c r="K10" s="83"/>
      <c r="L10" s="36"/>
      <c r="M10" s="36"/>
      <c r="N10" s="47"/>
      <c r="O10" s="48"/>
      <c r="P10" s="49"/>
      <c r="Q10" s="48"/>
      <c r="R10" s="499"/>
      <c r="S10" s="499"/>
      <c r="T10" s="38"/>
      <c r="U10" s="38"/>
      <c r="V10" s="38"/>
      <c r="W10" s="38"/>
      <c r="X10" s="500"/>
      <c r="Y10" s="212"/>
      <c r="Z10" s="38"/>
      <c r="AA10" s="50"/>
      <c r="AB10" s="50"/>
      <c r="AC10" s="38"/>
      <c r="AD10" s="38">
        <f t="shared" si="1"/>
        <v>140</v>
      </c>
      <c r="AE10" s="234" t="s">
        <v>437</v>
      </c>
      <c r="AF10" s="38"/>
      <c r="AG10" s="38"/>
      <c r="AH10" s="38"/>
      <c r="AI10" s="501"/>
      <c r="AJ10" s="38"/>
      <c r="AK10" s="38"/>
      <c r="AL10" s="38"/>
      <c r="AM10" s="38">
        <f t="shared" si="2"/>
        <v>0</v>
      </c>
      <c r="AN10" s="38">
        <v>140</v>
      </c>
      <c r="AO10" s="38"/>
      <c r="AP10" s="38"/>
      <c r="AQ10" s="38"/>
      <c r="AR10" s="38">
        <f t="shared" si="3"/>
        <v>140</v>
      </c>
      <c r="AS10" s="38"/>
      <c r="AT10" s="38"/>
      <c r="AU10" s="38"/>
      <c r="AV10" s="38"/>
      <c r="AW10" s="38"/>
      <c r="AX10" s="38"/>
      <c r="AY10" s="38"/>
      <c r="AZ10" s="38"/>
      <c r="BA10" s="38">
        <f t="shared" si="4"/>
        <v>140</v>
      </c>
      <c r="BB10" s="34"/>
      <c r="BC10" s="52"/>
      <c r="BD10" s="52"/>
      <c r="BE10" s="34"/>
      <c r="BF10" s="52"/>
    </row>
    <row r="11" spans="1:58" ht="12.75" customHeight="1">
      <c r="A11" s="41"/>
      <c r="B11" s="42"/>
      <c r="C11" s="443"/>
      <c r="D11" s="42"/>
      <c r="E11" s="43"/>
      <c r="F11" s="43"/>
      <c r="G11" s="498"/>
      <c r="H11" s="45"/>
      <c r="I11" s="46"/>
      <c r="J11" s="83"/>
      <c r="K11" s="83"/>
      <c r="L11" s="36"/>
      <c r="M11" s="36"/>
      <c r="N11" s="47"/>
      <c r="O11" s="48"/>
      <c r="P11" s="49"/>
      <c r="Q11" s="48"/>
      <c r="R11" s="499"/>
      <c r="S11" s="499"/>
      <c r="T11" s="38"/>
      <c r="U11" s="38"/>
      <c r="V11" s="38"/>
      <c r="W11" s="38"/>
      <c r="X11" s="39"/>
      <c r="Y11" s="212"/>
      <c r="Z11" s="38"/>
      <c r="AA11" s="38"/>
      <c r="AB11" s="38"/>
      <c r="AC11" s="38"/>
      <c r="AD11" s="38"/>
      <c r="AE11" s="231"/>
      <c r="AF11" s="38"/>
      <c r="AG11" s="38"/>
      <c r="AH11" s="38"/>
      <c r="AI11" s="501"/>
      <c r="AJ11" s="38"/>
      <c r="AK11" s="38"/>
      <c r="AL11" s="38"/>
      <c r="AM11" s="38"/>
      <c r="AN11" s="84"/>
      <c r="AO11" s="38"/>
      <c r="AP11" s="38"/>
      <c r="AQ11" s="38"/>
      <c r="AR11" s="38"/>
      <c r="AS11" s="38"/>
      <c r="AT11" s="38"/>
      <c r="AU11" s="38"/>
      <c r="AV11" s="38"/>
      <c r="AW11" s="38"/>
      <c r="AX11" s="38"/>
      <c r="AY11" s="38"/>
      <c r="AZ11" s="38"/>
      <c r="BA11" s="38"/>
      <c r="BB11" s="51"/>
      <c r="BC11" s="52"/>
      <c r="BD11" s="52"/>
      <c r="BE11" s="51"/>
      <c r="BF11" s="52"/>
    </row>
    <row r="12" spans="1:58" ht="12.95" customHeight="1">
      <c r="A12" s="41">
        <v>45963</v>
      </c>
      <c r="B12" s="42" t="s">
        <v>431</v>
      </c>
      <c r="C12" s="443">
        <f>(M12*E12*O12*Q12)/100000000</f>
        <v>25.227342755999999</v>
      </c>
      <c r="D12" s="42" t="s">
        <v>434</v>
      </c>
      <c r="E12" s="43">
        <v>13.5</v>
      </c>
      <c r="F12" s="43">
        <v>1</v>
      </c>
      <c r="G12" s="498">
        <v>1345</v>
      </c>
      <c r="H12" s="45">
        <f>+N12</f>
        <v>0.23000000000000009</v>
      </c>
      <c r="I12" s="46">
        <v>0.88</v>
      </c>
      <c r="J12" s="83">
        <f>E12*G12*(1-H12)*1440/1000000*2.74</f>
        <v>55.164518639999997</v>
      </c>
      <c r="K12" s="83">
        <f t="shared" ref="K12:K13" si="5">(IF(G12&lt;L12,L12,G12)*(1-IF(H12&lt;N12,H12,N12))*E12*O12*Q12)/100000000</f>
        <v>27.812111480999999</v>
      </c>
      <c r="L12" s="36">
        <v>1220</v>
      </c>
      <c r="M12" s="36">
        <v>939.39999999999986</v>
      </c>
      <c r="N12" s="47">
        <f>1-(M12/L12)</f>
        <v>0.23000000000000009</v>
      </c>
      <c r="O12" s="48">
        <f>+'Trim Rwd'!H7</f>
        <v>274</v>
      </c>
      <c r="P12" s="49">
        <f>O12*(Q12-R12-S12)</f>
        <v>192622</v>
      </c>
      <c r="Q12" s="48">
        <v>726</v>
      </c>
      <c r="R12" s="499">
        <v>0</v>
      </c>
      <c r="S12" s="499">
        <v>23</v>
      </c>
      <c r="T12" s="38">
        <f>E12*M12*O12*Q12/100000000</f>
        <v>25.227342755999999</v>
      </c>
      <c r="U12" s="38">
        <f>E12*M12*O12*(Q12-R12-S12)/100000000</f>
        <v>24.428129417999997</v>
      </c>
      <c r="V12" s="38">
        <f>E12*G12*(1-N12)*O12/100*(R12+S12)/1000000</f>
        <v>0.88109995049999978</v>
      </c>
      <c r="W12" s="38">
        <f>+'2'!K7/1000</f>
        <v>28.510999999999999</v>
      </c>
      <c r="X12" s="500">
        <f>SUM(W12:W15)/SUM(K12:K15)</f>
        <v>0.89075190777271496</v>
      </c>
      <c r="Y12" s="212">
        <v>0</v>
      </c>
      <c r="Z12" s="38">
        <v>0</v>
      </c>
      <c r="AA12" s="50">
        <f>SUM(U12:U15)-SUM(W12:W15)-SUM(Z12:Z15)-SUM(Y12:Y15)</f>
        <v>0.22124705250979559</v>
      </c>
      <c r="AB12" s="50">
        <f>(SUM(K12:K15)-SUM(W12:W15)-SUM(Y12:Y15)-SUM(Z12:Z15)-SUM(AC12:AC15)-SUM(V12:V15))-AA12</f>
        <v>-0.13196995500980169</v>
      </c>
      <c r="AC12" s="38">
        <f>K12-T12</f>
        <v>2.584768725</v>
      </c>
      <c r="AD12" s="38">
        <f>+AM12+BA12</f>
        <v>0</v>
      </c>
      <c r="AE12" s="231" t="s">
        <v>390</v>
      </c>
      <c r="AF12" s="38">
        <v>0</v>
      </c>
      <c r="AG12" s="38"/>
      <c r="AH12" s="38"/>
      <c r="AI12" s="501"/>
      <c r="AJ12" s="38"/>
      <c r="AK12" s="38"/>
      <c r="AL12" s="38"/>
      <c r="AM12" s="38">
        <f>SUM(AF12:AL12)+AT12</f>
        <v>0</v>
      </c>
      <c r="AN12" s="38"/>
      <c r="AO12" s="38"/>
      <c r="AP12" s="38"/>
      <c r="AQ12" s="38"/>
      <c r="AR12" s="38">
        <f>SUM(AN12:AQ12)</f>
        <v>0</v>
      </c>
      <c r="AS12" s="38"/>
      <c r="AT12" s="38"/>
      <c r="AU12" s="38"/>
      <c r="AV12" s="38"/>
      <c r="AW12" s="38"/>
      <c r="AX12" s="38"/>
      <c r="AY12" s="38"/>
      <c r="AZ12" s="38"/>
      <c r="BA12" s="38">
        <f>+AR12+AS12+AU12+AV12+AX12</f>
        <v>0</v>
      </c>
      <c r="BB12" s="34">
        <v>0</v>
      </c>
      <c r="BC12" s="52"/>
      <c r="BD12" s="52"/>
      <c r="BE12" s="34"/>
      <c r="BF12" s="52"/>
    </row>
    <row r="13" spans="1:58" ht="12.95" customHeight="1">
      <c r="A13" s="41"/>
      <c r="B13" s="42" t="s">
        <v>431</v>
      </c>
      <c r="C13" s="443">
        <f>(M13*E13*O13*Q13)/100000000</f>
        <v>25.685549119999994</v>
      </c>
      <c r="D13" s="42" t="s">
        <v>434</v>
      </c>
      <c r="E13" s="43">
        <v>14</v>
      </c>
      <c r="F13" s="43">
        <v>1</v>
      </c>
      <c r="G13" s="498">
        <v>1295</v>
      </c>
      <c r="H13" s="45">
        <f>+N13</f>
        <v>0.22999999999999998</v>
      </c>
      <c r="I13" s="46">
        <v>0.88</v>
      </c>
      <c r="J13" s="83">
        <f>E13*G13*(1-H13)*1440/1000000*2.74</f>
        <v>55.080970560000011</v>
      </c>
      <c r="K13" s="83">
        <f t="shared" si="5"/>
        <v>27.310981236</v>
      </c>
      <c r="L13" s="36">
        <v>1217.9271708683473</v>
      </c>
      <c r="M13" s="36">
        <v>937.8039215686274</v>
      </c>
      <c r="N13" s="47">
        <f>1-(M13/L13)</f>
        <v>0.22999999999999998</v>
      </c>
      <c r="O13" s="48">
        <f>+'Trim Rwd'!H8</f>
        <v>274</v>
      </c>
      <c r="P13" s="49">
        <f>O13*(Q13-R13-S13)</f>
        <v>189608</v>
      </c>
      <c r="Q13" s="48">
        <v>714</v>
      </c>
      <c r="R13" s="499">
        <v>0</v>
      </c>
      <c r="S13" s="499">
        <v>22</v>
      </c>
      <c r="T13" s="38">
        <f>E13*M13*O13*Q13/100000000</f>
        <v>25.685549119999994</v>
      </c>
      <c r="U13" s="38">
        <f>E13*M13*O13*(Q13-R13-S13)/100000000</f>
        <v>24.894117634509801</v>
      </c>
      <c r="V13" s="38">
        <f>E13*G13*(1-N13)*O13/100*(R13+S13)/1000000</f>
        <v>0.84151482799999999</v>
      </c>
      <c r="W13" s="38">
        <f>+'2'!K8/1000</f>
        <v>20.59</v>
      </c>
      <c r="X13" s="39"/>
      <c r="Y13" s="212"/>
      <c r="Z13" s="38"/>
      <c r="AA13" s="38"/>
      <c r="AB13" s="38"/>
      <c r="AC13" s="38">
        <f>K13-T13</f>
        <v>1.625432116000006</v>
      </c>
      <c r="AD13" s="38">
        <f t="shared" ref="AD13:AD15" si="6">+AM13+BA13</f>
        <v>12</v>
      </c>
      <c r="AE13" s="231" t="s">
        <v>438</v>
      </c>
      <c r="AF13" s="38"/>
      <c r="AG13" s="38">
        <v>12</v>
      </c>
      <c r="AH13" s="38"/>
      <c r="AI13" s="501"/>
      <c r="AJ13" s="38"/>
      <c r="AK13" s="38"/>
      <c r="AL13" s="38"/>
      <c r="AM13" s="38">
        <f t="shared" ref="AM13:AM15" si="7">SUM(AF13:AL13)+AT13</f>
        <v>12</v>
      </c>
      <c r="AN13" s="84"/>
      <c r="AO13" s="38"/>
      <c r="AP13" s="38"/>
      <c r="AQ13" s="38"/>
      <c r="AR13" s="38">
        <f t="shared" ref="AR13:AR15" si="8">SUM(AN13:AQ13)</f>
        <v>0</v>
      </c>
      <c r="AS13" s="38"/>
      <c r="AT13" s="38"/>
      <c r="AU13" s="38"/>
      <c r="AV13" s="38"/>
      <c r="AW13" s="38"/>
      <c r="AX13" s="38"/>
      <c r="AY13" s="38"/>
      <c r="AZ13" s="38"/>
      <c r="BA13" s="38">
        <f t="shared" ref="BA13:BA15" si="9">+AR13+AS13+AU13+AV13+AX13</f>
        <v>0</v>
      </c>
      <c r="BB13" s="51"/>
      <c r="BC13" s="52">
        <v>10</v>
      </c>
      <c r="BD13" s="52"/>
      <c r="BE13" s="51"/>
      <c r="BF13" s="52"/>
    </row>
    <row r="14" spans="1:58" ht="12.95" customHeight="1">
      <c r="A14" s="41"/>
      <c r="B14" s="42"/>
      <c r="C14" s="443"/>
      <c r="D14" s="42"/>
      <c r="E14" s="43"/>
      <c r="F14" s="43"/>
      <c r="G14" s="44"/>
      <c r="H14" s="45"/>
      <c r="I14" s="46"/>
      <c r="J14" s="83"/>
      <c r="K14" s="83"/>
      <c r="L14" s="36"/>
      <c r="M14" s="36"/>
      <c r="N14" s="47"/>
      <c r="O14" s="48"/>
      <c r="P14" s="49"/>
      <c r="Q14" s="48"/>
      <c r="R14" s="499"/>
      <c r="S14" s="499"/>
      <c r="T14" s="38"/>
      <c r="U14" s="38"/>
      <c r="V14" s="38"/>
      <c r="W14" s="38"/>
      <c r="X14" s="39"/>
      <c r="Y14" s="212"/>
      <c r="Z14" s="38"/>
      <c r="AA14" s="38"/>
      <c r="AB14" s="38"/>
      <c r="AC14" s="38"/>
      <c r="AD14" s="38">
        <f t="shared" si="6"/>
        <v>23</v>
      </c>
      <c r="AE14" s="231" t="s">
        <v>436</v>
      </c>
      <c r="AF14" s="34"/>
      <c r="AG14" s="34"/>
      <c r="AH14" s="34">
        <v>23</v>
      </c>
      <c r="AJ14" s="38"/>
      <c r="AK14" s="38"/>
      <c r="AL14" s="38"/>
      <c r="AM14" s="38">
        <f t="shared" si="7"/>
        <v>23</v>
      </c>
      <c r="AN14" s="38"/>
      <c r="AO14" s="38"/>
      <c r="AP14" s="38"/>
      <c r="AQ14" s="38"/>
      <c r="AR14" s="38">
        <f t="shared" si="8"/>
        <v>0</v>
      </c>
      <c r="AS14" s="38"/>
      <c r="AT14" s="38"/>
      <c r="AU14" s="38"/>
      <c r="AV14" s="38"/>
      <c r="AW14" s="38"/>
      <c r="AX14" s="38"/>
      <c r="AY14" s="38"/>
      <c r="AZ14" s="38"/>
      <c r="BA14" s="38">
        <f t="shared" si="9"/>
        <v>0</v>
      </c>
      <c r="BB14" s="34"/>
      <c r="BC14" s="502"/>
      <c r="BD14" s="502"/>
      <c r="BE14" s="34"/>
      <c r="BF14" s="502"/>
    </row>
    <row r="15" spans="1:58" ht="12.95" customHeight="1">
      <c r="A15" s="41"/>
      <c r="B15" s="42"/>
      <c r="C15" s="443"/>
      <c r="D15" s="42"/>
      <c r="E15" s="43"/>
      <c r="F15" s="43"/>
      <c r="G15" s="44"/>
      <c r="H15" s="45"/>
      <c r="I15" s="46"/>
      <c r="J15" s="83"/>
      <c r="K15" s="83"/>
      <c r="L15" s="36"/>
      <c r="M15" s="36"/>
      <c r="N15" s="47"/>
      <c r="O15" s="48"/>
      <c r="P15" s="49"/>
      <c r="Q15" s="35"/>
      <c r="R15" s="499"/>
      <c r="S15" s="499"/>
      <c r="T15" s="38"/>
      <c r="U15" s="38"/>
      <c r="V15" s="38"/>
      <c r="W15" s="38"/>
      <c r="X15" s="39"/>
      <c r="Y15" s="212"/>
      <c r="Z15" s="38"/>
      <c r="AA15" s="38"/>
      <c r="AB15" s="38"/>
      <c r="AC15" s="38"/>
      <c r="AD15" s="38">
        <f t="shared" si="6"/>
        <v>10</v>
      </c>
      <c r="AE15" s="234" t="s">
        <v>228</v>
      </c>
      <c r="AF15" s="38"/>
      <c r="AG15" s="38"/>
      <c r="AH15" s="38"/>
      <c r="AI15" s="501">
        <v>10</v>
      </c>
      <c r="AJ15" s="38"/>
      <c r="AK15" s="38"/>
      <c r="AL15" s="38"/>
      <c r="AM15" s="38">
        <f t="shared" si="7"/>
        <v>10</v>
      </c>
      <c r="AN15" s="38"/>
      <c r="AO15" s="38"/>
      <c r="AP15" s="38"/>
      <c r="AQ15" s="38"/>
      <c r="AR15" s="38">
        <f t="shared" si="8"/>
        <v>0</v>
      </c>
      <c r="AS15" s="38"/>
      <c r="AT15" s="38"/>
      <c r="AU15" s="38"/>
      <c r="AV15" s="38"/>
      <c r="AW15" s="38"/>
      <c r="AX15" s="38"/>
      <c r="AY15" s="38"/>
      <c r="AZ15" s="38"/>
      <c r="BA15" s="38">
        <f t="shared" si="9"/>
        <v>0</v>
      </c>
      <c r="BB15" s="51"/>
      <c r="BC15" s="52"/>
      <c r="BD15" s="52"/>
      <c r="BE15" s="51"/>
      <c r="BF15" s="52"/>
    </row>
    <row r="16" spans="1:58" ht="12.95" customHeight="1">
      <c r="A16" s="41"/>
      <c r="B16" s="42"/>
      <c r="C16" s="443"/>
      <c r="D16" s="42"/>
      <c r="E16" s="43"/>
      <c r="F16" s="43"/>
      <c r="G16" s="498"/>
      <c r="H16" s="45"/>
      <c r="I16" s="46"/>
      <c r="J16" s="83"/>
      <c r="K16" s="83"/>
      <c r="L16" s="36"/>
      <c r="M16" s="36"/>
      <c r="N16" s="47"/>
      <c r="O16" s="48"/>
      <c r="P16" s="49"/>
      <c r="Q16" s="48"/>
      <c r="R16" s="499"/>
      <c r="S16" s="499"/>
      <c r="T16" s="38"/>
      <c r="U16" s="38"/>
      <c r="V16" s="38"/>
      <c r="W16" s="38"/>
      <c r="X16" s="500"/>
      <c r="Y16" s="212"/>
      <c r="Z16" s="38"/>
      <c r="AA16" s="50"/>
      <c r="AB16" s="50"/>
      <c r="AC16" s="38"/>
      <c r="AD16" s="38"/>
      <c r="AE16" s="234"/>
      <c r="AF16" s="38"/>
      <c r="AG16" s="38"/>
      <c r="AH16" s="38"/>
      <c r="AI16" s="501"/>
      <c r="AJ16" s="38"/>
      <c r="AK16" s="38"/>
      <c r="AL16" s="38"/>
      <c r="AM16" s="38"/>
      <c r="AN16" s="38"/>
      <c r="AO16" s="38"/>
      <c r="AP16" s="38"/>
      <c r="AQ16" s="38"/>
      <c r="AR16" s="38"/>
      <c r="AS16" s="38"/>
      <c r="AT16" s="38"/>
      <c r="AU16" s="38"/>
      <c r="AV16" s="38"/>
      <c r="AW16" s="38"/>
      <c r="AX16" s="38"/>
      <c r="AY16" s="38"/>
      <c r="AZ16" s="38"/>
      <c r="BA16" s="38"/>
      <c r="BB16" s="34"/>
      <c r="BC16" s="52"/>
      <c r="BD16" s="52"/>
      <c r="BE16" s="34"/>
      <c r="BF16" s="52"/>
    </row>
    <row r="17" spans="1:58" ht="12.95" customHeight="1">
      <c r="A17" s="41">
        <v>45964</v>
      </c>
      <c r="B17" s="42" t="s">
        <v>431</v>
      </c>
      <c r="C17" s="443">
        <f>(M17*E17*O17*Q17)/100000000</f>
        <v>51.64207910399999</v>
      </c>
      <c r="D17" s="42" t="s">
        <v>434</v>
      </c>
      <c r="E17" s="43">
        <v>14</v>
      </c>
      <c r="F17" s="43">
        <v>1</v>
      </c>
      <c r="G17" s="498">
        <v>1295</v>
      </c>
      <c r="H17" s="45">
        <f>+N17</f>
        <v>0.22999999999999998</v>
      </c>
      <c r="I17" s="46">
        <v>0.88</v>
      </c>
      <c r="J17" s="83">
        <f>E17*G17*(1-H17)*1440/1000000*2.74</f>
        <v>55.080970560000011</v>
      </c>
      <c r="K17" s="83">
        <f t="shared" ref="K17" si="10">(IF(G17&lt;L17,L17,G17)*(1-IF(H17&lt;N17,H17,N17))*E17*O17*Q17)/100000000</f>
        <v>54.667432511999998</v>
      </c>
      <c r="L17" s="36">
        <v>1223.3333333333333</v>
      </c>
      <c r="M17" s="36">
        <v>941.9666666666667</v>
      </c>
      <c r="N17" s="47">
        <f>1-(M17/L17)</f>
        <v>0.22999999999999998</v>
      </c>
      <c r="O17" s="48">
        <f>+'Trim Rwd'!H10</f>
        <v>271.94285714285712</v>
      </c>
      <c r="P17" s="49">
        <f>O17*(Q17-R17-S17)</f>
        <v>375825.02857142856</v>
      </c>
      <c r="Q17" s="48">
        <v>1440</v>
      </c>
      <c r="R17" s="499">
        <v>0</v>
      </c>
      <c r="S17" s="499">
        <v>58</v>
      </c>
      <c r="T17" s="38">
        <f>E17*M17*O17*Q17/100000000</f>
        <v>51.64207910399999</v>
      </c>
      <c r="U17" s="38">
        <f>E17*M17*O17*(Q17-R17-S17)/100000000</f>
        <v>49.562050917866657</v>
      </c>
      <c r="V17" s="38">
        <f>E17*G17*(1-N17)*O17/100*(R17+S17)/1000000</f>
        <v>2.2018826983999999</v>
      </c>
      <c r="W17" s="38">
        <f>+'3'!K8/1000</f>
        <v>48.119</v>
      </c>
      <c r="X17" s="500">
        <f>SUM(W17:W20)/SUM(K17:K20)</f>
        <v>0.88021327852624942</v>
      </c>
      <c r="Y17" s="212">
        <f>+SUM(RBP!AG8:AG9)</f>
        <v>0</v>
      </c>
      <c r="Z17" s="38">
        <v>0</v>
      </c>
      <c r="AA17" s="50">
        <f>SUM(U17:U20)-SUM(W17:W20)-SUM(Z17:Z20)-SUM(Y17:Y20)</f>
        <v>1.4430509178666568</v>
      </c>
      <c r="AB17" s="50">
        <f>(SUM(K17:K20)-SUM(W17:W20)-SUM(Y17:Y20)-SUM(Z17:Z20)-SUM(AC17:AC20)-SUM(V17:V20))-AA17</f>
        <v>-0.12185451226666677</v>
      </c>
      <c r="AC17" s="38">
        <f>K17-T17</f>
        <v>3.025353408000008</v>
      </c>
      <c r="AD17" s="38">
        <f>+AM17+BA17</f>
        <v>0</v>
      </c>
      <c r="AE17" s="231" t="s">
        <v>390</v>
      </c>
      <c r="AF17" s="38">
        <v>0</v>
      </c>
      <c r="AG17" s="38"/>
      <c r="AH17" s="38"/>
      <c r="AI17" s="501"/>
      <c r="AJ17" s="38"/>
      <c r="AK17" s="38"/>
      <c r="AL17" s="38"/>
      <c r="AM17" s="38">
        <f>SUM(AF17:AL17)+AT17</f>
        <v>0</v>
      </c>
      <c r="AN17" s="38"/>
      <c r="AO17" s="38"/>
      <c r="AP17" s="38"/>
      <c r="AQ17" s="38"/>
      <c r="AR17" s="38">
        <f>SUM(AN17:AQ17)</f>
        <v>0</v>
      </c>
      <c r="AS17" s="38"/>
      <c r="AT17" s="38"/>
      <c r="AU17" s="38"/>
      <c r="AV17" s="38"/>
      <c r="AW17" s="38"/>
      <c r="AX17" s="38"/>
      <c r="AY17" s="38"/>
      <c r="AZ17" s="38"/>
      <c r="BA17" s="38">
        <f>+AR17+AS17+AU17+AV17+AX17</f>
        <v>0</v>
      </c>
      <c r="BB17" s="34">
        <v>0</v>
      </c>
      <c r="BC17" s="52"/>
      <c r="BD17" s="52"/>
      <c r="BE17" s="34"/>
      <c r="BF17" s="52"/>
    </row>
    <row r="18" spans="1:58" ht="12.95" customHeight="1">
      <c r="A18" s="41"/>
      <c r="B18" s="42"/>
      <c r="C18" s="443"/>
      <c r="D18" s="42"/>
      <c r="E18" s="43"/>
      <c r="F18" s="43"/>
      <c r="G18" s="498"/>
      <c r="H18" s="45"/>
      <c r="I18" s="46"/>
      <c r="J18" s="83"/>
      <c r="K18" s="83"/>
      <c r="L18" s="36"/>
      <c r="M18" s="36"/>
      <c r="N18" s="47"/>
      <c r="O18" s="48"/>
      <c r="P18" s="49"/>
      <c r="Q18" s="48"/>
      <c r="R18" s="499"/>
      <c r="S18" s="499"/>
      <c r="T18" s="38"/>
      <c r="U18" s="38"/>
      <c r="V18" s="38"/>
      <c r="W18" s="38"/>
      <c r="X18" s="39"/>
      <c r="Y18" s="212"/>
      <c r="Z18" s="38"/>
      <c r="AA18" s="38"/>
      <c r="AB18" s="38"/>
      <c r="AC18" s="38">
        <f>K18-T18</f>
        <v>0</v>
      </c>
      <c r="AD18" s="38">
        <f t="shared" ref="AD18:AD20" si="11">+AM18+BA18</f>
        <v>13</v>
      </c>
      <c r="AE18" s="231" t="s">
        <v>465</v>
      </c>
      <c r="AF18" s="38"/>
      <c r="AG18" s="38">
        <v>13</v>
      </c>
      <c r="AH18" s="38"/>
      <c r="AI18" s="501"/>
      <c r="AJ18" s="38"/>
      <c r="AK18" s="38"/>
      <c r="AL18" s="38"/>
      <c r="AM18" s="38">
        <f t="shared" ref="AM18:AM20" si="12">SUM(AF18:AL18)+AT18</f>
        <v>13</v>
      </c>
      <c r="AN18" s="84"/>
      <c r="AO18" s="38"/>
      <c r="AP18" s="38"/>
      <c r="AQ18" s="38"/>
      <c r="AR18" s="38">
        <f t="shared" ref="AR18:AR20" si="13">SUM(AN18:AQ18)</f>
        <v>0</v>
      </c>
      <c r="AS18" s="38"/>
      <c r="AT18" s="38"/>
      <c r="AU18" s="38"/>
      <c r="AV18" s="38"/>
      <c r="AW18" s="38"/>
      <c r="AX18" s="38"/>
      <c r="AY18" s="38"/>
      <c r="AZ18" s="38"/>
      <c r="BA18" s="38">
        <f t="shared" ref="BA18:BA20" si="14">+AR18+AS18+AU18+AV18+AX18</f>
        <v>0</v>
      </c>
      <c r="BB18" s="51"/>
      <c r="BC18" s="52">
        <v>14</v>
      </c>
      <c r="BD18" s="52"/>
      <c r="BE18" s="51"/>
      <c r="BF18" s="52"/>
    </row>
    <row r="19" spans="1:58" ht="12.95" customHeight="1">
      <c r="A19" s="41"/>
      <c r="B19" s="42"/>
      <c r="C19" s="443"/>
      <c r="D19" s="42"/>
      <c r="E19" s="43"/>
      <c r="F19" s="43"/>
      <c r="G19" s="44"/>
      <c r="H19" s="45"/>
      <c r="I19" s="46"/>
      <c r="J19" s="83"/>
      <c r="K19" s="83"/>
      <c r="L19" s="36"/>
      <c r="M19" s="36"/>
      <c r="N19" s="47"/>
      <c r="O19" s="48"/>
      <c r="P19" s="49"/>
      <c r="Q19" s="48"/>
      <c r="R19" s="499"/>
      <c r="S19" s="499"/>
      <c r="T19" s="38"/>
      <c r="U19" s="38"/>
      <c r="V19" s="38"/>
      <c r="W19" s="38"/>
      <c r="X19" s="39"/>
      <c r="Y19" s="212"/>
      <c r="Z19" s="38"/>
      <c r="AA19" s="38"/>
      <c r="AB19" s="38"/>
      <c r="AC19" s="38"/>
      <c r="AD19" s="38">
        <f t="shared" si="11"/>
        <v>22</v>
      </c>
      <c r="AE19" s="231" t="s">
        <v>436</v>
      </c>
      <c r="AF19" s="34"/>
      <c r="AG19" s="34"/>
      <c r="AH19" s="34">
        <v>22</v>
      </c>
      <c r="AJ19" s="38"/>
      <c r="AK19" s="38"/>
      <c r="AL19" s="38"/>
      <c r="AM19" s="38">
        <f t="shared" si="12"/>
        <v>22</v>
      </c>
      <c r="AN19" s="38"/>
      <c r="AO19" s="38"/>
      <c r="AP19" s="38"/>
      <c r="AQ19" s="38"/>
      <c r="AR19" s="38">
        <f t="shared" si="13"/>
        <v>0</v>
      </c>
      <c r="AS19" s="38"/>
      <c r="AT19" s="38"/>
      <c r="AU19" s="38"/>
      <c r="AV19" s="38"/>
      <c r="AW19" s="38"/>
      <c r="AX19" s="38"/>
      <c r="AY19" s="38"/>
      <c r="AZ19" s="38"/>
      <c r="BA19" s="38">
        <f t="shared" si="14"/>
        <v>0</v>
      </c>
      <c r="BB19" s="34"/>
      <c r="BC19" s="502"/>
      <c r="BD19" s="502"/>
      <c r="BE19" s="34"/>
      <c r="BF19" s="502"/>
    </row>
    <row r="20" spans="1:58" ht="12.95" customHeight="1">
      <c r="A20" s="41"/>
      <c r="B20" s="42"/>
      <c r="C20" s="443"/>
      <c r="D20" s="42"/>
      <c r="E20" s="43"/>
      <c r="F20" s="43"/>
      <c r="G20" s="44"/>
      <c r="H20" s="45"/>
      <c r="I20" s="46"/>
      <c r="J20" s="83"/>
      <c r="K20" s="83"/>
      <c r="L20" s="36"/>
      <c r="M20" s="36"/>
      <c r="N20" s="47"/>
      <c r="O20" s="48"/>
      <c r="P20" s="49"/>
      <c r="Q20" s="35"/>
      <c r="R20" s="499"/>
      <c r="S20" s="499"/>
      <c r="T20" s="38"/>
      <c r="U20" s="38"/>
      <c r="V20" s="38"/>
      <c r="W20" s="38"/>
      <c r="X20" s="39"/>
      <c r="Y20" s="212"/>
      <c r="Z20" s="38"/>
      <c r="AA20" s="38"/>
      <c r="AB20" s="38"/>
      <c r="AC20" s="38"/>
      <c r="AD20" s="38">
        <f t="shared" si="11"/>
        <v>23</v>
      </c>
      <c r="AE20" s="234" t="s">
        <v>228</v>
      </c>
      <c r="AF20" s="38"/>
      <c r="AG20" s="38"/>
      <c r="AH20" s="38"/>
      <c r="AI20" s="501">
        <v>23</v>
      </c>
      <c r="AJ20" s="38"/>
      <c r="AK20" s="38"/>
      <c r="AL20" s="38"/>
      <c r="AM20" s="38">
        <f t="shared" si="12"/>
        <v>23</v>
      </c>
      <c r="AN20" s="38"/>
      <c r="AO20" s="38"/>
      <c r="AP20" s="38"/>
      <c r="AQ20" s="38"/>
      <c r="AR20" s="38">
        <f t="shared" si="13"/>
        <v>0</v>
      </c>
      <c r="AS20" s="38"/>
      <c r="AT20" s="38"/>
      <c r="AU20" s="38"/>
      <c r="AV20" s="38"/>
      <c r="AW20" s="38"/>
      <c r="AX20" s="38"/>
      <c r="AY20" s="38"/>
      <c r="AZ20" s="38"/>
      <c r="BA20" s="38">
        <f t="shared" si="14"/>
        <v>0</v>
      </c>
      <c r="BB20" s="51"/>
      <c r="BC20" s="52"/>
      <c r="BD20" s="52"/>
      <c r="BE20" s="51"/>
      <c r="BF20" s="52"/>
    </row>
    <row r="21" spans="1:58" ht="12.95" customHeight="1">
      <c r="A21" s="41"/>
      <c r="B21" s="42"/>
      <c r="C21" s="443"/>
      <c r="D21" s="42"/>
      <c r="E21" s="43"/>
      <c r="F21" s="43"/>
      <c r="G21" s="44"/>
      <c r="H21" s="45"/>
      <c r="I21" s="46"/>
      <c r="J21" s="83"/>
      <c r="K21" s="83"/>
      <c r="L21" s="36"/>
      <c r="M21" s="36"/>
      <c r="N21" s="47"/>
      <c r="O21" s="48"/>
      <c r="P21" s="49"/>
      <c r="Q21" s="35"/>
      <c r="R21" s="499"/>
      <c r="S21" s="499"/>
      <c r="T21" s="38"/>
      <c r="U21" s="38"/>
      <c r="V21" s="38"/>
      <c r="W21" s="38"/>
      <c r="X21" s="39"/>
      <c r="Y21" s="212"/>
      <c r="Z21" s="38"/>
      <c r="AA21" s="38"/>
      <c r="AB21" s="38"/>
      <c r="AC21" s="38"/>
      <c r="AD21" s="38"/>
      <c r="AE21" s="234"/>
      <c r="AF21" s="38"/>
      <c r="AG21" s="38"/>
      <c r="AH21" s="38"/>
      <c r="AI21" s="501"/>
      <c r="AJ21" s="38"/>
      <c r="AK21" s="38"/>
      <c r="AL21" s="38"/>
      <c r="AM21" s="38"/>
      <c r="AN21" s="38"/>
      <c r="AO21" s="38"/>
      <c r="AP21" s="38"/>
      <c r="AQ21" s="38"/>
      <c r="AR21" s="38"/>
      <c r="AS21" s="38"/>
      <c r="AT21" s="38"/>
      <c r="AU21" s="38"/>
      <c r="AV21" s="38"/>
      <c r="AW21" s="38"/>
      <c r="AX21" s="38"/>
      <c r="AY21" s="38"/>
      <c r="AZ21" s="38"/>
      <c r="BA21" s="38"/>
      <c r="BB21" s="51"/>
      <c r="BC21" s="52"/>
      <c r="BD21" s="52"/>
      <c r="BE21" s="34"/>
      <c r="BF21" s="52"/>
    </row>
    <row r="22" spans="1:58" ht="12.75" customHeight="1">
      <c r="A22" s="41">
        <v>45965</v>
      </c>
      <c r="B22" s="42" t="s">
        <v>431</v>
      </c>
      <c r="C22" s="443">
        <f>(M22*E22*O22*Q22)/100000000</f>
        <v>17.966486999999997</v>
      </c>
      <c r="D22" s="42" t="s">
        <v>434</v>
      </c>
      <c r="E22" s="43">
        <v>14</v>
      </c>
      <c r="F22" s="43">
        <v>1</v>
      </c>
      <c r="G22" s="498">
        <v>1295</v>
      </c>
      <c r="H22" s="45">
        <f>+N22</f>
        <v>0.23000000000000009</v>
      </c>
      <c r="I22" s="46">
        <v>0.88</v>
      </c>
      <c r="J22" s="83">
        <f>E22*G22*(1-H22)*1440/1000000*2.74</f>
        <v>55.08097055999999</v>
      </c>
      <c r="K22" s="83">
        <f t="shared" ref="K22:K23" si="15">(IF(G22&lt;L22,L22,G22)*(1-IF(H22&lt;N22,H22,N22))*E22*O22*Q22)/100000000</f>
        <v>18.915935499999996</v>
      </c>
      <c r="L22" s="36">
        <v>1230</v>
      </c>
      <c r="M22" s="36">
        <v>947.09999999999991</v>
      </c>
      <c r="N22" s="47">
        <f>1-(M22/L22)</f>
        <v>0.23000000000000009</v>
      </c>
      <c r="O22" s="48">
        <f>+'Trim Rwd'!H13</f>
        <v>271</v>
      </c>
      <c r="P22" s="49">
        <f>O22*(Q22-R22-S22)</f>
        <v>129538</v>
      </c>
      <c r="Q22" s="48">
        <v>500</v>
      </c>
      <c r="R22" s="499">
        <v>0</v>
      </c>
      <c r="S22" s="499">
        <v>22</v>
      </c>
      <c r="T22" s="38">
        <f>E22*M22*O22*Q22/100000000</f>
        <v>17.966486999999997</v>
      </c>
      <c r="U22" s="38">
        <f>E22*M22*O22*(Q22-R22-S22)/100000000</f>
        <v>17.175961571999999</v>
      </c>
      <c r="V22" s="38">
        <f>E22*G22*(1-N22)*O22/100*(R22+S22)/1000000</f>
        <v>0.83230116200000004</v>
      </c>
      <c r="W22" s="38">
        <f>+'4'!K8/1000</f>
        <v>22.055</v>
      </c>
      <c r="X22" s="500">
        <f>SUM(W22:W25)/SUM(K22:K25)</f>
        <v>0.92179422004169198</v>
      </c>
      <c r="Y22" s="212">
        <v>0</v>
      </c>
      <c r="Z22" s="38">
        <v>0</v>
      </c>
      <c r="AA22" s="50">
        <f>SUM(U22:U25)-SUM(W22:W25)-SUM(Z22:Z25)-SUM(Y22:Y25)</f>
        <v>0.49532842524467213</v>
      </c>
      <c r="AB22" s="50">
        <f>(SUM(K22:K25)-SUM(W22:W25)-SUM(Y22:Y25)-SUM(Z22:Z25)-SUM(AC22:AC25)-SUM(V22:V25))-AA22</f>
        <v>-6.947778287454387E-2</v>
      </c>
      <c r="AC22" s="38">
        <f>K22-T22</f>
        <v>0.94944849999999903</v>
      </c>
      <c r="AD22" s="38">
        <f>+AM22+BA22</f>
        <v>0</v>
      </c>
      <c r="AE22" s="231" t="s">
        <v>390</v>
      </c>
      <c r="AF22" s="38">
        <v>0</v>
      </c>
      <c r="AG22" s="38"/>
      <c r="AH22" s="38"/>
      <c r="AI22" s="501"/>
      <c r="AJ22" s="38"/>
      <c r="AK22" s="38"/>
      <c r="AL22" s="38"/>
      <c r="AM22" s="38">
        <f>SUM(AF22:AL22)+AT22</f>
        <v>0</v>
      </c>
      <c r="AN22" s="38"/>
      <c r="AO22" s="38"/>
      <c r="AP22" s="38"/>
      <c r="AQ22" s="38"/>
      <c r="AR22" s="38">
        <f>SUM(AN22:AQ22)</f>
        <v>0</v>
      </c>
      <c r="AS22" s="38"/>
      <c r="AT22" s="38"/>
      <c r="AU22" s="38"/>
      <c r="AV22" s="38"/>
      <c r="AW22" s="38"/>
      <c r="AX22" s="38"/>
      <c r="AY22" s="38"/>
      <c r="AZ22" s="38"/>
      <c r="BA22" s="38">
        <f>+AR22+AS22+AU22+AV22+AX22</f>
        <v>0</v>
      </c>
      <c r="BB22" s="34">
        <v>0</v>
      </c>
      <c r="BC22" s="52"/>
      <c r="BD22" s="52"/>
      <c r="BE22" s="34"/>
      <c r="BF22" s="52"/>
    </row>
    <row r="23" spans="1:58" ht="12.95" customHeight="1">
      <c r="A23" s="41"/>
      <c r="B23" s="42" t="s">
        <v>431</v>
      </c>
      <c r="C23" s="443">
        <f>(M23*E23*O23*Q23)/100000000</f>
        <v>35.189618609999997</v>
      </c>
      <c r="D23" s="42" t="s">
        <v>434</v>
      </c>
      <c r="E23" s="43">
        <v>15</v>
      </c>
      <c r="F23" s="43">
        <v>1</v>
      </c>
      <c r="G23" s="498">
        <v>1200</v>
      </c>
      <c r="H23" s="45">
        <f>+N23</f>
        <v>0.22491379583486093</v>
      </c>
      <c r="I23" s="46">
        <v>0.88</v>
      </c>
      <c r="J23" s="83">
        <f>E23*G23*(1-H23)*1440/1000000*2.74</f>
        <v>55.047242288771514</v>
      </c>
      <c r="K23" s="83">
        <f t="shared" si="15"/>
        <v>35.933616494059173</v>
      </c>
      <c r="L23" s="36">
        <v>1175.1542553191489</v>
      </c>
      <c r="M23" s="36">
        <v>910.84585106382974</v>
      </c>
      <c r="N23" s="47">
        <f>1-(M23/L23)</f>
        <v>0.22491379583486093</v>
      </c>
      <c r="O23" s="48">
        <f>+'Trim Rwd'!H14</f>
        <v>274</v>
      </c>
      <c r="P23" s="49">
        <f>O23*(Q23-R23-S23)</f>
        <v>247970</v>
      </c>
      <c r="Q23" s="48">
        <v>940</v>
      </c>
      <c r="R23" s="499">
        <v>0</v>
      </c>
      <c r="S23" s="499">
        <v>35</v>
      </c>
      <c r="T23" s="38">
        <f>E23*M23*O23*Q23/100000000</f>
        <v>35.189618609999997</v>
      </c>
      <c r="U23" s="38">
        <f>E23*M23*O23*(Q23-R23-S23)/100000000</f>
        <v>33.879366853244676</v>
      </c>
      <c r="V23" s="38">
        <f>E23*G23*(1-N23)*O23/100*(R23+S23)/1000000</f>
        <v>1.337953805629863</v>
      </c>
      <c r="W23" s="38">
        <f>+'4'!K9/1000</f>
        <v>28.504999999999999</v>
      </c>
      <c r="X23" s="39"/>
      <c r="Y23" s="212"/>
      <c r="Z23" s="38"/>
      <c r="AA23" s="38"/>
      <c r="AB23" s="38"/>
      <c r="AC23" s="38">
        <f>K23-T23</f>
        <v>0.74399788405917633</v>
      </c>
      <c r="AD23" s="38">
        <f t="shared" ref="AD23:AD25" si="16">+AM23+BA23</f>
        <v>12</v>
      </c>
      <c r="AE23" s="231" t="s">
        <v>477</v>
      </c>
      <c r="AF23" s="38"/>
      <c r="AG23" s="38">
        <v>12</v>
      </c>
      <c r="AH23" s="38"/>
      <c r="AI23" s="501"/>
      <c r="AJ23" s="38"/>
      <c r="AK23" s="38"/>
      <c r="AL23" s="38"/>
      <c r="AM23" s="38">
        <f t="shared" ref="AM23:AM25" si="17">SUM(AF23:AL23)+AT23</f>
        <v>12</v>
      </c>
      <c r="AN23" s="84"/>
      <c r="AO23" s="38"/>
      <c r="AP23" s="38"/>
      <c r="AQ23" s="38"/>
      <c r="AR23" s="38">
        <f t="shared" ref="AR23:AR25" si="18">SUM(AN23:AQ23)</f>
        <v>0</v>
      </c>
      <c r="AS23" s="38"/>
      <c r="AT23" s="38"/>
      <c r="AU23" s="38"/>
      <c r="AV23" s="38"/>
      <c r="AW23" s="38"/>
      <c r="AX23" s="38"/>
      <c r="AY23" s="38"/>
      <c r="AZ23" s="38"/>
      <c r="BA23" s="38">
        <f t="shared" ref="BA23:BA25" si="19">+AR23+AS23+AU23+AV23+AX23</f>
        <v>0</v>
      </c>
      <c r="BB23" s="51"/>
      <c r="BC23" s="52">
        <v>15</v>
      </c>
      <c r="BD23" s="52"/>
      <c r="BE23" s="51"/>
      <c r="BF23" s="52"/>
    </row>
    <row r="24" spans="1:58" ht="12.95" customHeight="1">
      <c r="A24" s="41"/>
      <c r="B24" s="42"/>
      <c r="C24" s="443"/>
      <c r="D24" s="42"/>
      <c r="E24" s="43"/>
      <c r="F24" s="43"/>
      <c r="G24" s="44"/>
      <c r="H24" s="45"/>
      <c r="I24" s="46"/>
      <c r="J24" s="83"/>
      <c r="K24" s="83"/>
      <c r="L24" s="36"/>
      <c r="M24" s="36"/>
      <c r="N24" s="47"/>
      <c r="O24" s="48"/>
      <c r="P24" s="49"/>
      <c r="Q24" s="48"/>
      <c r="R24" s="499"/>
      <c r="S24" s="499"/>
      <c r="T24" s="38"/>
      <c r="U24" s="38"/>
      <c r="V24" s="38"/>
      <c r="W24" s="38"/>
      <c r="X24" s="39"/>
      <c r="Y24" s="212"/>
      <c r="Z24" s="38"/>
      <c r="AA24" s="38"/>
      <c r="AB24" s="38"/>
      <c r="AC24" s="38"/>
      <c r="AD24" s="38">
        <f t="shared" si="16"/>
        <v>22</v>
      </c>
      <c r="AE24" s="231" t="s">
        <v>478</v>
      </c>
      <c r="AF24" s="34"/>
      <c r="AG24" s="34"/>
      <c r="AH24" s="34">
        <v>22</v>
      </c>
      <c r="AJ24" s="38"/>
      <c r="AK24" s="38"/>
      <c r="AL24" s="38"/>
      <c r="AM24" s="38">
        <f t="shared" si="17"/>
        <v>22</v>
      </c>
      <c r="AN24" s="38"/>
      <c r="AO24" s="38"/>
      <c r="AP24" s="38"/>
      <c r="AQ24" s="38"/>
      <c r="AR24" s="38">
        <f t="shared" si="18"/>
        <v>0</v>
      </c>
      <c r="AS24" s="38"/>
      <c r="AT24" s="38"/>
      <c r="AU24" s="38"/>
      <c r="AV24" s="38"/>
      <c r="AW24" s="38"/>
      <c r="AX24" s="38"/>
      <c r="AY24" s="38"/>
      <c r="AZ24" s="38"/>
      <c r="BA24" s="38">
        <f t="shared" si="19"/>
        <v>0</v>
      </c>
      <c r="BB24" s="34"/>
      <c r="BC24" s="502"/>
      <c r="BD24" s="502"/>
      <c r="BE24" s="34"/>
      <c r="BF24" s="502"/>
    </row>
    <row r="25" spans="1:58" ht="12.95" customHeight="1">
      <c r="A25" s="41"/>
      <c r="B25" s="42"/>
      <c r="C25" s="443"/>
      <c r="D25" s="42"/>
      <c r="E25" s="43"/>
      <c r="F25" s="43"/>
      <c r="G25" s="44"/>
      <c r="H25" s="45"/>
      <c r="I25" s="46"/>
      <c r="J25" s="83"/>
      <c r="K25" s="83"/>
      <c r="L25" s="36"/>
      <c r="M25" s="36"/>
      <c r="N25" s="47"/>
      <c r="O25" s="48"/>
      <c r="P25" s="49"/>
      <c r="Q25" s="35"/>
      <c r="R25" s="499"/>
      <c r="S25" s="499"/>
      <c r="T25" s="38"/>
      <c r="U25" s="38"/>
      <c r="V25" s="38"/>
      <c r="W25" s="38"/>
      <c r="X25" s="39"/>
      <c r="Y25" s="212"/>
      <c r="Z25" s="38"/>
      <c r="AA25" s="38"/>
      <c r="AB25" s="38"/>
      <c r="AC25" s="38"/>
      <c r="AD25" s="38">
        <f t="shared" si="16"/>
        <v>23</v>
      </c>
      <c r="AE25" s="234" t="s">
        <v>228</v>
      </c>
      <c r="AF25" s="38"/>
      <c r="AG25" s="38"/>
      <c r="AH25" s="38"/>
      <c r="AI25" s="501">
        <v>23</v>
      </c>
      <c r="AJ25" s="38"/>
      <c r="AK25" s="38"/>
      <c r="AL25" s="38"/>
      <c r="AM25" s="38">
        <f t="shared" si="17"/>
        <v>23</v>
      </c>
      <c r="AN25" s="38"/>
      <c r="AO25" s="38"/>
      <c r="AP25" s="38"/>
      <c r="AQ25" s="38"/>
      <c r="AR25" s="38">
        <f t="shared" si="18"/>
        <v>0</v>
      </c>
      <c r="AS25" s="38"/>
      <c r="AT25" s="38"/>
      <c r="AU25" s="38"/>
      <c r="AV25" s="38"/>
      <c r="AW25" s="38"/>
      <c r="AX25" s="38"/>
      <c r="AY25" s="38"/>
      <c r="AZ25" s="38"/>
      <c r="BA25" s="38">
        <f t="shared" si="19"/>
        <v>0</v>
      </c>
      <c r="BB25" s="51"/>
      <c r="BC25" s="52"/>
      <c r="BD25" s="52"/>
      <c r="BE25" s="51"/>
      <c r="BF25" s="52"/>
    </row>
    <row r="26" spans="1:58" ht="12.95" customHeight="1">
      <c r="A26" s="41"/>
      <c r="B26" s="42"/>
      <c r="C26" s="443"/>
      <c r="D26" s="42"/>
      <c r="E26" s="43"/>
      <c r="F26" s="43"/>
      <c r="G26" s="44"/>
      <c r="H26" s="597"/>
      <c r="I26" s="46"/>
      <c r="J26" s="83"/>
      <c r="K26" s="83"/>
      <c r="L26" s="598"/>
      <c r="M26" s="598"/>
      <c r="N26" s="47"/>
      <c r="O26" s="48"/>
      <c r="P26" s="49"/>
      <c r="Q26" s="48"/>
      <c r="R26" s="499"/>
      <c r="S26" s="499"/>
      <c r="T26" s="38"/>
      <c r="U26" s="38"/>
      <c r="V26" s="38"/>
      <c r="W26" s="38"/>
      <c r="X26" s="39"/>
      <c r="Y26" s="212"/>
      <c r="Z26" s="38"/>
      <c r="AA26" s="38"/>
      <c r="AB26" s="38"/>
      <c r="AC26" s="38"/>
      <c r="AD26" s="38"/>
      <c r="AE26" s="231"/>
      <c r="AF26" s="34"/>
      <c r="AG26" s="34"/>
      <c r="AH26" s="34"/>
      <c r="AJ26" s="38"/>
      <c r="AK26" s="38"/>
      <c r="AL26" s="38"/>
      <c r="AM26" s="38"/>
      <c r="AN26" s="38"/>
      <c r="AO26" s="38"/>
      <c r="AP26" s="38"/>
      <c r="AQ26" s="38"/>
      <c r="AR26" s="38"/>
      <c r="AS26" s="38"/>
      <c r="AT26" s="38"/>
      <c r="AU26" s="38"/>
      <c r="AV26" s="38"/>
      <c r="AW26" s="38"/>
      <c r="AX26" s="38"/>
      <c r="AY26" s="38"/>
      <c r="AZ26" s="38"/>
      <c r="BA26" s="38"/>
      <c r="BB26" s="34"/>
      <c r="BC26" s="502"/>
      <c r="BD26" s="52"/>
      <c r="BE26" s="34"/>
      <c r="BF26" s="52"/>
    </row>
    <row r="27" spans="1:58" ht="12.75" customHeight="1">
      <c r="A27" s="41">
        <v>45966</v>
      </c>
      <c r="B27" s="42" t="s">
        <v>431</v>
      </c>
      <c r="C27" s="443">
        <f>(M27*E27*O27*Q27)/100000000</f>
        <v>0.6721822799999998</v>
      </c>
      <c r="D27" s="42" t="s">
        <v>434</v>
      </c>
      <c r="E27" s="43">
        <v>15</v>
      </c>
      <c r="F27" s="43">
        <v>1</v>
      </c>
      <c r="G27" s="498">
        <v>1210</v>
      </c>
      <c r="H27" s="597">
        <f>+N27</f>
        <v>0.23000000000000009</v>
      </c>
      <c r="I27" s="46">
        <v>0.88</v>
      </c>
      <c r="J27" s="83">
        <f>E27*G27*(1-H27)*1440/1000000*2.74</f>
        <v>55.141732799999993</v>
      </c>
      <c r="K27" s="83">
        <f t="shared" ref="K27:K30" si="20">(IF(G27&lt;L27,L27,G27)*(1-IF(H27&lt;N27,H27,N27))*E27*O27*Q27)/100000000</f>
        <v>0.68927165999999984</v>
      </c>
      <c r="L27" s="598">
        <v>1180</v>
      </c>
      <c r="M27" s="598">
        <v>908.59999999999991</v>
      </c>
      <c r="N27" s="47">
        <f>1-(M27/L27)</f>
        <v>0.23000000000000009</v>
      </c>
      <c r="O27" s="48">
        <f>+'Trim Rwd'!H16</f>
        <v>274</v>
      </c>
      <c r="P27" s="49">
        <f>O27*(Q27-R27-S27)</f>
        <v>4110</v>
      </c>
      <c r="Q27" s="48">
        <v>18</v>
      </c>
      <c r="R27" s="499">
        <v>0</v>
      </c>
      <c r="S27" s="499">
        <v>3</v>
      </c>
      <c r="T27" s="38">
        <f>E27*M27*O27*Q27/100000000</f>
        <v>0.6721822799999998</v>
      </c>
      <c r="U27" s="38">
        <f>E27*M27*O27*(Q27-R27-S27)/100000000</f>
        <v>0.56015189999999992</v>
      </c>
      <c r="V27" s="38">
        <f>E27*G27*(1-N27)*O27/100*(R27+S27)/1000000</f>
        <v>0.11487860999999999</v>
      </c>
      <c r="W27" s="38">
        <f>+'5'!K9/1000</f>
        <v>5.7329999999999997</v>
      </c>
      <c r="X27" s="500">
        <f>SUM(W27:W30)/SUM(K27:K30)</f>
        <v>0.54867609079830204</v>
      </c>
      <c r="Y27" s="212">
        <v>0</v>
      </c>
      <c r="Z27" s="38">
        <v>0</v>
      </c>
      <c r="AA27" s="50">
        <f>SUM(U27:U30)-SUM(W27:W30)-SUM(Z27:Z30)-SUM(Y27:Y30)</f>
        <v>-1.9218617832841924</v>
      </c>
      <c r="AB27" s="50">
        <f>(SUM(K27:K30)-SUM(W27:W30)-SUM(Y27:Y30)-SUM(Z27:Z30)-SUM(AC27:AC30)-SUM(V27:V30))-AA27</f>
        <v>-1.8712633305091271</v>
      </c>
      <c r="AC27" s="38">
        <f>K27-T27</f>
        <v>1.7089380000000043E-2</v>
      </c>
      <c r="AD27" s="38">
        <f>+AM27+BA27</f>
        <v>0</v>
      </c>
      <c r="AE27" s="231" t="s">
        <v>390</v>
      </c>
      <c r="AF27" s="38">
        <v>0</v>
      </c>
      <c r="AG27" s="38"/>
      <c r="AH27" s="38"/>
      <c r="AI27" s="501"/>
      <c r="AJ27" s="38"/>
      <c r="AK27" s="38"/>
      <c r="AL27" s="38"/>
      <c r="AM27" s="38">
        <f>SUM(AF27:AL27)+AT27</f>
        <v>0</v>
      </c>
      <c r="AN27" s="38"/>
      <c r="AO27" s="38"/>
      <c r="AP27" s="38"/>
      <c r="AQ27" s="38"/>
      <c r="AR27" s="38">
        <f>SUM(AN27:AQ27)</f>
        <v>0</v>
      </c>
      <c r="AS27" s="38"/>
      <c r="AT27" s="38"/>
      <c r="AU27" s="38"/>
      <c r="AV27" s="38"/>
      <c r="AW27" s="38"/>
      <c r="AX27" s="38"/>
      <c r="AY27" s="38"/>
      <c r="AZ27" s="38"/>
      <c r="BA27" s="38">
        <f>+AR27+AS27+AU27+AV27+AX27</f>
        <v>0</v>
      </c>
      <c r="BB27" s="34">
        <v>0</v>
      </c>
      <c r="BC27" s="52"/>
      <c r="BD27" s="52"/>
      <c r="BE27" s="34"/>
      <c r="BF27" s="52">
        <v>1</v>
      </c>
    </row>
    <row r="28" spans="1:58" ht="12.95" customHeight="1">
      <c r="A28" s="41"/>
      <c r="B28" s="42" t="s">
        <v>431</v>
      </c>
      <c r="C28" s="443">
        <f>(M28*E28*O28*Q28)/100000000</f>
        <v>15.724793007000001</v>
      </c>
      <c r="D28" s="42" t="s">
        <v>434</v>
      </c>
      <c r="E28" s="43">
        <v>13.5</v>
      </c>
      <c r="F28" s="43">
        <v>1</v>
      </c>
      <c r="G28" s="498">
        <v>1345</v>
      </c>
      <c r="H28" s="597">
        <f>+N28</f>
        <v>0.22999999999999998</v>
      </c>
      <c r="I28" s="46">
        <v>0.88</v>
      </c>
      <c r="J28" s="83">
        <f>E28*G28*(1-H28)*1440/1000000*2.74</f>
        <v>55.164518640000004</v>
      </c>
      <c r="K28" s="83">
        <f t="shared" si="20"/>
        <v>17.698616397000002</v>
      </c>
      <c r="L28" s="598">
        <v>1195</v>
      </c>
      <c r="M28" s="598">
        <v>920.15</v>
      </c>
      <c r="N28" s="47">
        <f>1-(M28/L28)</f>
        <v>0.22999999999999998</v>
      </c>
      <c r="O28" s="48">
        <f>+'Trim Rwd'!H17</f>
        <v>274</v>
      </c>
      <c r="P28" s="49">
        <f>O28*(Q28-R28-S28)</f>
        <v>9042</v>
      </c>
      <c r="Q28" s="48">
        <f>47+415</f>
        <v>462</v>
      </c>
      <c r="R28" s="499">
        <v>415</v>
      </c>
      <c r="S28" s="499">
        <v>14</v>
      </c>
      <c r="T28" s="38">
        <f>E28*M28*O28*Q28/100000000</f>
        <v>15.724793007000001</v>
      </c>
      <c r="U28" s="38">
        <f>E28*M28*O28*(Q28-R28-S28)/100000000</f>
        <v>1.1231995004999999</v>
      </c>
      <c r="V28" s="38">
        <f>E28*G28*(1-N28)*O28/100*(R28+S28)/1000000</f>
        <v>16.434429511499999</v>
      </c>
      <c r="W28" s="38">
        <f>+'5'!K7/1000</f>
        <v>1.254</v>
      </c>
      <c r="X28" s="39"/>
      <c r="Y28" s="212"/>
      <c r="Z28" s="38"/>
      <c r="AA28" s="38"/>
      <c r="AB28" s="38"/>
      <c r="AC28" s="38">
        <f>K28-T28</f>
        <v>1.9738233900000015</v>
      </c>
      <c r="AD28" s="38">
        <f t="shared" ref="AD28:AD31" si="21">+AM28+BA28</f>
        <v>7</v>
      </c>
      <c r="AE28" s="231" t="s">
        <v>398</v>
      </c>
      <c r="AF28" s="38"/>
      <c r="AG28" s="38">
        <v>7</v>
      </c>
      <c r="AH28" s="38"/>
      <c r="AI28" s="501"/>
      <c r="AJ28" s="38"/>
      <c r="AK28" s="38"/>
      <c r="AL28" s="38"/>
      <c r="AM28" s="38">
        <f t="shared" ref="AM28:AM31" si="22">SUM(AF28:AL28)+AT28</f>
        <v>7</v>
      </c>
      <c r="AN28" s="84"/>
      <c r="AO28" s="38"/>
      <c r="AP28" s="38"/>
      <c r="AQ28" s="38"/>
      <c r="AR28" s="38">
        <f t="shared" ref="AR28:AR31" si="23">SUM(AN28:AQ28)</f>
        <v>0</v>
      </c>
      <c r="AS28" s="38"/>
      <c r="AT28" s="38"/>
      <c r="AU28" s="38"/>
      <c r="AV28" s="38"/>
      <c r="AW28" s="38"/>
      <c r="AX28" s="38"/>
      <c r="AY28" s="38"/>
      <c r="AZ28" s="38"/>
      <c r="BA28" s="38">
        <f t="shared" ref="BA28:BA31" si="24">+AR28+AS28+AU28+AV28+AX28</f>
        <v>0</v>
      </c>
      <c r="BB28" s="51"/>
      <c r="BC28" s="52">
        <v>6</v>
      </c>
      <c r="BD28" s="52"/>
      <c r="BE28" s="51"/>
      <c r="BF28" s="52"/>
    </row>
    <row r="29" spans="1:58" ht="12.95" customHeight="1">
      <c r="A29" s="41"/>
      <c r="B29" s="42" t="s">
        <v>497</v>
      </c>
      <c r="C29" s="443">
        <f t="shared" ref="C29:C30" si="25">(M29*E29*O29*Q29)/100000000</f>
        <v>30.237392618206687</v>
      </c>
      <c r="D29" s="42" t="s">
        <v>434</v>
      </c>
      <c r="E29" s="43">
        <v>29</v>
      </c>
      <c r="F29" s="43">
        <v>1</v>
      </c>
      <c r="G29" s="498">
        <v>565</v>
      </c>
      <c r="H29" s="597">
        <f>+N29</f>
        <v>0.15000000000000002</v>
      </c>
      <c r="I29" s="46">
        <v>0.88</v>
      </c>
      <c r="J29" s="83">
        <f t="shared" ref="J29:J30" si="26">E29*G29*(1-H29)*1440/1000000*2.74</f>
        <v>54.951357600000009</v>
      </c>
      <c r="K29" s="83">
        <f t="shared" si="20"/>
        <v>30.436333605000002</v>
      </c>
      <c r="L29" s="598">
        <v>561.306990881459</v>
      </c>
      <c r="M29" s="598">
        <v>477.11094224924011</v>
      </c>
      <c r="N29" s="47">
        <f t="shared" ref="N29:N30" si="27">1-(M29/L29)</f>
        <v>0.15000000000000002</v>
      </c>
      <c r="O29" s="48">
        <f>+'Trim Rwd'!H18</f>
        <v>256.5</v>
      </c>
      <c r="P29" s="49">
        <f t="shared" ref="P29:P30" si="28">O29*(Q29-R29-S29)</f>
        <v>163647</v>
      </c>
      <c r="Q29" s="48">
        <f>658+194</f>
        <v>852</v>
      </c>
      <c r="R29" s="499">
        <v>194</v>
      </c>
      <c r="S29" s="499">
        <v>20</v>
      </c>
      <c r="T29" s="38">
        <f t="shared" ref="T29:T30" si="29">E29*M29*O29*Q29/100000000</f>
        <v>30.237392618206687</v>
      </c>
      <c r="U29" s="38">
        <f t="shared" ref="U29:U30" si="30">E29*M29*O29*(Q29-R29-S29)/100000000</f>
        <v>22.642554566215807</v>
      </c>
      <c r="V29" s="38">
        <f t="shared" ref="V29:V30" si="31">E29*G29*(1-N29)*O29/100*(R29+S29)/1000000</f>
        <v>7.6448067974999994</v>
      </c>
      <c r="W29" s="38">
        <f>+'5'!K10/1000</f>
        <v>21.998000000000001</v>
      </c>
      <c r="X29" s="39"/>
      <c r="Y29" s="212"/>
      <c r="Z29" s="38">
        <f>+'5'!D25/1000</f>
        <v>0.85799999999999998</v>
      </c>
      <c r="AA29" s="38"/>
      <c r="AB29" s="38"/>
      <c r="AC29" s="38">
        <f>K29-T29</f>
        <v>0.19894098679331407</v>
      </c>
      <c r="AD29" s="38">
        <f t="shared" si="21"/>
        <v>18</v>
      </c>
      <c r="AE29" s="231" t="s">
        <v>499</v>
      </c>
      <c r="AF29" s="34"/>
      <c r="AG29" s="34"/>
      <c r="AH29" s="34">
        <v>18</v>
      </c>
      <c r="AJ29" s="38"/>
      <c r="AK29" s="38"/>
      <c r="AL29" s="38"/>
      <c r="AM29" s="38">
        <f t="shared" si="22"/>
        <v>18</v>
      </c>
      <c r="AN29" s="38"/>
      <c r="AO29" s="38"/>
      <c r="AP29" s="38"/>
      <c r="AQ29" s="38"/>
      <c r="AR29" s="38">
        <f t="shared" si="23"/>
        <v>0</v>
      </c>
      <c r="AS29" s="38"/>
      <c r="AT29" s="38"/>
      <c r="AU29" s="38"/>
      <c r="AV29" s="38"/>
      <c r="AW29" s="38"/>
      <c r="AX29" s="38"/>
      <c r="AY29" s="38"/>
      <c r="AZ29" s="38"/>
      <c r="BA29" s="38">
        <f t="shared" si="24"/>
        <v>0</v>
      </c>
      <c r="BB29" s="34"/>
      <c r="BC29" s="502"/>
      <c r="BD29" s="502"/>
      <c r="BE29" s="34"/>
      <c r="BF29" s="502"/>
    </row>
    <row r="30" spans="1:58" ht="12.95" customHeight="1">
      <c r="A30" s="41"/>
      <c r="B30" s="42" t="s">
        <v>497</v>
      </c>
      <c r="C30" s="443">
        <f t="shared" si="25"/>
        <v>4.0029389999999996</v>
      </c>
      <c r="D30" s="42" t="s">
        <v>434</v>
      </c>
      <c r="E30" s="43">
        <v>20</v>
      </c>
      <c r="F30" s="43">
        <v>1</v>
      </c>
      <c r="G30" s="498">
        <v>820</v>
      </c>
      <c r="H30" s="597">
        <f t="shared" ref="H30" si="32">+N30</f>
        <v>0.15000000000000002</v>
      </c>
      <c r="I30" s="46">
        <v>0.88</v>
      </c>
      <c r="J30" s="83">
        <f t="shared" si="26"/>
        <v>55.001663999999998</v>
      </c>
      <c r="K30" s="83">
        <f t="shared" si="20"/>
        <v>4.0029389999999996</v>
      </c>
      <c r="L30" s="598">
        <v>850</v>
      </c>
      <c r="M30" s="598">
        <v>722.5</v>
      </c>
      <c r="N30" s="47">
        <f t="shared" si="27"/>
        <v>0.15000000000000002</v>
      </c>
      <c r="O30" s="48">
        <f>+'Trim Rwd'!H19</f>
        <v>256.5</v>
      </c>
      <c r="P30" s="49">
        <f t="shared" si="28"/>
        <v>24880.5</v>
      </c>
      <c r="Q30" s="48">
        <v>108</v>
      </c>
      <c r="R30" s="499">
        <v>0</v>
      </c>
      <c r="S30" s="499">
        <f>48-S27-S28-S29</f>
        <v>11</v>
      </c>
      <c r="T30" s="38">
        <f t="shared" si="29"/>
        <v>4.0029389999999996</v>
      </c>
      <c r="U30" s="38">
        <f t="shared" si="30"/>
        <v>3.59523225</v>
      </c>
      <c r="V30" s="38">
        <f t="shared" si="31"/>
        <v>0.39331709999999998</v>
      </c>
      <c r="W30" s="38">
        <f>+'4'!K16/1000</f>
        <v>0</v>
      </c>
      <c r="X30" s="39"/>
      <c r="Y30" s="212"/>
      <c r="Z30" s="38"/>
      <c r="AA30" s="38"/>
      <c r="AB30" s="38"/>
      <c r="AC30" s="38">
        <f>K30-T30</f>
        <v>0</v>
      </c>
      <c r="AD30" s="38">
        <f t="shared" si="21"/>
        <v>23</v>
      </c>
      <c r="AE30" s="234" t="s">
        <v>228</v>
      </c>
      <c r="AF30" s="38"/>
      <c r="AG30" s="38"/>
      <c r="AH30" s="38"/>
      <c r="AI30" s="501">
        <v>23</v>
      </c>
      <c r="AJ30" s="38"/>
      <c r="AK30" s="38"/>
      <c r="AL30" s="38"/>
      <c r="AM30" s="38">
        <f t="shared" si="22"/>
        <v>23</v>
      </c>
      <c r="AN30" s="38"/>
      <c r="AO30" s="38"/>
      <c r="AP30" s="38"/>
      <c r="AQ30" s="38"/>
      <c r="AR30" s="38">
        <f t="shared" si="23"/>
        <v>0</v>
      </c>
      <c r="AS30" s="38"/>
      <c r="AT30" s="38"/>
      <c r="AU30" s="38"/>
      <c r="AV30" s="38"/>
      <c r="AW30" s="38"/>
      <c r="AX30" s="38"/>
      <c r="AY30" s="38"/>
      <c r="AZ30" s="38"/>
      <c r="BA30" s="38">
        <f t="shared" si="24"/>
        <v>0</v>
      </c>
      <c r="BB30" s="51"/>
      <c r="BC30" s="52"/>
      <c r="BD30" s="52"/>
      <c r="BE30" s="51"/>
      <c r="BF30" s="52"/>
    </row>
    <row r="31" spans="1:58" ht="12.95" customHeight="1">
      <c r="A31" s="41"/>
      <c r="B31" s="42"/>
      <c r="C31" s="443"/>
      <c r="D31" s="42"/>
      <c r="E31" s="43"/>
      <c r="F31" s="43"/>
      <c r="G31" s="498"/>
      <c r="H31" s="597"/>
      <c r="I31" s="46"/>
      <c r="J31" s="83"/>
      <c r="K31" s="83"/>
      <c r="L31" s="598"/>
      <c r="M31" s="598"/>
      <c r="N31" s="47"/>
      <c r="O31" s="48"/>
      <c r="P31" s="49"/>
      <c r="Q31" s="48"/>
      <c r="R31" s="499"/>
      <c r="S31" s="499"/>
      <c r="T31" s="38"/>
      <c r="U31" s="38"/>
      <c r="V31" s="38"/>
      <c r="W31" s="38"/>
      <c r="X31" s="500"/>
      <c r="Y31" s="212"/>
      <c r="Z31" s="38"/>
      <c r="AA31" s="50"/>
      <c r="AB31" s="50"/>
      <c r="AC31" s="38"/>
      <c r="AD31" s="38">
        <f t="shared" si="21"/>
        <v>609</v>
      </c>
      <c r="AE31" s="234" t="s">
        <v>498</v>
      </c>
      <c r="AF31" s="38"/>
      <c r="AG31" s="38"/>
      <c r="AH31" s="38"/>
      <c r="AI31" s="501"/>
      <c r="AJ31" s="38"/>
      <c r="AK31" s="38"/>
      <c r="AL31" s="38"/>
      <c r="AM31" s="38">
        <f t="shared" si="22"/>
        <v>0</v>
      </c>
      <c r="AN31" s="38"/>
      <c r="AO31" s="38"/>
      <c r="AP31" s="38"/>
      <c r="AQ31" s="38"/>
      <c r="AR31" s="38">
        <f t="shared" si="23"/>
        <v>0</v>
      </c>
      <c r="AS31" s="38">
        <v>609</v>
      </c>
      <c r="AT31" s="38"/>
      <c r="AU31" s="38"/>
      <c r="AV31" s="38"/>
      <c r="AW31" s="38"/>
      <c r="AX31" s="38"/>
      <c r="AY31" s="38"/>
      <c r="AZ31" s="38"/>
      <c r="BA31" s="38">
        <f t="shared" si="24"/>
        <v>609</v>
      </c>
      <c r="BB31" s="34"/>
      <c r="BC31" s="52"/>
      <c r="BD31" s="52"/>
      <c r="BE31" s="34"/>
      <c r="BF31" s="52"/>
    </row>
    <row r="32" spans="1:58" ht="12.95" customHeight="1">
      <c r="A32" s="41"/>
      <c r="B32" s="42"/>
      <c r="C32" s="443"/>
      <c r="D32" s="42"/>
      <c r="E32" s="43"/>
      <c r="F32" s="43"/>
      <c r="G32" s="44"/>
      <c r="H32" s="597"/>
      <c r="I32" s="46"/>
      <c r="J32" s="83"/>
      <c r="K32" s="83"/>
      <c r="L32" s="598"/>
      <c r="M32" s="598"/>
      <c r="N32" s="47"/>
      <c r="O32" s="48"/>
      <c r="P32" s="49"/>
      <c r="Q32" s="48"/>
      <c r="R32" s="499"/>
      <c r="S32" s="499"/>
      <c r="T32" s="38"/>
      <c r="U32" s="38"/>
      <c r="V32" s="38"/>
      <c r="W32" s="38"/>
      <c r="X32" s="39"/>
      <c r="Y32" s="212"/>
      <c r="Z32" s="38"/>
      <c r="AA32" s="38"/>
      <c r="AB32" s="38"/>
      <c r="AC32" s="38"/>
      <c r="AD32" s="38"/>
      <c r="AE32" s="231"/>
      <c r="AF32" s="34"/>
      <c r="AG32" s="34"/>
      <c r="AH32" s="34"/>
      <c r="AJ32" s="38"/>
      <c r="AK32" s="38"/>
      <c r="AL32" s="38"/>
      <c r="AM32" s="38"/>
      <c r="AN32" s="38"/>
      <c r="AO32" s="38"/>
      <c r="AP32" s="38"/>
      <c r="AQ32" s="38"/>
      <c r="AR32" s="38"/>
      <c r="AS32" s="38"/>
      <c r="AT32" s="38"/>
      <c r="AU32" s="38"/>
      <c r="AV32" s="38"/>
      <c r="AW32" s="38"/>
      <c r="AX32" s="38"/>
      <c r="AY32" s="38"/>
      <c r="AZ32" s="38"/>
      <c r="BA32" s="38"/>
      <c r="BB32" s="34"/>
      <c r="BC32" s="502"/>
      <c r="BD32" s="52"/>
      <c r="BE32" s="52"/>
      <c r="BF32" s="52"/>
    </row>
    <row r="33" spans="1:58" ht="12.95" customHeight="1">
      <c r="A33" s="41">
        <v>45967</v>
      </c>
      <c r="B33" s="42" t="s">
        <v>497</v>
      </c>
      <c r="C33" s="443">
        <f t="shared" ref="C33" si="33">(M33*E33*O33*Q33)/100000000</f>
        <v>55.83205384615384</v>
      </c>
      <c r="D33" s="42" t="s">
        <v>434</v>
      </c>
      <c r="E33" s="43">
        <v>20</v>
      </c>
      <c r="F33" s="43">
        <v>1</v>
      </c>
      <c r="G33" s="498">
        <v>820</v>
      </c>
      <c r="H33" s="45">
        <f t="shared" ref="H33" si="34">+N33</f>
        <v>0.15000000000000002</v>
      </c>
      <c r="I33" s="46">
        <v>0.88</v>
      </c>
      <c r="J33" s="83">
        <f t="shared" ref="J33" si="35">E33*G33*(1-H33)*1440/1000000*2.74</f>
        <v>55.001663999999998</v>
      </c>
      <c r="K33" s="83">
        <f t="shared" ref="K33" si="36">(IF(G33&lt;L33,L33,G33)*(1-IF(H33&lt;N33,H33,N33))*E33*O33*Q33)/100000000</f>
        <v>55.83205384615384</v>
      </c>
      <c r="L33" s="36">
        <v>875</v>
      </c>
      <c r="M33" s="36">
        <v>743.75</v>
      </c>
      <c r="N33" s="47">
        <f t="shared" ref="N33" si="37">1-(M33/L33)</f>
        <v>0.15000000000000002</v>
      </c>
      <c r="O33" s="48">
        <f>+'Trim Rwd'!H21</f>
        <v>260.65384615384613</v>
      </c>
      <c r="P33" s="49">
        <f t="shared" ref="P33" si="38">O33*(Q33-R33-S33)</f>
        <v>365436.69230769225</v>
      </c>
      <c r="Q33" s="48">
        <v>1440</v>
      </c>
      <c r="R33" s="499">
        <v>0</v>
      </c>
      <c r="S33" s="499">
        <v>38</v>
      </c>
      <c r="T33" s="38">
        <f t="shared" ref="T33" si="39">E33*M33*O33*Q33/100000000</f>
        <v>55.83205384615384</v>
      </c>
      <c r="U33" s="38">
        <f t="shared" ref="U33" si="40">E33*M33*O33*(Q33-R33-S33)/100000000</f>
        <v>54.358707980769225</v>
      </c>
      <c r="V33" s="38">
        <f t="shared" ref="V33" si="41">E33*G33*(1-N33)*O33/100*(R33+S33)/1000000</f>
        <v>1.3807355538461537</v>
      </c>
      <c r="W33" s="38">
        <f>+'6'!K11/1000</f>
        <v>56.119</v>
      </c>
      <c r="X33" s="500">
        <f>SUM(W33:W36)/SUM(K33:K36)</f>
        <v>1.005139451875384</v>
      </c>
      <c r="Y33" s="212">
        <v>0</v>
      </c>
      <c r="Z33" s="38">
        <v>0</v>
      </c>
      <c r="AA33" s="50">
        <f>SUM(U33:U36)-SUM(W33:W36)-SUM(Z33:Z36)-SUM(Y33:Y36)</f>
        <v>-1.7602920192307749</v>
      </c>
      <c r="AB33" s="50">
        <f>(SUM(K33:K36)-SUM(W33:W36)-SUM(Y33:Y36)-SUM(Z33:Z36)-SUM(AC33:AC36)-SUM(V33:V36))-AA33</f>
        <v>9.2610311538461998E-2</v>
      </c>
      <c r="AC33" s="38">
        <f>K33-T33</f>
        <v>0</v>
      </c>
      <c r="AD33" s="38">
        <f>+AM33+BA33</f>
        <v>0</v>
      </c>
      <c r="AE33" s="231" t="s">
        <v>390</v>
      </c>
      <c r="AF33" s="38">
        <v>0</v>
      </c>
      <c r="AG33" s="38"/>
      <c r="AH33" s="38"/>
      <c r="AI33" s="501"/>
      <c r="AJ33" s="38"/>
      <c r="AK33" s="38"/>
      <c r="AL33" s="38"/>
      <c r="AM33" s="38">
        <f>SUM(AF33:AL33)+AT33</f>
        <v>0</v>
      </c>
      <c r="AN33" s="38"/>
      <c r="AO33" s="38"/>
      <c r="AP33" s="38"/>
      <c r="AQ33" s="38"/>
      <c r="AR33" s="38">
        <f>SUM(AN33:AQ33)</f>
        <v>0</v>
      </c>
      <c r="AS33" s="38"/>
      <c r="AT33" s="38"/>
      <c r="AU33" s="38"/>
      <c r="AV33" s="38"/>
      <c r="AW33" s="38"/>
      <c r="AX33" s="38"/>
      <c r="AY33" s="38"/>
      <c r="AZ33" s="38"/>
      <c r="BA33" s="38">
        <f>+AR33+AS33+AU33+AV33+AX33</f>
        <v>0</v>
      </c>
      <c r="BB33" s="34">
        <v>0</v>
      </c>
      <c r="BC33" s="52"/>
      <c r="BD33" s="52"/>
      <c r="BE33" s="34"/>
      <c r="BF33" s="52"/>
    </row>
    <row r="34" spans="1:58" ht="12.95" customHeight="1">
      <c r="A34" s="41"/>
      <c r="B34" s="42"/>
      <c r="C34" s="443"/>
      <c r="D34" s="42"/>
      <c r="E34" s="43"/>
      <c r="F34" s="43"/>
      <c r="G34" s="498"/>
      <c r="H34" s="45"/>
      <c r="I34" s="46"/>
      <c r="J34" s="83"/>
      <c r="K34" s="83"/>
      <c r="L34" s="36"/>
      <c r="M34" s="36"/>
      <c r="N34" s="47"/>
      <c r="O34" s="48"/>
      <c r="P34" s="49"/>
      <c r="Q34" s="48"/>
      <c r="R34" s="499"/>
      <c r="S34" s="499"/>
      <c r="T34" s="38"/>
      <c r="U34" s="38"/>
      <c r="V34" s="38"/>
      <c r="W34" s="38"/>
      <c r="X34" s="39"/>
      <c r="Y34" s="212"/>
      <c r="Z34" s="38"/>
      <c r="AA34" s="38"/>
      <c r="AB34" s="38"/>
      <c r="AC34" s="38">
        <f>K34-T34</f>
        <v>0</v>
      </c>
      <c r="AD34" s="38">
        <f t="shared" ref="AD34:AD36" si="42">+AM34+BA34</f>
        <v>7</v>
      </c>
      <c r="AE34" s="231" t="s">
        <v>398</v>
      </c>
      <c r="AF34" s="38"/>
      <c r="AG34" s="38">
        <v>7</v>
      </c>
      <c r="AH34" s="38"/>
      <c r="AI34" s="501"/>
      <c r="AJ34" s="38"/>
      <c r="AK34" s="38"/>
      <c r="AL34" s="38"/>
      <c r="AM34" s="38">
        <f t="shared" ref="AM34:AM36" si="43">SUM(AF34:AL34)+AT34</f>
        <v>7</v>
      </c>
      <c r="AN34" s="84"/>
      <c r="AO34" s="38"/>
      <c r="AP34" s="38"/>
      <c r="AQ34" s="38"/>
      <c r="AR34" s="38">
        <f t="shared" ref="AR34:AR36" si="44">SUM(AN34:AQ34)</f>
        <v>0</v>
      </c>
      <c r="AS34" s="38"/>
      <c r="AT34" s="38"/>
      <c r="AU34" s="38"/>
      <c r="AV34" s="38"/>
      <c r="AW34" s="38"/>
      <c r="AX34" s="38"/>
      <c r="AY34" s="38"/>
      <c r="AZ34" s="38"/>
      <c r="BA34" s="38">
        <f t="shared" ref="BA34:BA36" si="45">+AR34+AS34+AU34+AV34+AX34</f>
        <v>0</v>
      </c>
      <c r="BB34" s="51"/>
      <c r="BC34" s="52">
        <v>6</v>
      </c>
      <c r="BD34" s="52"/>
      <c r="BE34" s="51"/>
      <c r="BF34" s="52"/>
    </row>
    <row r="35" spans="1:58" ht="12.95" customHeight="1">
      <c r="A35" s="41"/>
      <c r="B35" s="42"/>
      <c r="C35" s="443"/>
      <c r="D35" s="42"/>
      <c r="E35" s="43"/>
      <c r="F35" s="43"/>
      <c r="G35" s="44"/>
      <c r="H35" s="45"/>
      <c r="I35" s="46"/>
      <c r="J35" s="83"/>
      <c r="K35" s="83"/>
      <c r="L35" s="36"/>
      <c r="M35" s="36"/>
      <c r="N35" s="47"/>
      <c r="O35" s="48"/>
      <c r="P35" s="49"/>
      <c r="Q35" s="48"/>
      <c r="R35" s="499"/>
      <c r="S35" s="499"/>
      <c r="T35" s="38"/>
      <c r="U35" s="38"/>
      <c r="V35" s="38"/>
      <c r="W35" s="38"/>
      <c r="X35" s="39"/>
      <c r="Y35" s="212"/>
      <c r="Z35" s="38"/>
      <c r="AA35" s="38"/>
      <c r="AB35" s="38"/>
      <c r="AC35" s="38"/>
      <c r="AD35" s="38">
        <f t="shared" si="42"/>
        <v>13</v>
      </c>
      <c r="AE35" s="231" t="s">
        <v>513</v>
      </c>
      <c r="AF35" s="34"/>
      <c r="AG35" s="34"/>
      <c r="AH35" s="34">
        <v>13</v>
      </c>
      <c r="AJ35" s="38"/>
      <c r="AK35" s="38"/>
      <c r="AL35" s="38"/>
      <c r="AM35" s="38">
        <f t="shared" si="43"/>
        <v>13</v>
      </c>
      <c r="AN35" s="38"/>
      <c r="AO35" s="38"/>
      <c r="AP35" s="38"/>
      <c r="AQ35" s="38"/>
      <c r="AR35" s="38">
        <f t="shared" si="44"/>
        <v>0</v>
      </c>
      <c r="AS35" s="38"/>
      <c r="AT35" s="38"/>
      <c r="AU35" s="38"/>
      <c r="AV35" s="38"/>
      <c r="AW35" s="38"/>
      <c r="AX35" s="38"/>
      <c r="AY35" s="38"/>
      <c r="AZ35" s="38"/>
      <c r="BA35" s="38">
        <f t="shared" si="45"/>
        <v>0</v>
      </c>
      <c r="BB35" s="34"/>
      <c r="BC35" s="502"/>
      <c r="BD35" s="502"/>
      <c r="BE35" s="34"/>
      <c r="BF35" s="502"/>
    </row>
    <row r="36" spans="1:58" ht="12.95" customHeight="1">
      <c r="A36" s="41"/>
      <c r="B36" s="42"/>
      <c r="C36" s="443"/>
      <c r="D36" s="42"/>
      <c r="E36" s="43"/>
      <c r="F36" s="43"/>
      <c r="G36" s="44"/>
      <c r="H36" s="45"/>
      <c r="I36" s="46"/>
      <c r="J36" s="83"/>
      <c r="K36" s="83"/>
      <c r="L36" s="36"/>
      <c r="M36" s="36"/>
      <c r="N36" s="47"/>
      <c r="O36" s="48"/>
      <c r="P36" s="49"/>
      <c r="Q36" s="35"/>
      <c r="R36" s="499"/>
      <c r="S36" s="499"/>
      <c r="T36" s="38"/>
      <c r="U36" s="38"/>
      <c r="V36" s="38"/>
      <c r="W36" s="38"/>
      <c r="X36" s="39"/>
      <c r="Y36" s="212"/>
      <c r="Z36" s="38"/>
      <c r="AA36" s="38"/>
      <c r="AB36" s="38"/>
      <c r="AC36" s="38"/>
      <c r="AD36" s="38">
        <f t="shared" si="42"/>
        <v>18</v>
      </c>
      <c r="AE36" s="234" t="s">
        <v>228</v>
      </c>
      <c r="AF36" s="38"/>
      <c r="AG36" s="38"/>
      <c r="AH36" s="38"/>
      <c r="AI36" s="501">
        <v>18</v>
      </c>
      <c r="AJ36" s="38"/>
      <c r="AK36" s="38"/>
      <c r="AL36" s="38"/>
      <c r="AM36" s="38">
        <f t="shared" si="43"/>
        <v>18</v>
      </c>
      <c r="AN36" s="38"/>
      <c r="AO36" s="38"/>
      <c r="AP36" s="38"/>
      <c r="AQ36" s="38"/>
      <c r="AR36" s="38">
        <f t="shared" si="44"/>
        <v>0</v>
      </c>
      <c r="AS36" s="38"/>
      <c r="AT36" s="38"/>
      <c r="AU36" s="38"/>
      <c r="AV36" s="38"/>
      <c r="AW36" s="38"/>
      <c r="AX36" s="38"/>
      <c r="AY36" s="38"/>
      <c r="AZ36" s="38"/>
      <c r="BA36" s="38">
        <f t="shared" si="45"/>
        <v>0</v>
      </c>
      <c r="BB36" s="51"/>
      <c r="BC36" s="52"/>
      <c r="BD36" s="52"/>
      <c r="BE36" s="51"/>
      <c r="BF36" s="52"/>
    </row>
    <row r="37" spans="1:58" ht="12.95" customHeight="1">
      <c r="A37" s="41"/>
      <c r="B37" s="42"/>
      <c r="C37" s="443"/>
      <c r="D37" s="42"/>
      <c r="E37" s="43"/>
      <c r="F37" s="43"/>
      <c r="G37" s="498"/>
      <c r="H37" s="45"/>
      <c r="I37" s="46"/>
      <c r="J37" s="83"/>
      <c r="K37" s="83"/>
      <c r="L37" s="36"/>
      <c r="M37" s="36"/>
      <c r="N37" s="47"/>
      <c r="O37" s="48"/>
      <c r="P37" s="49"/>
      <c r="Q37" s="48"/>
      <c r="R37" s="499"/>
      <c r="S37" s="499"/>
      <c r="T37" s="38"/>
      <c r="U37" s="38"/>
      <c r="V37" s="38"/>
      <c r="W37" s="38"/>
      <c r="X37" s="39"/>
      <c r="Y37" s="212"/>
      <c r="Z37" s="38"/>
      <c r="AA37" s="38"/>
      <c r="AB37" s="38"/>
      <c r="AC37" s="38"/>
      <c r="AD37" s="38"/>
      <c r="AE37" s="231"/>
      <c r="AF37" s="38"/>
      <c r="AG37" s="38"/>
      <c r="AH37" s="38"/>
      <c r="AI37" s="501"/>
      <c r="AJ37" s="38"/>
      <c r="AK37" s="38"/>
      <c r="AL37" s="38"/>
      <c r="AM37" s="38"/>
      <c r="AN37" s="84"/>
      <c r="AO37" s="38"/>
      <c r="AP37" s="38"/>
      <c r="AQ37" s="38"/>
      <c r="AR37" s="38"/>
      <c r="AS37" s="38"/>
      <c r="AT37" s="38"/>
      <c r="AU37" s="38"/>
      <c r="AV37" s="38"/>
      <c r="AW37" s="38"/>
      <c r="AX37" s="38"/>
      <c r="AY37" s="38"/>
      <c r="AZ37" s="38"/>
      <c r="BA37" s="38"/>
      <c r="BB37" s="51"/>
      <c r="BC37" s="52"/>
      <c r="BD37" s="52"/>
      <c r="BE37" s="52"/>
      <c r="BF37" s="52"/>
    </row>
    <row r="38" spans="1:58" ht="12.95" customHeight="1">
      <c r="A38" s="41">
        <v>45968</v>
      </c>
      <c r="B38" s="42" t="s">
        <v>497</v>
      </c>
      <c r="C38" s="443">
        <f t="shared" ref="C38:C39" si="46">(M38*E38*O38*Q38)/100000000</f>
        <v>45.402903000000002</v>
      </c>
      <c r="D38" s="42" t="s">
        <v>434</v>
      </c>
      <c r="E38" s="43">
        <v>20</v>
      </c>
      <c r="F38" s="43">
        <v>1</v>
      </c>
      <c r="G38" s="498">
        <v>820</v>
      </c>
      <c r="H38" s="45">
        <f t="shared" ref="H38:H39" si="47">+N38</f>
        <v>0.15000000000000002</v>
      </c>
      <c r="I38" s="46">
        <v>0.88</v>
      </c>
      <c r="J38" s="83">
        <f t="shared" ref="J38:J39" si="48">E38*G38*(1-H38)*1440/1000000*2.74</f>
        <v>55.001663999999998</v>
      </c>
      <c r="K38" s="83">
        <f t="shared" ref="K38:K39" si="49">(IF(G38&lt;L38,L38,G38)*(1-IF(H38&lt;N38,H38,N38))*E38*O38*Q38)/100000000</f>
        <v>45.402903000000002</v>
      </c>
      <c r="L38" s="36">
        <v>910</v>
      </c>
      <c r="M38" s="36">
        <v>773.5</v>
      </c>
      <c r="N38" s="47">
        <f t="shared" ref="N38:N39" si="50">1-(M38/L38)</f>
        <v>0.15000000000000002</v>
      </c>
      <c r="O38" s="48">
        <f>+'Trim Rwd'!H24</f>
        <v>270</v>
      </c>
      <c r="P38" s="49">
        <f t="shared" ref="P38:P39" si="51">O38*(Q38-R38-S38)</f>
        <v>285930</v>
      </c>
      <c r="Q38" s="48">
        <v>1087</v>
      </c>
      <c r="R38" s="499">
        <v>0</v>
      </c>
      <c r="S38" s="499">
        <v>28</v>
      </c>
      <c r="T38" s="38">
        <f t="shared" ref="T38:T39" si="52">E38*M38*O38*Q38/100000000</f>
        <v>45.402903000000002</v>
      </c>
      <c r="U38" s="38">
        <f t="shared" ref="U38:U39" si="53">E38*M38*O38*(Q38-R38-S38)/100000000</f>
        <v>44.233370999999998</v>
      </c>
      <c r="V38" s="38">
        <f t="shared" ref="V38:V39" si="54">E38*G38*(1-N38)*O38/100*(R38+S38)/1000000</f>
        <v>1.0538639999999999</v>
      </c>
      <c r="W38" s="38">
        <f>+'7'!K11/1000</f>
        <v>48.045000000000002</v>
      </c>
      <c r="X38" s="500">
        <f>SUM(W38:W41)/SUM(K38:K41)</f>
        <v>0.95309107847395524</v>
      </c>
      <c r="Y38" s="212">
        <f>+SUM(RBP!AG29:AG30)</f>
        <v>0</v>
      </c>
      <c r="Z38" s="38">
        <v>0</v>
      </c>
      <c r="AA38" s="50">
        <f>SUM(U38:U41)-SUM(W38:W41)-SUM(Z38:Z41)-SUM(Y38:Y41)</f>
        <v>0.36307779999999457</v>
      </c>
      <c r="AB38" s="50">
        <f>(SUM(K38:K41)-SUM(W38:W41)-SUM(Y38:Y41)-SUM(Z38:Z41)-SUM(AC38:AC41)-SUM(V38:V41))-AA38</f>
        <v>0.13471208000000767</v>
      </c>
      <c r="AC38" s="38">
        <f>K38-T38</f>
        <v>0</v>
      </c>
      <c r="AD38" s="38">
        <f>+AM38+BA38</f>
        <v>0</v>
      </c>
      <c r="AE38" s="231" t="s">
        <v>390</v>
      </c>
      <c r="AF38" s="38">
        <v>0</v>
      </c>
      <c r="AG38" s="38"/>
      <c r="AH38" s="38"/>
      <c r="AI38" s="501"/>
      <c r="AJ38" s="38"/>
      <c r="AK38" s="38"/>
      <c r="AL38" s="38"/>
      <c r="AM38" s="38">
        <f>SUM(AF38:AL38)+AT38</f>
        <v>0</v>
      </c>
      <c r="AN38" s="38"/>
      <c r="AO38" s="38"/>
      <c r="AP38" s="38"/>
      <c r="AQ38" s="38"/>
      <c r="AR38" s="38">
        <f>SUM(AN38:AQ38)</f>
        <v>0</v>
      </c>
      <c r="AS38" s="38"/>
      <c r="AT38" s="38"/>
      <c r="AU38" s="38"/>
      <c r="AV38" s="38"/>
      <c r="AW38" s="38"/>
      <c r="AX38" s="38"/>
      <c r="AY38" s="38"/>
      <c r="AZ38" s="38"/>
      <c r="BA38" s="38">
        <f>+AR38+AS38+AU38+AV38+AX38</f>
        <v>0</v>
      </c>
      <c r="BB38" s="34">
        <v>0</v>
      </c>
      <c r="BC38" s="52"/>
      <c r="BD38" s="52"/>
      <c r="BE38" s="34"/>
      <c r="BF38" s="52"/>
    </row>
    <row r="39" spans="1:58" ht="12.95" customHeight="1">
      <c r="A39" s="41"/>
      <c r="B39" s="42" t="s">
        <v>497</v>
      </c>
      <c r="C39" s="443">
        <f t="shared" si="46"/>
        <v>14.05626232</v>
      </c>
      <c r="D39" s="42" t="s">
        <v>434</v>
      </c>
      <c r="E39" s="43">
        <v>19</v>
      </c>
      <c r="F39" s="43">
        <v>1</v>
      </c>
      <c r="G39" s="498">
        <v>865</v>
      </c>
      <c r="H39" s="45">
        <f t="shared" si="47"/>
        <v>0.15000000000000002</v>
      </c>
      <c r="I39" s="46">
        <v>0.88</v>
      </c>
      <c r="J39" s="83">
        <f t="shared" si="48"/>
        <v>55.119045600000007</v>
      </c>
      <c r="K39" s="83">
        <f t="shared" si="49"/>
        <v>14.05626232</v>
      </c>
      <c r="L39" s="36">
        <v>920</v>
      </c>
      <c r="M39" s="36">
        <v>782</v>
      </c>
      <c r="N39" s="47">
        <f t="shared" si="50"/>
        <v>0.15000000000000002</v>
      </c>
      <c r="O39" s="48">
        <f>+'Trim Rwd'!H25</f>
        <v>268</v>
      </c>
      <c r="P39" s="49">
        <f t="shared" si="51"/>
        <v>92460</v>
      </c>
      <c r="Q39" s="48">
        <v>353</v>
      </c>
      <c r="R39" s="499">
        <v>0</v>
      </c>
      <c r="S39" s="499">
        <v>8</v>
      </c>
      <c r="T39" s="38">
        <f t="shared" si="52"/>
        <v>14.05626232</v>
      </c>
      <c r="U39" s="38">
        <f t="shared" si="53"/>
        <v>13.7377068</v>
      </c>
      <c r="V39" s="38">
        <f t="shared" si="54"/>
        <v>0.29951144000000002</v>
      </c>
      <c r="W39" s="38">
        <f>+'7'!K12/1000</f>
        <v>8.625</v>
      </c>
      <c r="X39" s="39"/>
      <c r="Y39" s="212"/>
      <c r="Z39" s="38">
        <f>+'7'!D26/1000</f>
        <v>0.93799999999999994</v>
      </c>
      <c r="AA39" s="38"/>
      <c r="AB39" s="38"/>
      <c r="AC39" s="38">
        <f>K39-T39</f>
        <v>0</v>
      </c>
      <c r="AD39" s="38">
        <f t="shared" ref="AD39:AD41" si="55">+AM39+BA39</f>
        <v>9</v>
      </c>
      <c r="AE39" s="231" t="s">
        <v>525</v>
      </c>
      <c r="AF39" s="38"/>
      <c r="AG39" s="38">
        <v>9</v>
      </c>
      <c r="AH39" s="38"/>
      <c r="AI39" s="501"/>
      <c r="AJ39" s="38"/>
      <c r="AK39" s="38"/>
      <c r="AL39" s="38"/>
      <c r="AM39" s="38">
        <f t="shared" ref="AM39:AM41" si="56">SUM(AF39:AL39)+AT39</f>
        <v>9</v>
      </c>
      <c r="AN39" s="84"/>
      <c r="AO39" s="38"/>
      <c r="AP39" s="38"/>
      <c r="AQ39" s="38"/>
      <c r="AR39" s="38">
        <f t="shared" ref="AR39:AR41" si="57">SUM(AN39:AQ39)</f>
        <v>0</v>
      </c>
      <c r="AS39" s="38"/>
      <c r="AT39" s="38"/>
      <c r="AU39" s="38"/>
      <c r="AV39" s="38"/>
      <c r="AW39" s="38"/>
      <c r="AX39" s="38"/>
      <c r="AY39" s="38"/>
      <c r="AZ39" s="38"/>
      <c r="BA39" s="38">
        <f t="shared" ref="BA39:BA41" si="58">+AR39+AS39+AU39+AV39+AX39</f>
        <v>0</v>
      </c>
      <c r="BB39" s="51"/>
      <c r="BC39" s="52">
        <v>7</v>
      </c>
      <c r="BD39" s="52"/>
      <c r="BE39" s="51"/>
      <c r="BF39" s="52"/>
    </row>
    <row r="40" spans="1:58" ht="12.95" customHeight="1">
      <c r="A40" s="41"/>
      <c r="B40" s="42"/>
      <c r="C40" s="443"/>
      <c r="D40" s="42"/>
      <c r="E40" s="43"/>
      <c r="F40" s="43"/>
      <c r="G40" s="44"/>
      <c r="H40" s="45"/>
      <c r="I40" s="46"/>
      <c r="J40" s="83"/>
      <c r="K40" s="83"/>
      <c r="L40" s="36"/>
      <c r="M40" s="36"/>
      <c r="N40" s="47"/>
      <c r="O40" s="48"/>
      <c r="P40" s="49"/>
      <c r="Q40" s="48"/>
      <c r="R40" s="499"/>
      <c r="S40" s="499"/>
      <c r="T40" s="38"/>
      <c r="U40" s="38"/>
      <c r="V40" s="38"/>
      <c r="W40" s="38"/>
      <c r="X40" s="39"/>
      <c r="Y40" s="212"/>
      <c r="Z40" s="38"/>
      <c r="AA40" s="38"/>
      <c r="AB40" s="38"/>
      <c r="AC40" s="38"/>
      <c r="AD40" s="38">
        <f t="shared" si="55"/>
        <v>19</v>
      </c>
      <c r="AE40" s="231" t="s">
        <v>526</v>
      </c>
      <c r="AF40" s="34"/>
      <c r="AG40" s="34"/>
      <c r="AH40" s="34">
        <v>19</v>
      </c>
      <c r="AJ40" s="38"/>
      <c r="AK40" s="38"/>
      <c r="AL40" s="38"/>
      <c r="AM40" s="38">
        <f t="shared" si="56"/>
        <v>19</v>
      </c>
      <c r="AN40" s="38"/>
      <c r="AO40" s="38"/>
      <c r="AP40" s="38"/>
      <c r="AQ40" s="38"/>
      <c r="AR40" s="38">
        <f t="shared" si="57"/>
        <v>0</v>
      </c>
      <c r="AS40" s="38"/>
      <c r="AT40" s="38"/>
      <c r="AU40" s="38"/>
      <c r="AV40" s="38"/>
      <c r="AW40" s="38"/>
      <c r="AX40" s="38"/>
      <c r="AY40" s="38"/>
      <c r="AZ40" s="38"/>
      <c r="BA40" s="38">
        <f t="shared" si="58"/>
        <v>0</v>
      </c>
      <c r="BB40" s="34"/>
      <c r="BC40" s="502"/>
      <c r="BD40" s="502"/>
      <c r="BE40" s="34"/>
      <c r="BF40" s="502"/>
    </row>
    <row r="41" spans="1:58" ht="12.95" customHeight="1">
      <c r="A41" s="41"/>
      <c r="B41" s="42"/>
      <c r="C41" s="443"/>
      <c r="D41" s="42"/>
      <c r="E41" s="43"/>
      <c r="F41" s="43"/>
      <c r="G41" s="44"/>
      <c r="H41" s="45"/>
      <c r="I41" s="46"/>
      <c r="J41" s="83"/>
      <c r="K41" s="83"/>
      <c r="L41" s="36"/>
      <c r="M41" s="36"/>
      <c r="N41" s="47"/>
      <c r="O41" s="48"/>
      <c r="P41" s="49"/>
      <c r="Q41" s="35"/>
      <c r="R41" s="499"/>
      <c r="S41" s="499"/>
      <c r="T41" s="38"/>
      <c r="U41" s="38"/>
      <c r="V41" s="38"/>
      <c r="W41" s="38"/>
      <c r="X41" s="39"/>
      <c r="Y41" s="212"/>
      <c r="Z41" s="38"/>
      <c r="AA41" s="38"/>
      <c r="AB41" s="38"/>
      <c r="AC41" s="38"/>
      <c r="AD41" s="38">
        <f t="shared" si="55"/>
        <v>8</v>
      </c>
      <c r="AE41" s="234" t="s">
        <v>228</v>
      </c>
      <c r="AF41" s="38"/>
      <c r="AG41" s="38"/>
      <c r="AH41" s="38"/>
      <c r="AI41" s="501">
        <v>8</v>
      </c>
      <c r="AJ41" s="38"/>
      <c r="AK41" s="38"/>
      <c r="AL41" s="38"/>
      <c r="AM41" s="38">
        <f t="shared" si="56"/>
        <v>8</v>
      </c>
      <c r="AN41" s="38"/>
      <c r="AO41" s="38"/>
      <c r="AP41" s="38"/>
      <c r="AQ41" s="38"/>
      <c r="AR41" s="38">
        <f t="shared" si="57"/>
        <v>0</v>
      </c>
      <c r="AS41" s="38"/>
      <c r="AT41" s="38"/>
      <c r="AU41" s="38"/>
      <c r="AV41" s="38"/>
      <c r="AW41" s="38"/>
      <c r="AX41" s="38"/>
      <c r="AY41" s="38"/>
      <c r="AZ41" s="38"/>
      <c r="BA41" s="38">
        <f t="shared" si="58"/>
        <v>0</v>
      </c>
      <c r="BB41" s="51"/>
      <c r="BC41" s="52"/>
      <c r="BD41" s="52"/>
      <c r="BE41" s="51"/>
      <c r="BF41" s="52"/>
    </row>
    <row r="42" spans="1:58" ht="12.95" customHeight="1">
      <c r="A42" s="41"/>
      <c r="B42" s="42"/>
      <c r="C42" s="443"/>
      <c r="D42" s="42"/>
      <c r="E42" s="43"/>
      <c r="F42" s="43"/>
      <c r="G42" s="44"/>
      <c r="H42" s="45"/>
      <c r="I42" s="46"/>
      <c r="J42" s="83"/>
      <c r="K42" s="83"/>
      <c r="L42" s="36"/>
      <c r="M42" s="36"/>
      <c r="N42" s="47"/>
      <c r="O42" s="48"/>
      <c r="P42" s="49"/>
      <c r="Q42" s="35"/>
      <c r="R42" s="499"/>
      <c r="S42" s="499"/>
      <c r="T42" s="38"/>
      <c r="U42" s="38"/>
      <c r="V42" s="38"/>
      <c r="W42" s="38"/>
      <c r="X42" s="39"/>
      <c r="Y42" s="212"/>
      <c r="Z42" s="38"/>
      <c r="AA42" s="38"/>
      <c r="AB42" s="38"/>
      <c r="AC42" s="38"/>
      <c r="AD42" s="38"/>
      <c r="AE42" s="234"/>
      <c r="AF42" s="38"/>
      <c r="AG42" s="38"/>
      <c r="AH42" s="38"/>
      <c r="AI42" s="501"/>
      <c r="AJ42" s="38"/>
      <c r="AK42" s="38"/>
      <c r="AL42" s="38"/>
      <c r="AM42" s="38"/>
      <c r="AN42" s="38"/>
      <c r="AO42" s="38"/>
      <c r="AP42" s="38"/>
      <c r="AQ42" s="38"/>
      <c r="AR42" s="38"/>
      <c r="AS42" s="38"/>
      <c r="AT42" s="38"/>
      <c r="AU42" s="38"/>
      <c r="AV42" s="38"/>
      <c r="AW42" s="38"/>
      <c r="AX42" s="38"/>
      <c r="AY42" s="38"/>
      <c r="AZ42" s="38"/>
      <c r="BA42" s="38"/>
      <c r="BB42" s="51"/>
      <c r="BC42" s="52"/>
      <c r="BD42" s="52"/>
      <c r="BE42" s="51"/>
      <c r="BF42" s="52"/>
    </row>
    <row r="43" spans="1:58" ht="12.75" customHeight="1">
      <c r="A43" s="41">
        <v>45938</v>
      </c>
      <c r="B43" s="42" t="s">
        <v>497</v>
      </c>
      <c r="C43" s="443">
        <f t="shared" ref="C43:C44" si="59">(M43*E43*O43*Q43)/100000000</f>
        <v>6.3711104000000001</v>
      </c>
      <c r="D43" s="42" t="s">
        <v>434</v>
      </c>
      <c r="E43" s="43">
        <v>19</v>
      </c>
      <c r="F43" s="43">
        <v>1</v>
      </c>
      <c r="G43" s="498">
        <v>865</v>
      </c>
      <c r="H43" s="45">
        <f t="shared" ref="H43:H44" si="60">+N43</f>
        <v>0.15000000000000002</v>
      </c>
      <c r="I43" s="46">
        <v>0.88</v>
      </c>
      <c r="J43" s="83">
        <f t="shared" ref="J43:J44" si="61">E43*G43*(1-H43)*1440/1000000*2.74</f>
        <v>55.119045600000007</v>
      </c>
      <c r="K43" s="83">
        <f t="shared" ref="K43:K44" si="62">(IF(G43&lt;L43,L43,G43)*(1-IF(H43&lt;N43,H43,N43))*E43*O43*Q43)/100000000</f>
        <v>6.3711104000000001</v>
      </c>
      <c r="L43" s="36">
        <v>920</v>
      </c>
      <c r="M43" s="36">
        <v>782</v>
      </c>
      <c r="N43" s="47">
        <f t="shared" ref="N43:N44" si="63">1-(M43/L43)</f>
        <v>0.15000000000000002</v>
      </c>
      <c r="O43" s="48">
        <f>+'Trim Rwd'!H27</f>
        <v>268</v>
      </c>
      <c r="P43" s="49">
        <f t="shared" ref="P43:P44" si="64">O43*(Q43-R43-S43)</f>
        <v>40736</v>
      </c>
      <c r="Q43" s="48">
        <v>160</v>
      </c>
      <c r="R43" s="499">
        <v>0</v>
      </c>
      <c r="S43" s="499">
        <v>8</v>
      </c>
      <c r="T43" s="38">
        <f t="shared" ref="T43:T44" si="65">E43*M43*O43*Q43/100000000</f>
        <v>6.3711104000000001</v>
      </c>
      <c r="U43" s="38">
        <f t="shared" ref="U43:U44" si="66">E43*M43*O43*(Q43-R43-S43)/100000000</f>
        <v>6.0525548799999997</v>
      </c>
      <c r="V43" s="38">
        <f t="shared" ref="V43:V44" si="67">E43*G43*(1-N43)*O43/100*(R43+S43)/1000000</f>
        <v>0.29951144000000002</v>
      </c>
      <c r="W43" s="38">
        <f>+'8'!K12/1000</f>
        <v>10.238</v>
      </c>
      <c r="X43" s="500">
        <f>SUM(W43:W46)/SUM(K43:K46)</f>
        <v>0.97811112813571321</v>
      </c>
      <c r="Y43" s="212">
        <f>+SUM(RBP!AG33:AG34)</f>
        <v>0</v>
      </c>
      <c r="Z43" s="38">
        <v>0</v>
      </c>
      <c r="AA43" s="50">
        <f>SUM(U43:U46)-SUM(W43:W46)-SUM(Z43:Z46)-SUM(Y43:Y46)</f>
        <v>-0.4312684609090951</v>
      </c>
      <c r="AB43" s="50">
        <f>(SUM(K43:K46)-SUM(W43:W46)-SUM(Y43:Y46)-SUM(Z43:Z46)-SUM(AC43:AC46)-SUM(V43:V46))-AA43</f>
        <v>1.9044079999994024E-2</v>
      </c>
      <c r="AC43" s="38">
        <f>K43-T43</f>
        <v>0</v>
      </c>
      <c r="AD43" s="38">
        <f>+AM43+BA43</f>
        <v>0</v>
      </c>
      <c r="AE43" s="231" t="s">
        <v>390</v>
      </c>
      <c r="AF43" s="38">
        <v>0</v>
      </c>
      <c r="AG43" s="38"/>
      <c r="AH43" s="38"/>
      <c r="AI43" s="501"/>
      <c r="AJ43" s="38"/>
      <c r="AK43" s="38"/>
      <c r="AL43" s="38"/>
      <c r="AM43" s="38">
        <f>SUM(AF43:AL43)+AT43</f>
        <v>0</v>
      </c>
      <c r="AN43" s="38"/>
      <c r="AO43" s="38"/>
      <c r="AP43" s="38"/>
      <c r="AQ43" s="38"/>
      <c r="AR43" s="38">
        <f>SUM(AN43:AQ43)</f>
        <v>0</v>
      </c>
      <c r="AS43" s="38"/>
      <c r="AT43" s="38"/>
      <c r="AU43" s="38"/>
      <c r="AV43" s="38"/>
      <c r="AW43" s="38"/>
      <c r="AX43" s="38"/>
      <c r="AY43" s="38"/>
      <c r="AZ43" s="38"/>
      <c r="BA43" s="38">
        <f>+AR43+AS43+AU43+AV43+AX43</f>
        <v>0</v>
      </c>
      <c r="BB43" s="34">
        <v>0</v>
      </c>
      <c r="BC43" s="52"/>
      <c r="BD43" s="52"/>
      <c r="BE43" s="34"/>
      <c r="BF43" s="52"/>
    </row>
    <row r="44" spans="1:58" ht="12.95" customHeight="1">
      <c r="A44" s="41"/>
      <c r="B44" s="42" t="s">
        <v>497</v>
      </c>
      <c r="C44" s="443">
        <f t="shared" si="59"/>
        <v>46.228229818181809</v>
      </c>
      <c r="D44" s="42" t="s">
        <v>434</v>
      </c>
      <c r="E44" s="43">
        <v>17</v>
      </c>
      <c r="F44" s="43">
        <v>1</v>
      </c>
      <c r="G44" s="498">
        <f>+L44</f>
        <v>950</v>
      </c>
      <c r="H44" s="45">
        <f t="shared" si="60"/>
        <v>0.15000000000000002</v>
      </c>
      <c r="I44" s="46">
        <v>0.88</v>
      </c>
      <c r="J44" s="83">
        <f t="shared" si="61"/>
        <v>54.163224000000007</v>
      </c>
      <c r="K44" s="83">
        <f t="shared" si="62"/>
        <v>46.228229818181809</v>
      </c>
      <c r="L44" s="36">
        <v>950</v>
      </c>
      <c r="M44" s="36">
        <v>807.5</v>
      </c>
      <c r="N44" s="47">
        <f t="shared" si="63"/>
        <v>0.15000000000000002</v>
      </c>
      <c r="O44" s="48">
        <f>+'Trim Rwd'!H28</f>
        <v>263.09090909090907</v>
      </c>
      <c r="P44" s="49">
        <f t="shared" si="64"/>
        <v>327548.18181818177</v>
      </c>
      <c r="Q44" s="48">
        <v>1280</v>
      </c>
      <c r="R44" s="499">
        <v>0</v>
      </c>
      <c r="S44" s="499">
        <v>35</v>
      </c>
      <c r="T44" s="38">
        <f t="shared" si="65"/>
        <v>46.228229818181809</v>
      </c>
      <c r="U44" s="38">
        <f t="shared" si="66"/>
        <v>44.964176659090903</v>
      </c>
      <c r="V44" s="38">
        <f t="shared" si="67"/>
        <v>1.264053159090909</v>
      </c>
      <c r="W44" s="38">
        <f>+'8'!K13/1000</f>
        <v>41.21</v>
      </c>
      <c r="X44" s="39"/>
      <c r="Y44" s="212"/>
      <c r="Z44" s="38">
        <f>+'7'!D30/1000</f>
        <v>0</v>
      </c>
      <c r="AA44" s="38"/>
      <c r="AB44" s="38"/>
      <c r="AC44" s="38">
        <f>K44-T44</f>
        <v>0</v>
      </c>
      <c r="AD44" s="38">
        <f t="shared" ref="AD44:AD46" si="68">+AM44+BA44</f>
        <v>10</v>
      </c>
      <c r="AE44" s="231" t="s">
        <v>525</v>
      </c>
      <c r="AF44" s="38"/>
      <c r="AG44" s="38">
        <v>10</v>
      </c>
      <c r="AH44" s="38"/>
      <c r="AI44" s="501"/>
      <c r="AJ44" s="38"/>
      <c r="AK44" s="38"/>
      <c r="AL44" s="38"/>
      <c r="AM44" s="38">
        <f t="shared" ref="AM44:AM46" si="69">SUM(AF44:AL44)+AT44</f>
        <v>10</v>
      </c>
      <c r="AN44" s="84"/>
      <c r="AO44" s="38"/>
      <c r="AP44" s="38"/>
      <c r="AQ44" s="38"/>
      <c r="AR44" s="38">
        <f t="shared" ref="AR44:AR46" si="70">SUM(AN44:AQ44)</f>
        <v>0</v>
      </c>
      <c r="AS44" s="38"/>
      <c r="AT44" s="38"/>
      <c r="AU44" s="38"/>
      <c r="AV44" s="38"/>
      <c r="AW44" s="38"/>
      <c r="AX44" s="38"/>
      <c r="AY44" s="38"/>
      <c r="AZ44" s="38"/>
      <c r="BA44" s="38">
        <f t="shared" ref="BA44:BA46" si="71">+AR44+AS44+AU44+AV44+AX44</f>
        <v>0</v>
      </c>
      <c r="BB44" s="51"/>
      <c r="BC44" s="52">
        <v>7</v>
      </c>
      <c r="BD44" s="52"/>
      <c r="BE44" s="51"/>
      <c r="BF44" s="52"/>
    </row>
    <row r="45" spans="1:58" ht="12.95" customHeight="1">
      <c r="A45" s="41"/>
      <c r="B45" s="42"/>
      <c r="C45" s="443"/>
      <c r="D45" s="42"/>
      <c r="E45" s="43"/>
      <c r="F45" s="43"/>
      <c r="G45" s="44"/>
      <c r="H45" s="45"/>
      <c r="I45" s="46"/>
      <c r="J45" s="83"/>
      <c r="K45" s="83"/>
      <c r="L45" s="36"/>
      <c r="M45" s="36"/>
      <c r="N45" s="47"/>
      <c r="O45" s="48"/>
      <c r="P45" s="49"/>
      <c r="Q45" s="48"/>
      <c r="R45" s="499"/>
      <c r="S45" s="499"/>
      <c r="T45" s="38"/>
      <c r="U45" s="38"/>
      <c r="V45" s="38"/>
      <c r="W45" s="38"/>
      <c r="X45" s="39"/>
      <c r="Y45" s="212"/>
      <c r="Z45" s="38"/>
      <c r="AA45" s="38"/>
      <c r="AB45" s="38"/>
      <c r="AC45" s="38"/>
      <c r="AD45" s="38">
        <f t="shared" si="68"/>
        <v>25</v>
      </c>
      <c r="AE45" s="231" t="s">
        <v>513</v>
      </c>
      <c r="AF45" s="34"/>
      <c r="AG45" s="34"/>
      <c r="AH45" s="34">
        <v>25</v>
      </c>
      <c r="AJ45" s="38"/>
      <c r="AK45" s="38"/>
      <c r="AL45" s="38"/>
      <c r="AM45" s="38">
        <f t="shared" si="69"/>
        <v>25</v>
      </c>
      <c r="AN45" s="38"/>
      <c r="AO45" s="38"/>
      <c r="AP45" s="38"/>
      <c r="AQ45" s="38"/>
      <c r="AR45" s="38">
        <f t="shared" si="70"/>
        <v>0</v>
      </c>
      <c r="AS45" s="38"/>
      <c r="AT45" s="38"/>
      <c r="AU45" s="38"/>
      <c r="AV45" s="38"/>
      <c r="AW45" s="38"/>
      <c r="AX45" s="38"/>
      <c r="AY45" s="38"/>
      <c r="AZ45" s="38"/>
      <c r="BA45" s="38">
        <f t="shared" si="71"/>
        <v>0</v>
      </c>
      <c r="BB45" s="34"/>
      <c r="BC45" s="502"/>
      <c r="BD45" s="502"/>
      <c r="BE45" s="34"/>
      <c r="BF45" s="502"/>
    </row>
    <row r="46" spans="1:58" ht="12.95" customHeight="1">
      <c r="A46" s="41"/>
      <c r="B46" s="42"/>
      <c r="C46" s="443"/>
      <c r="D46" s="42"/>
      <c r="E46" s="43"/>
      <c r="F46" s="43"/>
      <c r="G46" s="44"/>
      <c r="H46" s="45"/>
      <c r="I46" s="46"/>
      <c r="J46" s="83"/>
      <c r="K46" s="83"/>
      <c r="L46" s="36"/>
      <c r="M46" s="36"/>
      <c r="N46" s="47"/>
      <c r="O46" s="48"/>
      <c r="P46" s="49"/>
      <c r="Q46" s="35"/>
      <c r="R46" s="499"/>
      <c r="S46" s="499"/>
      <c r="T46" s="38"/>
      <c r="U46" s="38"/>
      <c r="V46" s="38"/>
      <c r="W46" s="38"/>
      <c r="X46" s="39"/>
      <c r="Y46" s="212"/>
      <c r="Z46" s="38"/>
      <c r="AA46" s="38"/>
      <c r="AB46" s="38"/>
      <c r="AC46" s="38"/>
      <c r="AD46" s="38">
        <f t="shared" si="68"/>
        <v>8</v>
      </c>
      <c r="AE46" s="234" t="s">
        <v>228</v>
      </c>
      <c r="AF46" s="38"/>
      <c r="AG46" s="38"/>
      <c r="AH46" s="38"/>
      <c r="AI46" s="501">
        <v>8</v>
      </c>
      <c r="AJ46" s="38"/>
      <c r="AK46" s="38"/>
      <c r="AL46" s="38"/>
      <c r="AM46" s="38">
        <f t="shared" si="69"/>
        <v>8</v>
      </c>
      <c r="AN46" s="38"/>
      <c r="AO46" s="38"/>
      <c r="AP46" s="38"/>
      <c r="AQ46" s="38"/>
      <c r="AR46" s="38">
        <f t="shared" si="70"/>
        <v>0</v>
      </c>
      <c r="AS46" s="38"/>
      <c r="AT46" s="38"/>
      <c r="AU46" s="38"/>
      <c r="AV46" s="38"/>
      <c r="AW46" s="38"/>
      <c r="AX46" s="38"/>
      <c r="AY46" s="38"/>
      <c r="AZ46" s="38"/>
      <c r="BA46" s="38">
        <f t="shared" si="71"/>
        <v>0</v>
      </c>
      <c r="BB46" s="51"/>
      <c r="BC46" s="52"/>
      <c r="BD46" s="52"/>
      <c r="BE46" s="51"/>
      <c r="BF46" s="52"/>
    </row>
    <row r="47" spans="1:58" ht="12.95" customHeight="1">
      <c r="A47" s="41"/>
      <c r="B47" s="42"/>
      <c r="C47" s="443"/>
      <c r="D47" s="42"/>
      <c r="E47" s="43"/>
      <c r="F47" s="43"/>
      <c r="G47" s="44"/>
      <c r="H47" s="45"/>
      <c r="I47" s="46"/>
      <c r="J47" s="83"/>
      <c r="K47" s="83"/>
      <c r="L47" s="36"/>
      <c r="M47" s="36"/>
      <c r="N47" s="47"/>
      <c r="O47" s="48"/>
      <c r="P47" s="49"/>
      <c r="Q47" s="48"/>
      <c r="R47" s="499"/>
      <c r="S47" s="499"/>
      <c r="T47" s="38"/>
      <c r="U47" s="38"/>
      <c r="V47" s="38"/>
      <c r="W47" s="38"/>
      <c r="X47" s="39"/>
      <c r="Y47" s="212"/>
      <c r="Z47" s="38"/>
      <c r="AA47" s="38"/>
      <c r="AB47" s="38"/>
      <c r="AC47" s="38"/>
      <c r="AD47" s="38"/>
      <c r="AE47" s="231"/>
      <c r="AF47" s="38"/>
      <c r="AG47" s="38"/>
      <c r="AH47" s="38"/>
      <c r="AI47" s="501"/>
      <c r="AJ47" s="38"/>
      <c r="AK47" s="38"/>
      <c r="AL47" s="38"/>
      <c r="AM47" s="38"/>
      <c r="AN47" s="84"/>
      <c r="AO47" s="38"/>
      <c r="AP47" s="38"/>
      <c r="AQ47" s="38"/>
      <c r="AR47" s="38"/>
      <c r="AS47" s="38"/>
      <c r="AT47" s="38"/>
      <c r="AU47" s="38"/>
      <c r="AV47" s="38"/>
      <c r="AW47" s="38"/>
      <c r="AX47" s="38"/>
      <c r="AY47" s="38"/>
      <c r="AZ47" s="38"/>
      <c r="BA47" s="38"/>
      <c r="BB47" s="51"/>
      <c r="BC47" s="52"/>
      <c r="BD47" s="52"/>
      <c r="BE47" s="52"/>
      <c r="BF47" s="52"/>
    </row>
    <row r="48" spans="1:58" ht="12.95" customHeight="1">
      <c r="A48" s="41">
        <v>45939</v>
      </c>
      <c r="B48" s="42" t="s">
        <v>497</v>
      </c>
      <c r="C48" s="443">
        <f t="shared" ref="C48:C51" si="72">(M48*E48*O48*Q48)/100000000</f>
        <v>21.623056236206892</v>
      </c>
      <c r="D48" s="42" t="s">
        <v>434</v>
      </c>
      <c r="E48" s="43">
        <v>17</v>
      </c>
      <c r="F48" s="43">
        <v>1</v>
      </c>
      <c r="G48" s="498">
        <f>+L48</f>
        <v>950</v>
      </c>
      <c r="H48" s="45">
        <f t="shared" ref="H48:H51" si="73">+N48</f>
        <v>0.15000000000000002</v>
      </c>
      <c r="I48" s="46">
        <v>0.88</v>
      </c>
      <c r="J48" s="83">
        <f t="shared" ref="J48:J51" si="74">E48*G48*(1-H48)*1440/1000000*2.74</f>
        <v>54.163224000000007</v>
      </c>
      <c r="K48" s="83">
        <f t="shared" ref="K48:K51" si="75">(IF(G48&lt;L48,L48,G48)*(1-IF(H48&lt;N48,H48,N48))*E48*O48*Q48)/100000000</f>
        <v>21.623056236206892</v>
      </c>
      <c r="L48" s="36">
        <v>950</v>
      </c>
      <c r="M48" s="36">
        <v>807.5</v>
      </c>
      <c r="N48" s="47">
        <f t="shared" ref="N48:N51" si="76">1-(M48/L48)</f>
        <v>0.15000000000000002</v>
      </c>
      <c r="O48" s="48">
        <f>+'Trim Rwd'!H31</f>
        <v>262.9655172413793</v>
      </c>
      <c r="P48" s="49">
        <f t="shared" ref="P48:P51" si="77">O48*(Q48-R48-S48)</f>
        <v>153834.8275862069</v>
      </c>
      <c r="Q48" s="48">
        <v>599</v>
      </c>
      <c r="R48" s="499">
        <v>0</v>
      </c>
      <c r="S48" s="499">
        <v>14</v>
      </c>
      <c r="T48" s="38">
        <f t="shared" ref="T48:T51" si="78">E48*M48*O48*Q48/100000000</f>
        <v>21.623056236206892</v>
      </c>
      <c r="U48" s="38">
        <f t="shared" ref="U48:U51" si="79">E48*M48*O48*(Q48-R48-S48)/100000000</f>
        <v>21.117675956896552</v>
      </c>
      <c r="V48" s="38">
        <f t="shared" ref="V48:V51" si="80">E48*G48*(1-N48)*O48/100*(R48+S48)/1000000</f>
        <v>0.50538027931034479</v>
      </c>
      <c r="W48" s="38">
        <f>+'9'!K13/1000</f>
        <v>26.606000000000002</v>
      </c>
      <c r="X48" s="500">
        <f>SUM(W48:W51)/SUM(K48:K51)</f>
        <v>0.94802685303952994</v>
      </c>
      <c r="Y48" s="212">
        <v>0</v>
      </c>
      <c r="Z48" s="38">
        <v>0</v>
      </c>
      <c r="AA48" s="50">
        <f>SUM(U48:U51)-SUM(W48:W51)-SUM(Z48:Z51)-SUM(Y48:Y51)</f>
        <v>-0.42682157247529007</v>
      </c>
      <c r="AB48" s="50">
        <f>(SUM(K48:K51)-SUM(W48:W51)-SUM(Y48:Y51)-SUM(Z48:Z51)-SUM(AC48:AC51)-SUM(V48:V51))-AA48</f>
        <v>-5.390398458893142E-2</v>
      </c>
      <c r="AC48" s="38">
        <f>K48-T48</f>
        <v>0</v>
      </c>
      <c r="AD48" s="38">
        <f>+AM48+BA48</f>
        <v>0</v>
      </c>
      <c r="AE48" s="231" t="s">
        <v>390</v>
      </c>
      <c r="AF48" s="38">
        <v>0</v>
      </c>
      <c r="AG48" s="38"/>
      <c r="AH48" s="38"/>
      <c r="AI48" s="501"/>
      <c r="AJ48" s="38"/>
      <c r="AK48" s="38"/>
      <c r="AL48" s="38"/>
      <c r="AM48" s="38">
        <f>SUM(AF48:AL48)+AT48</f>
        <v>0</v>
      </c>
      <c r="AN48" s="38"/>
      <c r="AO48" s="38"/>
      <c r="AP48" s="38"/>
      <c r="AQ48" s="38"/>
      <c r="AR48" s="38">
        <f>SUM(AN48:AQ48)</f>
        <v>0</v>
      </c>
      <c r="AS48" s="38"/>
      <c r="AT48" s="38"/>
      <c r="AU48" s="38"/>
      <c r="AV48" s="38"/>
      <c r="AW48" s="38"/>
      <c r="AX48" s="38"/>
      <c r="AY48" s="38"/>
      <c r="AZ48" s="38"/>
      <c r="BA48" s="38">
        <f>+AR48+AS48+AU48+AV48+AX48</f>
        <v>0</v>
      </c>
      <c r="BB48" s="34">
        <v>0</v>
      </c>
      <c r="BC48" s="52"/>
      <c r="BD48" s="52"/>
      <c r="BE48" s="34"/>
      <c r="BF48" s="52"/>
    </row>
    <row r="49" spans="1:58" ht="12.95" customHeight="1">
      <c r="A49" s="41"/>
      <c r="B49" s="42" t="s">
        <v>551</v>
      </c>
      <c r="C49" s="443">
        <f t="shared" si="72"/>
        <v>11.431816032</v>
      </c>
      <c r="D49" s="42" t="s">
        <v>434</v>
      </c>
      <c r="E49" s="43">
        <v>14</v>
      </c>
      <c r="F49" s="43">
        <v>1</v>
      </c>
      <c r="G49" s="498">
        <v>1280</v>
      </c>
      <c r="H49" s="45">
        <f t="shared" si="73"/>
        <v>0.21999999999999997</v>
      </c>
      <c r="I49" s="46">
        <v>0.88</v>
      </c>
      <c r="J49" s="83">
        <f t="shared" si="74"/>
        <v>55.150018560000007</v>
      </c>
      <c r="K49" s="83">
        <f t="shared" si="75"/>
        <v>12.269537280000002</v>
      </c>
      <c r="L49" s="36">
        <v>1192.6060606060605</v>
      </c>
      <c r="M49" s="36">
        <v>930.23272727272729</v>
      </c>
      <c r="N49" s="47">
        <f t="shared" si="76"/>
        <v>0.21999999999999997</v>
      </c>
      <c r="O49" s="48">
        <f>+'Trim Rwd'!H33</f>
        <v>266</v>
      </c>
      <c r="P49" s="49">
        <f t="shared" si="77"/>
        <v>85652</v>
      </c>
      <c r="Q49" s="48">
        <v>330</v>
      </c>
      <c r="R49" s="499">
        <v>0</v>
      </c>
      <c r="S49" s="499">
        <v>8</v>
      </c>
      <c r="T49" s="38">
        <f t="shared" si="78"/>
        <v>11.431816032</v>
      </c>
      <c r="U49" s="38">
        <f t="shared" si="79"/>
        <v>11.154681097890911</v>
      </c>
      <c r="V49" s="38">
        <f t="shared" si="80"/>
        <v>0.29744332800000001</v>
      </c>
      <c r="W49" s="38">
        <f>+'9'!K14/1000</f>
        <v>10.231999999999999</v>
      </c>
      <c r="X49" s="39"/>
      <c r="Y49" s="212"/>
      <c r="Z49" s="38">
        <f>+'7'!D35/1000</f>
        <v>1.6282460769337592E-5</v>
      </c>
      <c r="AA49" s="38"/>
      <c r="AB49" s="38"/>
      <c r="AC49" s="38">
        <f>K49-T49</f>
        <v>0.83772124800000114</v>
      </c>
      <c r="AD49" s="38">
        <f t="shared" ref="AD49:AD51" si="81">+AM49+BA49</f>
        <v>9</v>
      </c>
      <c r="AE49" s="231" t="s">
        <v>435</v>
      </c>
      <c r="AF49" s="38"/>
      <c r="AG49" s="38">
        <v>9</v>
      </c>
      <c r="AH49" s="38"/>
      <c r="AI49" s="501"/>
      <c r="AJ49" s="38"/>
      <c r="AK49" s="38"/>
      <c r="AL49" s="38"/>
      <c r="AM49" s="38">
        <f t="shared" ref="AM49:AM51" si="82">SUM(AF49:AL49)+AT49</f>
        <v>9</v>
      </c>
      <c r="AN49" s="84"/>
      <c r="AO49" s="38"/>
      <c r="AP49" s="38"/>
      <c r="AQ49" s="38"/>
      <c r="AR49" s="38">
        <f t="shared" ref="AR49:AR51" si="83">SUM(AN49:AQ49)</f>
        <v>0</v>
      </c>
      <c r="AS49" s="38"/>
      <c r="AT49" s="38"/>
      <c r="AU49" s="38"/>
      <c r="AV49" s="38"/>
      <c r="AW49" s="38"/>
      <c r="AX49" s="38"/>
      <c r="AY49" s="38"/>
      <c r="AZ49" s="38"/>
      <c r="BA49" s="38">
        <f t="shared" ref="BA49:BA51" si="84">+AR49+AS49+AU49+AV49+AX49</f>
        <v>0</v>
      </c>
      <c r="BB49" s="51"/>
      <c r="BC49" s="52">
        <v>11</v>
      </c>
      <c r="BD49" s="52"/>
      <c r="BE49" s="51"/>
      <c r="BF49" s="52"/>
    </row>
    <row r="50" spans="1:58" ht="12.95" customHeight="1">
      <c r="A50" s="41"/>
      <c r="B50" s="42" t="s">
        <v>431</v>
      </c>
      <c r="C50" s="443">
        <f t="shared" si="72"/>
        <v>11.119490810999999</v>
      </c>
      <c r="D50" s="42" t="s">
        <v>434</v>
      </c>
      <c r="E50" s="43">
        <v>16.5</v>
      </c>
      <c r="F50" s="43">
        <v>1</v>
      </c>
      <c r="G50" s="498">
        <v>1085</v>
      </c>
      <c r="H50" s="45">
        <f t="shared" si="73"/>
        <v>0.21999999999999997</v>
      </c>
      <c r="I50" s="46">
        <v>0.88</v>
      </c>
      <c r="J50" s="83">
        <f t="shared" si="74"/>
        <v>55.096161119999998</v>
      </c>
      <c r="K50" s="83">
        <f t="shared" si="75"/>
        <v>11.296975189500001</v>
      </c>
      <c r="L50" s="36">
        <v>1067.953795379538</v>
      </c>
      <c r="M50" s="36">
        <v>833.00396039603959</v>
      </c>
      <c r="N50" s="47">
        <f t="shared" si="76"/>
        <v>0.21999999999999997</v>
      </c>
      <c r="O50" s="48">
        <f>+'Trim Rwd'!H34</f>
        <v>267</v>
      </c>
      <c r="P50" s="49">
        <f t="shared" si="77"/>
        <v>78765</v>
      </c>
      <c r="Q50" s="48">
        <v>303</v>
      </c>
      <c r="R50" s="499">
        <v>0</v>
      </c>
      <c r="S50" s="499">
        <v>8</v>
      </c>
      <c r="T50" s="38">
        <f t="shared" si="78"/>
        <v>11.119490810999999</v>
      </c>
      <c r="U50" s="38">
        <f t="shared" si="79"/>
        <v>10.82590689519802</v>
      </c>
      <c r="V50" s="38">
        <f t="shared" si="80"/>
        <v>0.29826997199999999</v>
      </c>
      <c r="W50" s="38">
        <f>+'9'!K15/1000</f>
        <v>10.954000000000001</v>
      </c>
      <c r="X50" s="39"/>
      <c r="Y50" s="212"/>
      <c r="Z50" s="38"/>
      <c r="AA50" s="38"/>
      <c r="AB50" s="38"/>
      <c r="AC50" s="38">
        <f>K50-T50</f>
        <v>0.17748437850000265</v>
      </c>
      <c r="AD50" s="38">
        <f t="shared" si="81"/>
        <v>18</v>
      </c>
      <c r="AE50" s="231" t="s">
        <v>552</v>
      </c>
      <c r="AF50" s="34"/>
      <c r="AG50" s="34"/>
      <c r="AH50" s="34">
        <v>18</v>
      </c>
      <c r="AJ50" s="38"/>
      <c r="AK50" s="38"/>
      <c r="AL50" s="38"/>
      <c r="AM50" s="38">
        <f t="shared" si="82"/>
        <v>18</v>
      </c>
      <c r="AN50" s="38"/>
      <c r="AO50" s="38"/>
      <c r="AP50" s="38"/>
      <c r="AQ50" s="38"/>
      <c r="AR50" s="38">
        <f t="shared" si="83"/>
        <v>0</v>
      </c>
      <c r="AS50" s="38"/>
      <c r="AT50" s="38"/>
      <c r="AU50" s="38"/>
      <c r="AV50" s="38"/>
      <c r="AW50" s="38"/>
      <c r="AX50" s="38"/>
      <c r="AY50" s="38"/>
      <c r="AZ50" s="38"/>
      <c r="BA50" s="38">
        <f t="shared" si="84"/>
        <v>0</v>
      </c>
      <c r="BB50" s="34"/>
      <c r="BC50" s="502"/>
      <c r="BD50" s="502"/>
      <c r="BE50" s="34"/>
      <c r="BF50" s="502"/>
    </row>
    <row r="51" spans="1:58" ht="12.95" customHeight="1">
      <c r="A51" s="41"/>
      <c r="B51" s="42" t="s">
        <v>431</v>
      </c>
      <c r="C51" s="443">
        <f t="shared" si="72"/>
        <v>7.1091820800000001</v>
      </c>
      <c r="D51" s="42" t="s">
        <v>434</v>
      </c>
      <c r="E51" s="43">
        <v>13.5</v>
      </c>
      <c r="F51" s="43">
        <v>1</v>
      </c>
      <c r="G51" s="498">
        <v>1345</v>
      </c>
      <c r="H51" s="45">
        <f t="shared" si="73"/>
        <v>0.22999999999999998</v>
      </c>
      <c r="I51" s="46">
        <v>0.88</v>
      </c>
      <c r="J51" s="83">
        <f t="shared" si="74"/>
        <v>55.164518640000004</v>
      </c>
      <c r="K51" s="83">
        <f t="shared" si="75"/>
        <v>7.9682082480000007</v>
      </c>
      <c r="L51" s="36">
        <v>1200</v>
      </c>
      <c r="M51" s="36">
        <v>924</v>
      </c>
      <c r="N51" s="47">
        <f t="shared" si="76"/>
        <v>0.22999999999999998</v>
      </c>
      <c r="O51" s="48">
        <f>+'Trim Rwd'!H35</f>
        <v>274</v>
      </c>
      <c r="P51" s="49">
        <f t="shared" si="77"/>
        <v>55074</v>
      </c>
      <c r="Q51" s="48">
        <v>208</v>
      </c>
      <c r="R51" s="499">
        <v>0</v>
      </c>
      <c r="S51" s="499">
        <f>37-S48-S49-S50</f>
        <v>7</v>
      </c>
      <c r="T51" s="38">
        <f t="shared" si="78"/>
        <v>7.1091820800000001</v>
      </c>
      <c r="U51" s="38">
        <f t="shared" si="79"/>
        <v>6.8699307599999999</v>
      </c>
      <c r="V51" s="38">
        <f t="shared" si="80"/>
        <v>0.26816085449999999</v>
      </c>
      <c r="W51" s="38">
        <f>+'9'!K7/1000</f>
        <v>2.6030000000000002</v>
      </c>
      <c r="X51" s="39"/>
      <c r="Y51" s="212"/>
      <c r="Z51" s="38"/>
      <c r="AA51" s="38"/>
      <c r="AB51" s="38"/>
      <c r="AC51" s="38">
        <f>K51-T51</f>
        <v>0.85902616800000065</v>
      </c>
      <c r="AD51" s="38">
        <f t="shared" si="81"/>
        <v>10</v>
      </c>
      <c r="AE51" s="234" t="s">
        <v>228</v>
      </c>
      <c r="AF51" s="38"/>
      <c r="AG51" s="38"/>
      <c r="AH51" s="38"/>
      <c r="AI51" s="501">
        <v>10</v>
      </c>
      <c r="AJ51" s="38"/>
      <c r="AK51" s="38"/>
      <c r="AL51" s="38"/>
      <c r="AM51" s="38">
        <f t="shared" si="82"/>
        <v>10</v>
      </c>
      <c r="AN51" s="38"/>
      <c r="AO51" s="38"/>
      <c r="AP51" s="38"/>
      <c r="AQ51" s="38"/>
      <c r="AR51" s="38">
        <f t="shared" si="83"/>
        <v>0</v>
      </c>
      <c r="AS51" s="38"/>
      <c r="AT51" s="38"/>
      <c r="AU51" s="38"/>
      <c r="AV51" s="38"/>
      <c r="AW51" s="38"/>
      <c r="AX51" s="38"/>
      <c r="AY51" s="38"/>
      <c r="AZ51" s="38"/>
      <c r="BA51" s="38">
        <f t="shared" si="84"/>
        <v>0</v>
      </c>
      <c r="BB51" s="51"/>
      <c r="BC51" s="52"/>
      <c r="BD51" s="52"/>
      <c r="BE51" s="51"/>
      <c r="BF51" s="52"/>
    </row>
    <row r="52" spans="1:58" ht="12.95" customHeight="1">
      <c r="A52" s="41"/>
      <c r="B52" s="42"/>
      <c r="C52" s="443"/>
      <c r="D52" s="42"/>
      <c r="E52" s="43"/>
      <c r="F52" s="43"/>
      <c r="G52" s="44"/>
      <c r="H52" s="44"/>
      <c r="I52" s="46"/>
      <c r="J52" s="83"/>
      <c r="K52" s="83"/>
      <c r="L52" s="36"/>
      <c r="M52" s="36"/>
      <c r="N52" s="47"/>
      <c r="O52" s="48"/>
      <c r="P52" s="49"/>
      <c r="Q52" s="48"/>
      <c r="R52" s="499"/>
      <c r="S52" s="499"/>
      <c r="T52" s="38"/>
      <c r="U52" s="38"/>
      <c r="V52" s="38"/>
      <c r="W52" s="38"/>
      <c r="X52" s="39"/>
      <c r="Y52" s="212"/>
      <c r="Z52" s="38"/>
      <c r="AA52" s="38"/>
      <c r="AB52" s="38"/>
      <c r="AC52" s="38"/>
      <c r="AD52" s="38"/>
      <c r="AE52" s="231"/>
      <c r="AF52" s="38"/>
      <c r="AG52" s="38"/>
      <c r="AH52" s="38"/>
      <c r="AI52" s="501"/>
      <c r="AJ52" s="38"/>
      <c r="AK52" s="38"/>
      <c r="AL52" s="38"/>
      <c r="AM52" s="38"/>
      <c r="AN52" s="84"/>
      <c r="AO52" s="38"/>
      <c r="AP52" s="38"/>
      <c r="AQ52" s="38"/>
      <c r="AR52" s="38"/>
      <c r="AS52" s="38"/>
      <c r="AT52" s="38"/>
      <c r="AU52" s="38"/>
      <c r="AV52" s="38"/>
      <c r="AW52" s="38"/>
      <c r="AX52" s="38"/>
      <c r="AY52" s="38"/>
      <c r="AZ52" s="38"/>
      <c r="BA52" s="38"/>
      <c r="BB52" s="51"/>
      <c r="BC52" s="52"/>
      <c r="BD52" s="52"/>
      <c r="BE52" s="34"/>
      <c r="BF52" s="52"/>
    </row>
    <row r="53" spans="1:58" ht="12.95" customHeight="1">
      <c r="A53" s="41">
        <v>45971</v>
      </c>
      <c r="B53" s="42" t="s">
        <v>431</v>
      </c>
      <c r="C53" s="443">
        <f t="shared" ref="C53" si="85">(M53*E53*O53*Q53)/100000000</f>
        <v>53.455580640000008</v>
      </c>
      <c r="D53" s="42" t="s">
        <v>434</v>
      </c>
      <c r="E53" s="43">
        <v>13.5</v>
      </c>
      <c r="F53" s="43">
        <v>1</v>
      </c>
      <c r="G53" s="498">
        <v>1345</v>
      </c>
      <c r="H53" s="45">
        <f t="shared" ref="H53" si="86">+N53</f>
        <v>0.22999999999999987</v>
      </c>
      <c r="I53" s="46">
        <v>0.88</v>
      </c>
      <c r="J53" s="83">
        <f t="shared" ref="J53" si="87">E53*G53*(1-H53)*1440/1000000*2.74</f>
        <v>55.164518640000018</v>
      </c>
      <c r="K53" s="83">
        <f t="shared" ref="K53" si="88">(IF(G53&lt;L53,L53,G53)*(1-IF(H53&lt;N53,H53,N53))*E53*O53*Q53)/100000000</f>
        <v>55.164518640000011</v>
      </c>
      <c r="L53" s="36">
        <v>1303.3333333333333</v>
      </c>
      <c r="M53" s="36">
        <v>1003.5666666666667</v>
      </c>
      <c r="N53" s="47">
        <f t="shared" ref="N53" si="89">1-(M53/L53)</f>
        <v>0.22999999999999987</v>
      </c>
      <c r="O53" s="48">
        <f>+'Trim Rwd'!H37</f>
        <v>274</v>
      </c>
      <c r="P53" s="49">
        <f t="shared" ref="P53" si="90">O53*(Q53-R53-S53)</f>
        <v>383600</v>
      </c>
      <c r="Q53" s="48">
        <v>1440</v>
      </c>
      <c r="R53" s="499">
        <v>0</v>
      </c>
      <c r="S53" s="499">
        <v>40</v>
      </c>
      <c r="T53" s="38">
        <f t="shared" ref="T53" si="91">E53*M53*O53*Q53/100000000</f>
        <v>53.455580640000008</v>
      </c>
      <c r="U53" s="38">
        <f t="shared" ref="U53" si="92">E53*M53*O53*(Q53-R53-S53)/100000000</f>
        <v>51.970703400000012</v>
      </c>
      <c r="V53" s="38">
        <f t="shared" ref="V53" si="93">E53*G53*(1-N53)*O53/100*(R53+S53)/1000000</f>
        <v>1.5323477400000003</v>
      </c>
      <c r="W53" s="38">
        <f>+'10'!K7/1000</f>
        <v>51.182000000000002</v>
      </c>
      <c r="X53" s="500">
        <f>SUM(W53:W56)/SUM(K53:K56)</f>
        <v>0.92780651878810616</v>
      </c>
      <c r="Y53" s="212">
        <f>+SUM(RBP!AG44:AG45)</f>
        <v>0</v>
      </c>
      <c r="Z53" s="38">
        <v>0</v>
      </c>
      <c r="AA53" s="50">
        <f>SUM(U53:U56)-SUM(W53:W56)-SUM(Z53:Z56)-SUM(Y53:Y56)</f>
        <v>0.78870340000000994</v>
      </c>
      <c r="AB53" s="50">
        <f>(SUM(K53:K56)-SUM(W53:W56)-SUM(Y53:Y56)-SUM(Z53:Z56)-SUM(AC53:AC56)-SUM(V53:V56))-AA53</f>
        <v>-4.7470500000004412E-2</v>
      </c>
      <c r="AC53" s="38">
        <f>K53-T53</f>
        <v>1.7089380000000034</v>
      </c>
      <c r="AD53" s="38">
        <f>+AM53+BA53</f>
        <v>0</v>
      </c>
      <c r="AE53" s="231" t="s">
        <v>390</v>
      </c>
      <c r="AF53" s="38">
        <v>0</v>
      </c>
      <c r="AG53" s="38"/>
      <c r="AH53" s="38"/>
      <c r="AI53" s="501"/>
      <c r="AJ53" s="38"/>
      <c r="AK53" s="38"/>
      <c r="AL53" s="38"/>
      <c r="AM53" s="38">
        <f>SUM(AF53:AL53)+AT53</f>
        <v>0</v>
      </c>
      <c r="AN53" s="38"/>
      <c r="AO53" s="38"/>
      <c r="AP53" s="38"/>
      <c r="AQ53" s="38"/>
      <c r="AR53" s="38">
        <f>SUM(AN53:AQ53)</f>
        <v>0</v>
      </c>
      <c r="AS53" s="38"/>
      <c r="AT53" s="38"/>
      <c r="AU53" s="38"/>
      <c r="AV53" s="38"/>
      <c r="AW53" s="38"/>
      <c r="AX53" s="38"/>
      <c r="AY53" s="38"/>
      <c r="AZ53" s="38"/>
      <c r="BA53" s="38">
        <f>+AR53+AS53+AU53+AV53+AX53</f>
        <v>0</v>
      </c>
      <c r="BB53" s="34">
        <v>0</v>
      </c>
      <c r="BC53" s="52"/>
      <c r="BD53" s="52"/>
      <c r="BE53" s="34"/>
      <c r="BF53" s="52"/>
    </row>
    <row r="54" spans="1:58" ht="12.95" customHeight="1">
      <c r="A54" s="41"/>
      <c r="B54" s="42"/>
      <c r="C54" s="443"/>
      <c r="D54" s="42"/>
      <c r="E54" s="43"/>
      <c r="F54" s="43"/>
      <c r="G54" s="498"/>
      <c r="H54" s="45"/>
      <c r="I54" s="46"/>
      <c r="J54" s="83"/>
      <c r="K54" s="83"/>
      <c r="L54" s="36"/>
      <c r="M54" s="36"/>
      <c r="N54" s="47"/>
      <c r="O54" s="48"/>
      <c r="P54" s="49"/>
      <c r="Q54" s="48"/>
      <c r="R54" s="499"/>
      <c r="S54" s="499"/>
      <c r="T54" s="38"/>
      <c r="U54" s="38"/>
      <c r="V54" s="38"/>
      <c r="W54" s="38"/>
      <c r="X54" s="39"/>
      <c r="Y54" s="212"/>
      <c r="Z54" s="38"/>
      <c r="AA54" s="38"/>
      <c r="AB54" s="38"/>
      <c r="AC54" s="38">
        <f>K54-T54</f>
        <v>0</v>
      </c>
      <c r="AD54" s="38">
        <f t="shared" ref="AD54:AD56" si="94">+AM54+BA54</f>
        <v>11</v>
      </c>
      <c r="AE54" s="231" t="s">
        <v>435</v>
      </c>
      <c r="AF54" s="38"/>
      <c r="AG54" s="38">
        <v>11</v>
      </c>
      <c r="AH54" s="38"/>
      <c r="AI54" s="501"/>
      <c r="AJ54" s="38"/>
      <c r="AK54" s="38"/>
      <c r="AL54" s="38"/>
      <c r="AM54" s="38">
        <f t="shared" ref="AM54:AM56" si="95">SUM(AF54:AL54)+AT54</f>
        <v>11</v>
      </c>
      <c r="AN54" s="84"/>
      <c r="AO54" s="38"/>
      <c r="AP54" s="38"/>
      <c r="AQ54" s="38"/>
      <c r="AR54" s="38">
        <f t="shared" ref="AR54:AR56" si="96">SUM(AN54:AQ54)</f>
        <v>0</v>
      </c>
      <c r="AS54" s="38"/>
      <c r="AT54" s="38"/>
      <c r="AU54" s="38"/>
      <c r="AV54" s="38"/>
      <c r="AW54" s="38"/>
      <c r="AX54" s="38"/>
      <c r="AY54" s="38"/>
      <c r="AZ54" s="38"/>
      <c r="BA54" s="38">
        <f t="shared" ref="BA54:BA56" si="97">+AR54+AS54+AU54+AV54+AX54</f>
        <v>0</v>
      </c>
      <c r="BB54" s="51"/>
      <c r="BC54" s="52">
        <v>11</v>
      </c>
      <c r="BD54" s="52"/>
      <c r="BE54" s="51"/>
      <c r="BF54" s="52"/>
    </row>
    <row r="55" spans="1:58" ht="12.95" customHeight="1">
      <c r="A55" s="41"/>
      <c r="B55" s="42"/>
      <c r="C55" s="443"/>
      <c r="D55" s="42"/>
      <c r="E55" s="43"/>
      <c r="F55" s="43"/>
      <c r="G55" s="44"/>
      <c r="H55" s="45"/>
      <c r="I55" s="46"/>
      <c r="J55" s="83"/>
      <c r="K55" s="83"/>
      <c r="L55" s="36"/>
      <c r="M55" s="36"/>
      <c r="N55" s="47"/>
      <c r="O55" s="48"/>
      <c r="P55" s="49"/>
      <c r="Q55" s="48"/>
      <c r="R55" s="499"/>
      <c r="S55" s="499"/>
      <c r="T55" s="38"/>
      <c r="U55" s="38"/>
      <c r="V55" s="38"/>
      <c r="W55" s="38"/>
      <c r="X55" s="39"/>
      <c r="Y55" s="212"/>
      <c r="Z55" s="38"/>
      <c r="AA55" s="38"/>
      <c r="AB55" s="38"/>
      <c r="AC55" s="38"/>
      <c r="AD55" s="38">
        <f t="shared" si="94"/>
        <v>19</v>
      </c>
      <c r="AE55" s="231" t="s">
        <v>566</v>
      </c>
      <c r="AF55" s="34"/>
      <c r="AG55" s="34"/>
      <c r="AH55" s="34">
        <v>19</v>
      </c>
      <c r="AJ55" s="38"/>
      <c r="AK55" s="38"/>
      <c r="AL55" s="38"/>
      <c r="AM55" s="38">
        <f t="shared" si="95"/>
        <v>19</v>
      </c>
      <c r="AN55" s="38"/>
      <c r="AO55" s="38"/>
      <c r="AP55" s="38"/>
      <c r="AQ55" s="38"/>
      <c r="AR55" s="38">
        <f t="shared" si="96"/>
        <v>0</v>
      </c>
      <c r="AS55" s="38"/>
      <c r="AT55" s="38"/>
      <c r="AU55" s="38"/>
      <c r="AV55" s="38"/>
      <c r="AW55" s="38"/>
      <c r="AX55" s="38"/>
      <c r="AY55" s="38"/>
      <c r="AZ55" s="38"/>
      <c r="BA55" s="38">
        <f t="shared" si="97"/>
        <v>0</v>
      </c>
      <c r="BB55" s="34"/>
      <c r="BC55" s="502"/>
      <c r="BD55" s="502"/>
      <c r="BE55" s="34"/>
      <c r="BF55" s="502"/>
    </row>
    <row r="56" spans="1:58" ht="12.95" customHeight="1">
      <c r="A56" s="41"/>
      <c r="B56" s="42"/>
      <c r="C56" s="443"/>
      <c r="D56" s="42"/>
      <c r="E56" s="43"/>
      <c r="F56" s="43"/>
      <c r="G56" s="44"/>
      <c r="H56" s="45"/>
      <c r="I56" s="46"/>
      <c r="J56" s="83"/>
      <c r="K56" s="83"/>
      <c r="L56" s="36"/>
      <c r="M56" s="36"/>
      <c r="N56" s="47"/>
      <c r="O56" s="48"/>
      <c r="P56" s="49"/>
      <c r="Q56" s="35"/>
      <c r="R56" s="499"/>
      <c r="S56" s="499"/>
      <c r="T56" s="38"/>
      <c r="U56" s="38"/>
      <c r="V56" s="38"/>
      <c r="W56" s="38"/>
      <c r="X56" s="39"/>
      <c r="Y56" s="212"/>
      <c r="Z56" s="38"/>
      <c r="AA56" s="38"/>
      <c r="AB56" s="38"/>
      <c r="AC56" s="38"/>
      <c r="AD56" s="38">
        <f t="shared" si="94"/>
        <v>10</v>
      </c>
      <c r="AE56" s="234" t="s">
        <v>228</v>
      </c>
      <c r="AF56" s="38"/>
      <c r="AG56" s="38"/>
      <c r="AH56" s="38"/>
      <c r="AI56" s="501">
        <v>10</v>
      </c>
      <c r="AJ56" s="38"/>
      <c r="AK56" s="38"/>
      <c r="AL56" s="38"/>
      <c r="AM56" s="38">
        <f t="shared" si="95"/>
        <v>10</v>
      </c>
      <c r="AN56" s="38"/>
      <c r="AO56" s="38"/>
      <c r="AP56" s="38"/>
      <c r="AQ56" s="38"/>
      <c r="AR56" s="38">
        <f t="shared" si="96"/>
        <v>0</v>
      </c>
      <c r="AS56" s="38"/>
      <c r="AT56" s="38"/>
      <c r="AU56" s="38"/>
      <c r="AV56" s="38"/>
      <c r="AW56" s="38"/>
      <c r="AX56" s="38"/>
      <c r="AY56" s="38"/>
      <c r="AZ56" s="38"/>
      <c r="BA56" s="38">
        <f t="shared" si="97"/>
        <v>0</v>
      </c>
      <c r="BB56" s="51"/>
      <c r="BC56" s="52"/>
      <c r="BD56" s="52"/>
      <c r="BE56" s="51"/>
      <c r="BF56" s="52"/>
    </row>
    <row r="57" spans="1:58" ht="12.95" customHeight="1">
      <c r="A57" s="41"/>
      <c r="B57" s="42"/>
      <c r="C57" s="443"/>
      <c r="D57" s="42"/>
      <c r="E57" s="43"/>
      <c r="F57" s="43"/>
      <c r="G57" s="44"/>
      <c r="H57" s="44"/>
      <c r="I57" s="46"/>
      <c r="J57" s="83"/>
      <c r="K57" s="83"/>
      <c r="L57" s="36"/>
      <c r="M57" s="36"/>
      <c r="N57" s="47"/>
      <c r="O57" s="48"/>
      <c r="P57" s="49"/>
      <c r="Q57" s="48"/>
      <c r="R57" s="499"/>
      <c r="S57" s="499"/>
      <c r="T57" s="38"/>
      <c r="U57" s="38"/>
      <c r="V57" s="38"/>
      <c r="W57" s="38"/>
      <c r="X57" s="39"/>
      <c r="Y57" s="212"/>
      <c r="Z57" s="38"/>
      <c r="AA57" s="50"/>
      <c r="AB57" s="50"/>
      <c r="AC57" s="38"/>
      <c r="AD57" s="38"/>
      <c r="AE57" s="234"/>
      <c r="AF57" s="38"/>
      <c r="AG57" s="38"/>
      <c r="AH57" s="38"/>
      <c r="AI57" s="38"/>
      <c r="AJ57" s="38"/>
      <c r="AK57" s="38"/>
      <c r="AL57" s="38"/>
      <c r="AM57" s="38"/>
      <c r="AN57" s="38"/>
      <c r="AO57" s="38"/>
      <c r="AP57" s="38"/>
      <c r="AQ57" s="38"/>
      <c r="AR57" s="38"/>
      <c r="AS57" s="38"/>
      <c r="AT57" s="38"/>
      <c r="AU57" s="38"/>
      <c r="AV57" s="38"/>
      <c r="AW57" s="38"/>
      <c r="AX57" s="38"/>
      <c r="AY57" s="38"/>
      <c r="AZ57" s="38"/>
      <c r="BA57" s="38"/>
      <c r="BB57" s="34"/>
      <c r="BC57" s="52"/>
      <c r="BD57" s="52"/>
      <c r="BE57" s="51"/>
      <c r="BF57" s="52"/>
    </row>
    <row r="58" spans="1:58" ht="12.95" customHeight="1">
      <c r="A58" s="41">
        <v>45972</v>
      </c>
      <c r="B58" s="42" t="s">
        <v>431</v>
      </c>
      <c r="C58" s="443">
        <f t="shared" ref="C58" si="98">(M58*E58*O58*Q58)/100000000</f>
        <v>53.455580640000008</v>
      </c>
      <c r="D58" s="42" t="s">
        <v>434</v>
      </c>
      <c r="E58" s="43">
        <v>13.5</v>
      </c>
      <c r="F58" s="43">
        <v>1</v>
      </c>
      <c r="G58" s="498">
        <v>1345</v>
      </c>
      <c r="H58" s="45">
        <f t="shared" ref="H58" si="99">+N58</f>
        <v>0.22999999999999987</v>
      </c>
      <c r="I58" s="46">
        <v>0.88</v>
      </c>
      <c r="J58" s="83">
        <f t="shared" ref="J58" si="100">E58*G58*(1-H58)*1440/1000000*2.74</f>
        <v>55.164518640000018</v>
      </c>
      <c r="K58" s="83">
        <f>(IF(G58&lt;L58,L58,G58)*(1-IF(H58&lt;N58,H58,N58))*E58*O58*Q58)/100000000</f>
        <v>55.164518640000011</v>
      </c>
      <c r="L58" s="36">
        <v>1303.3333333333333</v>
      </c>
      <c r="M58" s="36">
        <v>1003.5666666666667</v>
      </c>
      <c r="N58" s="47">
        <f t="shared" ref="N58" si="101">1-(M58/L58)</f>
        <v>0.22999999999999987</v>
      </c>
      <c r="O58" s="48">
        <f>+'Trim Rwd'!H40</f>
        <v>274</v>
      </c>
      <c r="P58" s="49">
        <f t="shared" ref="P58" si="102">O58*(Q58-R58-S58)</f>
        <v>380312</v>
      </c>
      <c r="Q58" s="48">
        <v>1440</v>
      </c>
      <c r="R58" s="499">
        <v>0</v>
      </c>
      <c r="S58" s="499">
        <v>52</v>
      </c>
      <c r="T58" s="38">
        <f t="shared" ref="T58" si="103">E58*M58*O58*Q58/100000000</f>
        <v>53.455580640000008</v>
      </c>
      <c r="U58" s="38">
        <f t="shared" ref="U58" si="104">E58*M58*O58*(Q58-R58-S58)/100000000</f>
        <v>51.525240228000008</v>
      </c>
      <c r="V58" s="38">
        <f t="shared" ref="V58" si="105">E58*G58*(1-N58)*O58/100*(R58+S58)/1000000</f>
        <v>1.9920520620000004</v>
      </c>
      <c r="W58" s="38">
        <f>+'11'!K7/1000</f>
        <v>50.652999999999999</v>
      </c>
      <c r="X58" s="500">
        <f>SUM(W58:W61)/SUM(K58:K61)</f>
        <v>0.91821702153440543</v>
      </c>
      <c r="Y58" s="212">
        <f>+SUM(RBP!AG49:AG50)</f>
        <v>0</v>
      </c>
      <c r="Z58" s="38">
        <v>0</v>
      </c>
      <c r="AA58" s="50">
        <f>SUM(U58:U61)-SUM(W58:W61)-SUM(Z58:Z61)-SUM(Y58:Y61)</f>
        <v>0.87224022800000967</v>
      </c>
      <c r="AB58" s="50">
        <f>(SUM(K58:K61)-SUM(W58:W61)-SUM(Y58:Y61)-SUM(Z58:Z61)-SUM(AC58:AC61)-SUM(V58:V61))-AA58</f>
        <v>-6.1711650000000784E-2</v>
      </c>
      <c r="AC58" s="38">
        <f>K58-T58</f>
        <v>1.7089380000000034</v>
      </c>
      <c r="AD58" s="38">
        <f>+AM58+BA58</f>
        <v>0</v>
      </c>
      <c r="AE58" s="231" t="s">
        <v>390</v>
      </c>
      <c r="AF58" s="38">
        <v>0</v>
      </c>
      <c r="AG58" s="38"/>
      <c r="AH58" s="38"/>
      <c r="AI58" s="501"/>
      <c r="AJ58" s="38"/>
      <c r="AK58" s="38"/>
      <c r="AL58" s="38"/>
      <c r="AM58" s="38">
        <f>SUM(AF58:AL58)+AT58</f>
        <v>0</v>
      </c>
      <c r="AN58" s="38"/>
      <c r="AO58" s="38"/>
      <c r="AP58" s="38"/>
      <c r="AQ58" s="38"/>
      <c r="AR58" s="38">
        <f>SUM(AN58:AQ58)</f>
        <v>0</v>
      </c>
      <c r="AS58" s="38"/>
      <c r="AT58" s="38"/>
      <c r="AU58" s="38"/>
      <c r="AV58" s="38"/>
      <c r="AW58" s="38"/>
      <c r="AX58" s="38"/>
      <c r="AY58" s="38"/>
      <c r="AZ58" s="38"/>
      <c r="BA58" s="38">
        <f>+AR58+AS58+AU58+AV58+AX58</f>
        <v>0</v>
      </c>
      <c r="BB58" s="34">
        <v>0</v>
      </c>
      <c r="BC58" s="52"/>
      <c r="BD58" s="52"/>
      <c r="BE58" s="34"/>
      <c r="BF58" s="52"/>
    </row>
    <row r="59" spans="1:58" ht="12.95" customHeight="1">
      <c r="A59" s="41"/>
      <c r="B59" s="42"/>
      <c r="C59" s="443"/>
      <c r="D59" s="42"/>
      <c r="E59" s="43"/>
      <c r="F59" s="43"/>
      <c r="G59" s="498"/>
      <c r="H59" s="45"/>
      <c r="I59" s="46"/>
      <c r="J59" s="83"/>
      <c r="K59" s="83"/>
      <c r="L59" s="36"/>
      <c r="M59" s="36"/>
      <c r="N59" s="47"/>
      <c r="O59" s="48"/>
      <c r="P59" s="49"/>
      <c r="Q59" s="48"/>
      <c r="R59" s="499"/>
      <c r="S59" s="499"/>
      <c r="T59" s="38"/>
      <c r="U59" s="38"/>
      <c r="V59" s="38"/>
      <c r="W59" s="38"/>
      <c r="X59" s="39"/>
      <c r="Y59" s="212"/>
      <c r="Z59" s="38"/>
      <c r="AA59" s="38"/>
      <c r="AB59" s="38"/>
      <c r="AC59" s="38">
        <f>K59-T59</f>
        <v>0</v>
      </c>
      <c r="AD59" s="38">
        <f t="shared" ref="AD59:AD61" si="106">+AM59+BA59</f>
        <v>12</v>
      </c>
      <c r="AE59" s="231" t="s">
        <v>570</v>
      </c>
      <c r="AF59" s="38"/>
      <c r="AG59" s="38">
        <v>12</v>
      </c>
      <c r="AH59" s="38"/>
      <c r="AI59" s="501"/>
      <c r="AJ59" s="38"/>
      <c r="AK59" s="38"/>
      <c r="AL59" s="38"/>
      <c r="AM59" s="38">
        <f t="shared" ref="AM59:AM61" si="107">SUM(AF59:AL59)+AT59</f>
        <v>12</v>
      </c>
      <c r="AN59" s="84"/>
      <c r="AO59" s="38"/>
      <c r="AP59" s="38"/>
      <c r="AQ59" s="38"/>
      <c r="AR59" s="38">
        <f t="shared" ref="AR59:AR61" si="108">SUM(AN59:AQ59)</f>
        <v>0</v>
      </c>
      <c r="AS59" s="38"/>
      <c r="AT59" s="38"/>
      <c r="AU59" s="38"/>
      <c r="AV59" s="38"/>
      <c r="AW59" s="38"/>
      <c r="AX59" s="38"/>
      <c r="AY59" s="38"/>
      <c r="AZ59" s="38"/>
      <c r="BA59" s="38">
        <f t="shared" ref="BA59:BA61" si="109">+AR59+AS59+AU59+AV59+AX59</f>
        <v>0</v>
      </c>
      <c r="BB59" s="51"/>
      <c r="BC59" s="52">
        <v>9</v>
      </c>
      <c r="BD59" s="52"/>
      <c r="BE59" s="51"/>
      <c r="BF59" s="52"/>
    </row>
    <row r="60" spans="1:58" ht="12.95" customHeight="1">
      <c r="A60" s="41"/>
      <c r="B60" s="42"/>
      <c r="C60" s="443"/>
      <c r="D60" s="42"/>
      <c r="E60" s="43"/>
      <c r="F60" s="43"/>
      <c r="G60" s="44"/>
      <c r="H60" s="45"/>
      <c r="I60" s="46"/>
      <c r="J60" s="83"/>
      <c r="K60" s="83"/>
      <c r="L60" s="36"/>
      <c r="M60" s="36"/>
      <c r="N60" s="47"/>
      <c r="O60" s="48"/>
      <c r="P60" s="49"/>
      <c r="Q60" s="48"/>
      <c r="R60" s="499"/>
      <c r="S60" s="499"/>
      <c r="T60" s="38"/>
      <c r="U60" s="38"/>
      <c r="V60" s="38"/>
      <c r="W60" s="38"/>
      <c r="X60" s="39"/>
      <c r="Y60" s="212"/>
      <c r="Z60" s="38"/>
      <c r="AA60" s="38"/>
      <c r="AB60" s="38"/>
      <c r="AC60" s="38"/>
      <c r="AD60" s="38">
        <f t="shared" si="106"/>
        <v>22</v>
      </c>
      <c r="AE60" s="231" t="s">
        <v>571</v>
      </c>
      <c r="AF60" s="34"/>
      <c r="AG60" s="34"/>
      <c r="AH60" s="34">
        <v>22</v>
      </c>
      <c r="AJ60" s="38"/>
      <c r="AK60" s="38"/>
      <c r="AL60" s="38"/>
      <c r="AM60" s="38">
        <f t="shared" si="107"/>
        <v>22</v>
      </c>
      <c r="AN60" s="38"/>
      <c r="AO60" s="38"/>
      <c r="AP60" s="38"/>
      <c r="AQ60" s="38"/>
      <c r="AR60" s="38">
        <f t="shared" si="108"/>
        <v>0</v>
      </c>
      <c r="AS60" s="38"/>
      <c r="AT60" s="38"/>
      <c r="AU60" s="38"/>
      <c r="AV60" s="38"/>
      <c r="AW60" s="38"/>
      <c r="AX60" s="38"/>
      <c r="AY60" s="38"/>
      <c r="AZ60" s="38"/>
      <c r="BA60" s="38">
        <f t="shared" si="109"/>
        <v>0</v>
      </c>
      <c r="BB60" s="34"/>
      <c r="BC60" s="502"/>
      <c r="BD60" s="502"/>
      <c r="BE60" s="34"/>
      <c r="BF60" s="502"/>
    </row>
    <row r="61" spans="1:58" ht="12.95" customHeight="1">
      <c r="A61" s="41"/>
      <c r="B61" s="42"/>
      <c r="C61" s="443"/>
      <c r="D61" s="42"/>
      <c r="E61" s="43"/>
      <c r="F61" s="43"/>
      <c r="G61" s="44"/>
      <c r="H61" s="45"/>
      <c r="I61" s="46"/>
      <c r="J61" s="83"/>
      <c r="K61" s="83"/>
      <c r="L61" s="36"/>
      <c r="M61" s="36"/>
      <c r="N61" s="47"/>
      <c r="O61" s="48"/>
      <c r="P61" s="49"/>
      <c r="Q61" s="35"/>
      <c r="R61" s="499"/>
      <c r="S61" s="499"/>
      <c r="T61" s="38"/>
      <c r="U61" s="38"/>
      <c r="V61" s="38"/>
      <c r="W61" s="38"/>
      <c r="X61" s="39"/>
      <c r="Y61" s="212"/>
      <c r="Z61" s="38"/>
      <c r="AA61" s="38"/>
      <c r="AB61" s="38"/>
      <c r="AC61" s="38"/>
      <c r="AD61" s="38">
        <f t="shared" si="106"/>
        <v>18</v>
      </c>
      <c r="AE61" s="234" t="s">
        <v>228</v>
      </c>
      <c r="AF61" s="38"/>
      <c r="AG61" s="38"/>
      <c r="AH61" s="38"/>
      <c r="AI61" s="501">
        <v>18</v>
      </c>
      <c r="AJ61" s="38"/>
      <c r="AK61" s="38"/>
      <c r="AL61" s="38"/>
      <c r="AM61" s="38">
        <f t="shared" si="107"/>
        <v>18</v>
      </c>
      <c r="AN61" s="38"/>
      <c r="AO61" s="38"/>
      <c r="AP61" s="38"/>
      <c r="AQ61" s="38"/>
      <c r="AR61" s="38">
        <f t="shared" si="108"/>
        <v>0</v>
      </c>
      <c r="AS61" s="38"/>
      <c r="AT61" s="38"/>
      <c r="AU61" s="38"/>
      <c r="AV61" s="38"/>
      <c r="AW61" s="38"/>
      <c r="AX61" s="38"/>
      <c r="AY61" s="38"/>
      <c r="AZ61" s="38"/>
      <c r="BA61" s="38">
        <f t="shared" si="109"/>
        <v>0</v>
      </c>
      <c r="BB61" s="51"/>
      <c r="BC61" s="52"/>
      <c r="BD61" s="52"/>
      <c r="BE61" s="51"/>
      <c r="BF61" s="52"/>
    </row>
    <row r="62" spans="1:58" ht="12.95" customHeight="1">
      <c r="A62" s="41"/>
      <c r="B62" s="42"/>
      <c r="C62" s="443"/>
      <c r="D62" s="42"/>
      <c r="E62" s="43"/>
      <c r="F62" s="43"/>
      <c r="G62" s="44"/>
      <c r="H62" s="44"/>
      <c r="I62" s="46"/>
      <c r="J62" s="83"/>
      <c r="K62" s="83"/>
      <c r="L62" s="36"/>
      <c r="M62" s="36"/>
      <c r="N62" s="47"/>
      <c r="O62" s="48"/>
      <c r="P62" s="49"/>
      <c r="Q62" s="48"/>
      <c r="R62" s="499"/>
      <c r="S62" s="499"/>
      <c r="T62" s="38"/>
      <c r="U62" s="38"/>
      <c r="V62" s="38"/>
      <c r="W62" s="38"/>
      <c r="X62" s="39"/>
      <c r="Y62" s="212"/>
      <c r="Z62" s="38"/>
      <c r="AA62" s="50"/>
      <c r="AB62" s="50"/>
      <c r="AC62" s="38"/>
      <c r="AD62" s="38"/>
      <c r="AE62" s="234"/>
      <c r="AF62" s="38"/>
      <c r="AG62" s="38"/>
      <c r="AH62" s="38"/>
      <c r="AI62" s="38"/>
      <c r="AJ62" s="38"/>
      <c r="AK62" s="38"/>
      <c r="AL62" s="38"/>
      <c r="AM62" s="38"/>
      <c r="AN62" s="38"/>
      <c r="AO62" s="38"/>
      <c r="AP62" s="38"/>
      <c r="AQ62" s="38"/>
      <c r="AR62" s="38"/>
      <c r="AS62" s="38"/>
      <c r="AT62" s="38"/>
      <c r="AU62" s="38"/>
      <c r="AV62" s="38"/>
      <c r="AW62" s="38"/>
      <c r="AX62" s="38"/>
      <c r="AY62" s="38"/>
      <c r="AZ62" s="38"/>
      <c r="BA62" s="38"/>
      <c r="BB62" s="34"/>
      <c r="BC62" s="52"/>
      <c r="BD62" s="52"/>
      <c r="BE62" s="51"/>
      <c r="BF62" s="52"/>
    </row>
    <row r="63" spans="1:58" ht="12.95" customHeight="1">
      <c r="A63" s="41">
        <v>45973</v>
      </c>
      <c r="B63" s="42" t="s">
        <v>431</v>
      </c>
      <c r="C63" s="443">
        <f t="shared" ref="C63" si="110">(M63*E63*O63*Q63)/100000000</f>
        <v>53.318865600000002</v>
      </c>
      <c r="D63" s="42" t="s">
        <v>434</v>
      </c>
      <c r="E63" s="43">
        <v>13.5</v>
      </c>
      <c r="F63" s="43">
        <v>1</v>
      </c>
      <c r="G63" s="498">
        <v>1345</v>
      </c>
      <c r="H63" s="45">
        <f t="shared" ref="H63" si="111">+N63</f>
        <v>0.22999999999999998</v>
      </c>
      <c r="I63" s="46">
        <v>0.88</v>
      </c>
      <c r="J63" s="83">
        <f t="shared" ref="J63" si="112">E63*G63*(1-H63)*1440/1000000*2.74</f>
        <v>55.164518640000004</v>
      </c>
      <c r="K63" s="83">
        <f>(IF(G63&lt;L63,L63,G63)*(1-IF(H63&lt;N63,H63,N63))*E63*O63*Q63)/100000000</f>
        <v>55.164518640000011</v>
      </c>
      <c r="L63" s="36">
        <v>1300</v>
      </c>
      <c r="M63" s="36">
        <v>1001</v>
      </c>
      <c r="N63" s="47">
        <f t="shared" ref="N63" si="113">1-(M63/L63)</f>
        <v>0.22999999999999998</v>
      </c>
      <c r="O63" s="48">
        <f>+'Trim Rwd'!H42</f>
        <v>274</v>
      </c>
      <c r="P63" s="49">
        <f t="shared" ref="P63" si="114">O63*(Q63-R63-S63)</f>
        <v>377572</v>
      </c>
      <c r="Q63" s="48">
        <v>1440</v>
      </c>
      <c r="R63" s="499">
        <v>0</v>
      </c>
      <c r="S63" s="499">
        <v>62</v>
      </c>
      <c r="T63" s="38">
        <f t="shared" ref="T63" si="115">E63*M63*O63*Q63/100000000</f>
        <v>53.318865600000002</v>
      </c>
      <c r="U63" s="38">
        <f t="shared" ref="U63" si="116">E63*M63*O63*(Q63-R63-S63)/100000000</f>
        <v>51.023192219999999</v>
      </c>
      <c r="V63" s="38">
        <f t="shared" ref="V63" si="117">E63*G63*(1-N63)*O63/100*(R63+S63)/1000000</f>
        <v>2.3751389970000001</v>
      </c>
      <c r="W63" s="38">
        <f>+'12'!K7/1000</f>
        <v>49.13</v>
      </c>
      <c r="X63" s="500">
        <f>SUM(W63:W66)/SUM(K63:K66)</f>
        <v>0.89060869579265478</v>
      </c>
      <c r="Y63" s="212">
        <f>+SUM(RBP!AG54:AG55)</f>
        <v>0</v>
      </c>
      <c r="Z63" s="38">
        <f>+'12'!D25/1000</f>
        <v>0.68</v>
      </c>
      <c r="AA63" s="50">
        <f>SUM(U63:U66)-SUM(W63:W66)-SUM(Z63:Z66)-SUM(Y63:Y66)</f>
        <v>1.2131922199999958</v>
      </c>
      <c r="AB63" s="50">
        <f>(SUM(K63:K66)-SUM(W63:W66)-SUM(Y63:Y66)-SUM(Z63:Z66)-SUM(AC63:AC66)-SUM(V63:V66))-AA63</f>
        <v>-7.9465616999995881E-2</v>
      </c>
      <c r="AC63" s="38">
        <f>K63-T63</f>
        <v>1.8456530400000091</v>
      </c>
      <c r="AD63" s="38">
        <f>+AM63+BA63</f>
        <v>0</v>
      </c>
      <c r="AE63" s="231" t="s">
        <v>390</v>
      </c>
      <c r="AF63" s="38">
        <v>0</v>
      </c>
      <c r="AG63" s="38"/>
      <c r="AH63" s="38"/>
      <c r="AI63" s="501"/>
      <c r="AJ63" s="38"/>
      <c r="AK63" s="38"/>
      <c r="AL63" s="38"/>
      <c r="AM63" s="38">
        <f>SUM(AF63:AL63)+AT63</f>
        <v>0</v>
      </c>
      <c r="AN63" s="38"/>
      <c r="AO63" s="38"/>
      <c r="AP63" s="38"/>
      <c r="AQ63" s="38"/>
      <c r="AR63" s="38">
        <f>SUM(AN63:AQ63)</f>
        <v>0</v>
      </c>
      <c r="AS63" s="38"/>
      <c r="AT63" s="38"/>
      <c r="AU63" s="38"/>
      <c r="AV63" s="38"/>
      <c r="AW63" s="38"/>
      <c r="AX63" s="38"/>
      <c r="AY63" s="38"/>
      <c r="AZ63" s="38"/>
      <c r="BA63" s="38">
        <f>+AR63+AS63+AU63+AV63+AX63</f>
        <v>0</v>
      </c>
      <c r="BB63" s="34">
        <v>0</v>
      </c>
      <c r="BC63" s="52"/>
      <c r="BD63" s="52"/>
      <c r="BE63" s="34"/>
      <c r="BF63" s="52"/>
    </row>
    <row r="64" spans="1:58" ht="12.95" customHeight="1">
      <c r="A64" s="41"/>
      <c r="B64" s="42"/>
      <c r="C64" s="443"/>
      <c r="D64" s="42"/>
      <c r="E64" s="43"/>
      <c r="F64" s="43"/>
      <c r="G64" s="498"/>
      <c r="H64" s="45"/>
      <c r="I64" s="46"/>
      <c r="J64" s="83"/>
      <c r="K64" s="83"/>
      <c r="L64" s="36"/>
      <c r="M64" s="36"/>
      <c r="N64" s="47"/>
      <c r="O64" s="48"/>
      <c r="P64" s="49"/>
      <c r="Q64" s="48"/>
      <c r="R64" s="499"/>
      <c r="S64" s="499"/>
      <c r="T64" s="38"/>
      <c r="U64" s="38"/>
      <c r="V64" s="38"/>
      <c r="W64" s="38"/>
      <c r="X64" s="39"/>
      <c r="Y64" s="212"/>
      <c r="Z64" s="38"/>
      <c r="AA64" s="38"/>
      <c r="AB64" s="38"/>
      <c r="AC64" s="38">
        <f>K64-T64</f>
        <v>0</v>
      </c>
      <c r="AD64" s="38">
        <f t="shared" ref="AD64:AD66" si="118">+AM64+BA64</f>
        <v>19</v>
      </c>
      <c r="AE64" s="231" t="s">
        <v>525</v>
      </c>
      <c r="AF64" s="38"/>
      <c r="AG64" s="38">
        <v>19</v>
      </c>
      <c r="AH64" s="38"/>
      <c r="AI64" s="501"/>
      <c r="AJ64" s="38"/>
      <c r="AK64" s="38"/>
      <c r="AL64" s="38"/>
      <c r="AM64" s="38">
        <f t="shared" ref="AM64:AM66" si="119">SUM(AF64:AL64)+AT64</f>
        <v>19</v>
      </c>
      <c r="AN64" s="84"/>
      <c r="AO64" s="38"/>
      <c r="AP64" s="38"/>
      <c r="AQ64" s="38"/>
      <c r="AR64" s="38">
        <f t="shared" ref="AR64:AR66" si="120">SUM(AN64:AQ64)</f>
        <v>0</v>
      </c>
      <c r="AS64" s="38"/>
      <c r="AT64" s="38"/>
      <c r="AU64" s="38"/>
      <c r="AV64" s="38"/>
      <c r="AW64" s="38"/>
      <c r="AX64" s="38"/>
      <c r="AY64" s="38"/>
      <c r="AZ64" s="38"/>
      <c r="BA64" s="38">
        <f t="shared" ref="BA64:BA66" si="121">+AR64+AS64+AU64+AV64+AX64</f>
        <v>0</v>
      </c>
      <c r="BB64" s="51"/>
      <c r="BC64" s="52">
        <v>7</v>
      </c>
      <c r="BD64" s="52"/>
      <c r="BE64" s="51"/>
      <c r="BF64" s="52"/>
    </row>
    <row r="65" spans="1:58" ht="12.95" customHeight="1">
      <c r="A65" s="41"/>
      <c r="B65" s="42"/>
      <c r="C65" s="443"/>
      <c r="D65" s="42"/>
      <c r="E65" s="43"/>
      <c r="F65" s="43"/>
      <c r="G65" s="44"/>
      <c r="H65" s="45"/>
      <c r="I65" s="46"/>
      <c r="J65" s="83"/>
      <c r="K65" s="83"/>
      <c r="L65" s="36"/>
      <c r="M65" s="36"/>
      <c r="N65" s="47"/>
      <c r="O65" s="48"/>
      <c r="P65" s="49"/>
      <c r="Q65" s="48"/>
      <c r="R65" s="499"/>
      <c r="S65" s="499"/>
      <c r="T65" s="38"/>
      <c r="U65" s="38"/>
      <c r="V65" s="38"/>
      <c r="W65" s="38"/>
      <c r="X65" s="39"/>
      <c r="Y65" s="212"/>
      <c r="Z65" s="38"/>
      <c r="AA65" s="38"/>
      <c r="AB65" s="38"/>
      <c r="AC65" s="38"/>
      <c r="AD65" s="38">
        <f t="shared" si="118"/>
        <v>33</v>
      </c>
      <c r="AE65" s="231" t="s">
        <v>478</v>
      </c>
      <c r="AF65" s="34"/>
      <c r="AG65" s="34"/>
      <c r="AH65" s="34">
        <v>33</v>
      </c>
      <c r="AJ65" s="38"/>
      <c r="AK65" s="38"/>
      <c r="AL65" s="38"/>
      <c r="AM65" s="38">
        <f t="shared" si="119"/>
        <v>33</v>
      </c>
      <c r="AN65" s="38"/>
      <c r="AO65" s="38"/>
      <c r="AP65" s="38"/>
      <c r="AQ65" s="38"/>
      <c r="AR65" s="38">
        <f t="shared" si="120"/>
        <v>0</v>
      </c>
      <c r="AS65" s="38"/>
      <c r="AT65" s="38"/>
      <c r="AU65" s="38"/>
      <c r="AV65" s="38"/>
      <c r="AW65" s="38"/>
      <c r="AX65" s="38"/>
      <c r="AY65" s="38"/>
      <c r="AZ65" s="38"/>
      <c r="BA65" s="38">
        <f t="shared" si="121"/>
        <v>0</v>
      </c>
      <c r="BB65" s="34"/>
      <c r="BC65" s="502"/>
      <c r="BD65" s="502"/>
      <c r="BE65" s="34"/>
      <c r="BF65" s="502"/>
    </row>
    <row r="66" spans="1:58" ht="12.95" customHeight="1">
      <c r="A66" s="41"/>
      <c r="B66" s="42"/>
      <c r="C66" s="443"/>
      <c r="D66" s="42"/>
      <c r="E66" s="43"/>
      <c r="F66" s="43"/>
      <c r="G66" s="44"/>
      <c r="H66" s="45"/>
      <c r="I66" s="46"/>
      <c r="J66" s="83"/>
      <c r="K66" s="83"/>
      <c r="L66" s="36"/>
      <c r="M66" s="36"/>
      <c r="N66" s="47"/>
      <c r="O66" s="48"/>
      <c r="P66" s="49"/>
      <c r="Q66" s="35"/>
      <c r="R66" s="499"/>
      <c r="S66" s="499"/>
      <c r="T66" s="38"/>
      <c r="U66" s="38"/>
      <c r="V66" s="38"/>
      <c r="W66" s="38"/>
      <c r="X66" s="39"/>
      <c r="Y66" s="212"/>
      <c r="Z66" s="38"/>
      <c r="AA66" s="38"/>
      <c r="AB66" s="38"/>
      <c r="AC66" s="38"/>
      <c r="AD66" s="38">
        <f t="shared" si="118"/>
        <v>10</v>
      </c>
      <c r="AE66" s="234" t="s">
        <v>228</v>
      </c>
      <c r="AF66" s="38"/>
      <c r="AG66" s="38"/>
      <c r="AH66" s="38"/>
      <c r="AI66" s="501">
        <v>10</v>
      </c>
      <c r="AJ66" s="38"/>
      <c r="AK66" s="38"/>
      <c r="AL66" s="38"/>
      <c r="AM66" s="38">
        <f t="shared" si="119"/>
        <v>10</v>
      </c>
      <c r="AN66" s="38"/>
      <c r="AO66" s="38"/>
      <c r="AP66" s="38"/>
      <c r="AQ66" s="38"/>
      <c r="AR66" s="38">
        <f t="shared" si="120"/>
        <v>0</v>
      </c>
      <c r="AS66" s="38"/>
      <c r="AT66" s="38"/>
      <c r="AU66" s="38"/>
      <c r="AV66" s="38"/>
      <c r="AW66" s="38"/>
      <c r="AX66" s="38"/>
      <c r="AY66" s="38"/>
      <c r="AZ66" s="38"/>
      <c r="BA66" s="38">
        <f t="shared" si="121"/>
        <v>0</v>
      </c>
      <c r="BB66" s="51"/>
      <c r="BC66" s="52"/>
      <c r="BD66" s="52"/>
      <c r="BE66" s="51"/>
      <c r="BF66" s="52"/>
    </row>
    <row r="67" spans="1:58" ht="12.95" customHeight="1">
      <c r="A67" s="41"/>
      <c r="B67" s="42"/>
      <c r="C67" s="443"/>
      <c r="D67" s="42"/>
      <c r="E67" s="43"/>
      <c r="F67" s="43"/>
      <c r="G67" s="44"/>
      <c r="H67" s="44"/>
      <c r="I67" s="46"/>
      <c r="J67" s="83"/>
      <c r="K67" s="83"/>
      <c r="L67" s="36"/>
      <c r="M67" s="36"/>
      <c r="N67" s="47"/>
      <c r="O67" s="48"/>
      <c r="P67" s="49"/>
      <c r="Q67" s="48"/>
      <c r="R67" s="499"/>
      <c r="S67" s="499"/>
      <c r="T67" s="38"/>
      <c r="U67" s="38"/>
      <c r="V67" s="38"/>
      <c r="W67" s="38"/>
      <c r="X67" s="39"/>
      <c r="Y67" s="212"/>
      <c r="Z67" s="38"/>
      <c r="AA67" s="50"/>
      <c r="AB67" s="50"/>
      <c r="AC67" s="38"/>
      <c r="AD67" s="38"/>
      <c r="AE67" s="234"/>
      <c r="AF67" s="38"/>
      <c r="AG67" s="38"/>
      <c r="AH67" s="38"/>
      <c r="AI67" s="38"/>
      <c r="AJ67" s="38"/>
      <c r="AK67" s="38"/>
      <c r="AL67" s="38"/>
      <c r="AM67" s="38"/>
      <c r="AN67" s="38"/>
      <c r="AO67" s="38"/>
      <c r="AP67" s="38"/>
      <c r="AQ67" s="38"/>
      <c r="AR67" s="38"/>
      <c r="AS67" s="38"/>
      <c r="AT67" s="38"/>
      <c r="AU67" s="38"/>
      <c r="AV67" s="38"/>
      <c r="AW67" s="38"/>
      <c r="AX67" s="38"/>
      <c r="AY67" s="38"/>
      <c r="AZ67" s="38"/>
      <c r="BA67" s="38"/>
      <c r="BB67" s="34"/>
      <c r="BC67" s="52"/>
      <c r="BD67" s="52"/>
      <c r="BE67" s="51"/>
      <c r="BF67" s="52"/>
    </row>
    <row r="68" spans="1:58" ht="12.95" customHeight="1">
      <c r="A68" s="41">
        <v>45974</v>
      </c>
      <c r="B68" s="42" t="s">
        <v>431</v>
      </c>
      <c r="C68" s="443">
        <f t="shared" ref="C68" si="122">(M68*E68*O68*Q68)/100000000</f>
        <v>49.801276521616877</v>
      </c>
      <c r="D68" s="42" t="s">
        <v>434</v>
      </c>
      <c r="E68" s="43">
        <v>13.5</v>
      </c>
      <c r="F68" s="43">
        <v>1</v>
      </c>
      <c r="G68" s="498">
        <v>1345</v>
      </c>
      <c r="H68" s="45">
        <f t="shared" ref="H68" si="123">+N68</f>
        <v>0.22999999999999998</v>
      </c>
      <c r="I68" s="46">
        <v>0.88</v>
      </c>
      <c r="J68" s="83">
        <f t="shared" ref="J68" si="124">E68*G68*(1-H68)*1440/1000000*2.74</f>
        <v>55.164518640000004</v>
      </c>
      <c r="K68" s="83">
        <f>(IF(G68&lt;L68,L68,G68)*(1-IF(H68&lt;N68,H68,N68))*E68*O68*Q68)/100000000</f>
        <v>55.164518640000011</v>
      </c>
      <c r="L68" s="36">
        <v>1214.2355008787347</v>
      </c>
      <c r="M68" s="36">
        <v>934.96133567662571</v>
      </c>
      <c r="N68" s="47">
        <f t="shared" ref="N68" si="125">1-(M68/L68)</f>
        <v>0.22999999999999998</v>
      </c>
      <c r="O68" s="48">
        <f>+'Trim Rwd'!H44</f>
        <v>274</v>
      </c>
      <c r="P68" s="49">
        <f t="shared" ref="P68" si="126">O68*(Q68-R68-S68)</f>
        <v>298386</v>
      </c>
      <c r="Q68" s="48">
        <v>1440</v>
      </c>
      <c r="R68" s="499">
        <f>170+132</f>
        <v>302</v>
      </c>
      <c r="S68" s="499">
        <v>49</v>
      </c>
      <c r="T68" s="38">
        <f t="shared" ref="T68" si="127">E68*M68*O68*Q68/100000000</f>
        <v>49.801276521616877</v>
      </c>
      <c r="U68" s="38">
        <f t="shared" ref="U68" si="128">E68*M68*O68*(Q68-R68-S68)/100000000</f>
        <v>37.662215369472769</v>
      </c>
      <c r="V68" s="38">
        <f t="shared" ref="V68" si="129">E68*G68*(1-N68)*O68/100*(R68+S68)/1000000</f>
        <v>13.446351418500001</v>
      </c>
      <c r="W68" s="38">
        <f>+'13'!K7/1000</f>
        <v>29.459</v>
      </c>
      <c r="X68" s="500">
        <f>SUM(W68:W71)/SUM(K68:K71)</f>
        <v>0.53402079318859785</v>
      </c>
      <c r="Y68" s="212">
        <f>+SUM(RBP!AG59:AG60)</f>
        <v>0</v>
      </c>
      <c r="Z68" s="38">
        <f>+'12'!D30/1000</f>
        <v>0</v>
      </c>
      <c r="AA68" s="50">
        <f>SUM(U68:U71)-SUM(W68:W71)-SUM(Z68:Z71)-SUM(Y68:Y71)</f>
        <v>8.203215369472769</v>
      </c>
      <c r="AB68" s="50">
        <f>(SUM(K68:K71)-SUM(W68:W71)-SUM(Y68:Y71)-SUM(Z68:Z71)-SUM(AC68:AC71)-SUM(V68:V71))-AA68</f>
        <v>-1.3072902663558921</v>
      </c>
      <c r="AC68" s="38">
        <f>K68-T68</f>
        <v>5.363242118383134</v>
      </c>
      <c r="AD68" s="38">
        <f>+AM68+BA68</f>
        <v>9</v>
      </c>
      <c r="AE68" s="231" t="s">
        <v>583</v>
      </c>
      <c r="AF68" s="38">
        <v>9</v>
      </c>
      <c r="AG68" s="38"/>
      <c r="AH68" s="38"/>
      <c r="AI68" s="501"/>
      <c r="AJ68" s="38"/>
      <c r="AK68" s="38"/>
      <c r="AL68" s="38"/>
      <c r="AM68" s="38">
        <f>SUM(AF68:AL68)+AT68</f>
        <v>9</v>
      </c>
      <c r="AN68" s="38"/>
      <c r="AO68" s="38"/>
      <c r="AP68" s="38"/>
      <c r="AQ68" s="38"/>
      <c r="AR68" s="38">
        <f>SUM(AN68:AQ68)</f>
        <v>0</v>
      </c>
      <c r="AS68" s="38"/>
      <c r="AT68" s="38"/>
      <c r="AU68" s="38"/>
      <c r="AV68" s="38"/>
      <c r="AW68" s="38"/>
      <c r="AX68" s="38"/>
      <c r="AY68" s="38"/>
      <c r="AZ68" s="38"/>
      <c r="BA68" s="38">
        <f>+AR68+AS68+AU68+AV68+AX68</f>
        <v>0</v>
      </c>
      <c r="BB68" s="34">
        <v>3</v>
      </c>
      <c r="BC68" s="52"/>
      <c r="BD68" s="52"/>
      <c r="BE68" s="34"/>
      <c r="BF68" s="52">
        <v>3</v>
      </c>
    </row>
    <row r="69" spans="1:58" ht="12.95" customHeight="1">
      <c r="A69" s="41"/>
      <c r="B69" s="42"/>
      <c r="C69" s="443"/>
      <c r="D69" s="42"/>
      <c r="E69" s="43"/>
      <c r="F69" s="43"/>
      <c r="G69" s="498"/>
      <c r="H69" s="45"/>
      <c r="I69" s="46"/>
      <c r="J69" s="83"/>
      <c r="K69" s="83"/>
      <c r="L69" s="36"/>
      <c r="M69" s="36"/>
      <c r="N69" s="47"/>
      <c r="O69" s="48"/>
      <c r="P69" s="49"/>
      <c r="Q69" s="48"/>
      <c r="R69" s="499"/>
      <c r="S69" s="499"/>
      <c r="T69" s="38"/>
      <c r="U69" s="38"/>
      <c r="V69" s="38"/>
      <c r="W69" s="38"/>
      <c r="X69" s="39"/>
      <c r="Y69" s="212"/>
      <c r="Z69" s="38"/>
      <c r="AA69" s="38"/>
      <c r="AB69" s="38"/>
      <c r="AC69" s="38">
        <f>K69-T69</f>
        <v>0</v>
      </c>
      <c r="AD69" s="38">
        <f t="shared" ref="AD69:AD73" si="130">+AM69+BA69</f>
        <v>7</v>
      </c>
      <c r="AE69" s="231" t="s">
        <v>398</v>
      </c>
      <c r="AF69" s="38"/>
      <c r="AG69" s="38">
        <v>7</v>
      </c>
      <c r="AH69" s="38"/>
      <c r="AI69" s="501"/>
      <c r="AJ69" s="38"/>
      <c r="AK69" s="38"/>
      <c r="AL69" s="38"/>
      <c r="AM69" s="38">
        <f t="shared" ref="AM69:AM71" si="131">SUM(AF69:AL69)+AT69</f>
        <v>7</v>
      </c>
      <c r="AN69" s="84"/>
      <c r="AO69" s="38"/>
      <c r="AP69" s="38"/>
      <c r="AQ69" s="38"/>
      <c r="AR69" s="38">
        <f t="shared" ref="AR69:AR71" si="132">SUM(AN69:AQ69)</f>
        <v>0</v>
      </c>
      <c r="AS69" s="38"/>
      <c r="AT69" s="38"/>
      <c r="AU69" s="38"/>
      <c r="AV69" s="38"/>
      <c r="AW69" s="38"/>
      <c r="AX69" s="38"/>
      <c r="AY69" s="38"/>
      <c r="AZ69" s="38"/>
      <c r="BA69" s="38">
        <f t="shared" ref="BA69:BA73" si="133">+AR69+AS69+AU69+AV69+AX69</f>
        <v>0</v>
      </c>
      <c r="BB69" s="51"/>
      <c r="BC69" s="52">
        <v>6</v>
      </c>
      <c r="BD69" s="52"/>
      <c r="BE69" s="51"/>
      <c r="BF69" s="52"/>
    </row>
    <row r="70" spans="1:58" ht="12.95" customHeight="1">
      <c r="A70" s="41"/>
      <c r="B70" s="42"/>
      <c r="C70" s="443"/>
      <c r="D70" s="42"/>
      <c r="E70" s="43"/>
      <c r="F70" s="43"/>
      <c r="G70" s="44"/>
      <c r="H70" s="45"/>
      <c r="I70" s="46"/>
      <c r="J70" s="83"/>
      <c r="K70" s="83"/>
      <c r="L70" s="36"/>
      <c r="M70" s="36"/>
      <c r="N70" s="47"/>
      <c r="O70" s="48"/>
      <c r="P70" s="49"/>
      <c r="Q70" s="48"/>
      <c r="R70" s="499"/>
      <c r="S70" s="499"/>
      <c r="T70" s="38"/>
      <c r="U70" s="38"/>
      <c r="V70" s="38"/>
      <c r="W70" s="38"/>
      <c r="X70" s="39"/>
      <c r="Y70" s="212"/>
      <c r="Z70" s="38"/>
      <c r="AA70" s="38"/>
      <c r="AB70" s="38"/>
      <c r="AC70" s="38"/>
      <c r="AD70" s="38">
        <f t="shared" si="130"/>
        <v>25</v>
      </c>
      <c r="AE70" s="231" t="s">
        <v>513</v>
      </c>
      <c r="AF70" s="34"/>
      <c r="AG70" s="34"/>
      <c r="AH70" s="34">
        <v>25</v>
      </c>
      <c r="AJ70" s="38"/>
      <c r="AK70" s="38"/>
      <c r="AL70" s="38"/>
      <c r="AM70" s="38">
        <f t="shared" si="131"/>
        <v>25</v>
      </c>
      <c r="AN70" s="38"/>
      <c r="AO70" s="38"/>
      <c r="AP70" s="38"/>
      <c r="AQ70" s="38"/>
      <c r="AR70" s="38">
        <f t="shared" si="132"/>
        <v>0</v>
      </c>
      <c r="AS70" s="38"/>
      <c r="AT70" s="38"/>
      <c r="AU70" s="38"/>
      <c r="AV70" s="38"/>
      <c r="AW70" s="38"/>
      <c r="AX70" s="38"/>
      <c r="AY70" s="38"/>
      <c r="AZ70" s="38"/>
      <c r="BA70" s="38">
        <f t="shared" si="133"/>
        <v>0</v>
      </c>
      <c r="BB70" s="34"/>
      <c r="BC70" s="502"/>
      <c r="BD70" s="502"/>
      <c r="BE70" s="34"/>
      <c r="BF70" s="502"/>
    </row>
    <row r="71" spans="1:58" ht="12.95" customHeight="1">
      <c r="A71" s="41"/>
      <c r="B71" s="42"/>
      <c r="C71" s="443"/>
      <c r="D71" s="42"/>
      <c r="E71" s="43"/>
      <c r="F71" s="43"/>
      <c r="G71" s="44"/>
      <c r="H71" s="45"/>
      <c r="I71" s="46"/>
      <c r="J71" s="83"/>
      <c r="K71" s="83"/>
      <c r="L71" s="36"/>
      <c r="M71" s="36"/>
      <c r="N71" s="47"/>
      <c r="O71" s="48"/>
      <c r="P71" s="49"/>
      <c r="Q71" s="35"/>
      <c r="R71" s="499"/>
      <c r="S71" s="499"/>
      <c r="T71" s="38"/>
      <c r="U71" s="38"/>
      <c r="V71" s="38"/>
      <c r="W71" s="38"/>
      <c r="X71" s="39"/>
      <c r="Y71" s="212"/>
      <c r="Z71" s="38"/>
      <c r="AA71" s="38"/>
      <c r="AB71" s="38"/>
      <c r="AC71" s="38"/>
      <c r="AD71" s="38">
        <f t="shared" si="130"/>
        <v>8</v>
      </c>
      <c r="AE71" s="234" t="s">
        <v>228</v>
      </c>
      <c r="AF71" s="38"/>
      <c r="AG71" s="38"/>
      <c r="AH71" s="38"/>
      <c r="AI71" s="501">
        <v>8</v>
      </c>
      <c r="AJ71" s="38"/>
      <c r="AK71" s="38"/>
      <c r="AL71" s="38"/>
      <c r="AM71" s="38">
        <f t="shared" si="131"/>
        <v>8</v>
      </c>
      <c r="AN71" s="38"/>
      <c r="AO71" s="38"/>
      <c r="AP71" s="38"/>
      <c r="AQ71" s="38"/>
      <c r="AR71" s="38">
        <f t="shared" si="132"/>
        <v>0</v>
      </c>
      <c r="AS71" s="38"/>
      <c r="AT71" s="38"/>
      <c r="AU71" s="38"/>
      <c r="AV71" s="38"/>
      <c r="AW71" s="38"/>
      <c r="AX71" s="38"/>
      <c r="AY71" s="38"/>
      <c r="AZ71" s="38"/>
      <c r="BA71" s="38">
        <f t="shared" si="133"/>
        <v>0</v>
      </c>
      <c r="BB71" s="51"/>
      <c r="BC71" s="52"/>
      <c r="BD71" s="52"/>
      <c r="BE71" s="51"/>
      <c r="BF71" s="52"/>
    </row>
    <row r="72" spans="1:58" ht="12.95" customHeight="1">
      <c r="A72" s="41"/>
      <c r="B72" s="42"/>
      <c r="C72" s="443"/>
      <c r="D72" s="42"/>
      <c r="E72" s="43"/>
      <c r="F72" s="43"/>
      <c r="G72" s="44"/>
      <c r="H72" s="45"/>
      <c r="I72" s="46"/>
      <c r="J72" s="83"/>
      <c r="K72" s="83"/>
      <c r="L72" s="36"/>
      <c r="M72" s="36"/>
      <c r="N72" s="47"/>
      <c r="O72" s="48"/>
      <c r="P72" s="49"/>
      <c r="Q72" s="35"/>
      <c r="R72" s="499"/>
      <c r="S72" s="499"/>
      <c r="T72" s="38"/>
      <c r="U72" s="38"/>
      <c r="V72" s="38"/>
      <c r="W72" s="38"/>
      <c r="X72" s="39"/>
      <c r="Y72" s="212"/>
      <c r="Z72" s="38"/>
      <c r="AA72" s="38"/>
      <c r="AB72" s="38"/>
      <c r="AC72" s="38"/>
      <c r="AD72" s="38">
        <f t="shared" si="130"/>
        <v>170</v>
      </c>
      <c r="AE72" s="234" t="s">
        <v>584</v>
      </c>
      <c r="AF72" s="38"/>
      <c r="AG72" s="38"/>
      <c r="AH72" s="38"/>
      <c r="AI72" s="501"/>
      <c r="AJ72" s="38"/>
      <c r="AK72" s="38"/>
      <c r="AL72" s="38"/>
      <c r="AM72" s="38">
        <f t="shared" ref="AM72:AM73" si="134">SUM(AF72:AL72)+AT72</f>
        <v>0</v>
      </c>
      <c r="AN72" s="38"/>
      <c r="AO72" s="38"/>
      <c r="AP72" s="38">
        <v>170</v>
      </c>
      <c r="AQ72" s="38"/>
      <c r="AR72" s="38">
        <f t="shared" ref="AR72:AR73" si="135">SUM(AN72:AQ72)</f>
        <v>170</v>
      </c>
      <c r="AS72" s="38"/>
      <c r="AT72" s="38"/>
      <c r="AU72" s="38"/>
      <c r="AV72" s="38"/>
      <c r="AW72" s="38"/>
      <c r="AX72" s="38"/>
      <c r="AY72" s="38"/>
      <c r="AZ72" s="38"/>
      <c r="BA72" s="38">
        <f t="shared" si="133"/>
        <v>170</v>
      </c>
      <c r="BB72" s="51"/>
      <c r="BC72" s="52"/>
      <c r="BD72" s="52"/>
      <c r="BE72" s="51"/>
      <c r="BF72" s="52"/>
    </row>
    <row r="73" spans="1:58" ht="12.95" customHeight="1">
      <c r="A73" s="41"/>
      <c r="B73" s="42"/>
      <c r="C73" s="443"/>
      <c r="D73" s="42"/>
      <c r="E73" s="43"/>
      <c r="F73" s="43"/>
      <c r="G73" s="44"/>
      <c r="H73" s="45"/>
      <c r="I73" s="46"/>
      <c r="J73" s="83"/>
      <c r="K73" s="83"/>
      <c r="L73" s="36"/>
      <c r="M73" s="36"/>
      <c r="N73" s="47"/>
      <c r="O73" s="48"/>
      <c r="P73" s="49"/>
      <c r="Q73" s="35"/>
      <c r="R73" s="499"/>
      <c r="S73" s="499"/>
      <c r="T73" s="38"/>
      <c r="U73" s="38"/>
      <c r="V73" s="38"/>
      <c r="W73" s="38"/>
      <c r="X73" s="39"/>
      <c r="Y73" s="212"/>
      <c r="Z73" s="38"/>
      <c r="AA73" s="38"/>
      <c r="AB73" s="38"/>
      <c r="AC73" s="38"/>
      <c r="AD73" s="38">
        <f t="shared" si="130"/>
        <v>132</v>
      </c>
      <c r="AE73" s="234" t="s">
        <v>585</v>
      </c>
      <c r="AF73" s="38"/>
      <c r="AG73" s="38"/>
      <c r="AH73" s="38"/>
      <c r="AI73" s="501"/>
      <c r="AJ73" s="38"/>
      <c r="AK73" s="38"/>
      <c r="AL73" s="38"/>
      <c r="AM73" s="38">
        <f t="shared" si="134"/>
        <v>0</v>
      </c>
      <c r="AN73" s="38">
        <v>132</v>
      </c>
      <c r="AO73" s="38"/>
      <c r="AP73" s="38"/>
      <c r="AQ73" s="38"/>
      <c r="AR73" s="38">
        <f t="shared" si="135"/>
        <v>132</v>
      </c>
      <c r="AS73" s="38"/>
      <c r="AT73" s="38"/>
      <c r="AU73" s="38"/>
      <c r="AV73" s="38"/>
      <c r="AW73" s="38"/>
      <c r="AX73" s="38"/>
      <c r="AY73" s="38"/>
      <c r="AZ73" s="38"/>
      <c r="BA73" s="38">
        <f t="shared" si="133"/>
        <v>132</v>
      </c>
      <c r="BB73" s="51"/>
      <c r="BC73" s="52"/>
      <c r="BD73" s="52"/>
      <c r="BE73" s="51"/>
      <c r="BF73" s="52"/>
    </row>
    <row r="74" spans="1:58" ht="12.95" customHeight="1">
      <c r="A74" s="41"/>
      <c r="B74" s="42"/>
      <c r="C74" s="443"/>
      <c r="D74" s="42"/>
      <c r="E74" s="43"/>
      <c r="F74" s="43"/>
      <c r="G74" s="44"/>
      <c r="H74" s="44"/>
      <c r="I74" s="46"/>
      <c r="J74" s="83"/>
      <c r="K74" s="83"/>
      <c r="L74" s="36"/>
      <c r="M74" s="36"/>
      <c r="N74" s="47"/>
      <c r="O74" s="48"/>
      <c r="P74" s="49"/>
      <c r="Q74" s="48"/>
      <c r="R74" s="499"/>
      <c r="S74" s="499"/>
      <c r="T74" s="38"/>
      <c r="U74" s="38"/>
      <c r="V74" s="38"/>
      <c r="W74" s="38"/>
      <c r="X74" s="39"/>
      <c r="Y74" s="212"/>
      <c r="Z74" s="38"/>
      <c r="AA74" s="38"/>
      <c r="AB74" s="38"/>
      <c r="AC74" s="38"/>
      <c r="AD74" s="38"/>
      <c r="AE74" s="231"/>
      <c r="AF74" s="38"/>
      <c r="AG74" s="38"/>
      <c r="AH74" s="38"/>
      <c r="AI74" s="501"/>
      <c r="AJ74" s="38"/>
      <c r="AK74" s="38"/>
      <c r="AL74" s="38"/>
      <c r="AM74" s="38"/>
      <c r="AN74" s="84"/>
      <c r="AO74" s="38"/>
      <c r="AP74" s="38"/>
      <c r="AQ74" s="38"/>
      <c r="AR74" s="38"/>
      <c r="AS74" s="38"/>
      <c r="AT74" s="38"/>
      <c r="AU74" s="38"/>
      <c r="AV74" s="38"/>
      <c r="AW74" s="38"/>
      <c r="AX74" s="38"/>
      <c r="AY74" s="38"/>
      <c r="AZ74" s="38"/>
      <c r="BA74" s="38"/>
      <c r="BB74" s="51"/>
      <c r="BC74" s="52"/>
      <c r="BD74" s="52"/>
      <c r="BE74" s="52"/>
      <c r="BF74" s="52"/>
    </row>
    <row r="75" spans="1:58" ht="12.95" customHeight="1">
      <c r="A75" s="41">
        <v>45975</v>
      </c>
      <c r="B75" s="42" t="s">
        <v>431</v>
      </c>
      <c r="C75" s="443">
        <f t="shared" ref="C75:C76" si="136">(M75*E75*O75*Q75)/100000000</f>
        <v>8.9781906059999983</v>
      </c>
      <c r="D75" s="42" t="s">
        <v>434</v>
      </c>
      <c r="E75" s="43">
        <v>13.5</v>
      </c>
      <c r="F75" s="43">
        <v>1</v>
      </c>
      <c r="G75" s="498">
        <v>1345</v>
      </c>
      <c r="H75" s="45">
        <f t="shared" ref="H75:H76" si="137">+N75</f>
        <v>0.22999999999999998</v>
      </c>
      <c r="I75" s="46">
        <v>0.88</v>
      </c>
      <c r="J75" s="83">
        <f t="shared" ref="J75:J76" si="138">E75*G75*(1-H75)*1440/1000000*2.74</f>
        <v>55.164518640000004</v>
      </c>
      <c r="K75" s="83">
        <f>(IF(G75&lt;L75,L75,G75)*(1-IF(H75&lt;N75,H75,N75))*E75*O75*Q75)/100000000</f>
        <v>11.722460211000001</v>
      </c>
      <c r="L75" s="36">
        <v>1030.1307189542483</v>
      </c>
      <c r="M75" s="36">
        <v>793.20065359477121</v>
      </c>
      <c r="N75" s="47">
        <f t="shared" ref="N75:N76" si="139">1-(M75/L75)</f>
        <v>0.22999999999999998</v>
      </c>
      <c r="O75" s="48">
        <f>+'Trim Rwd'!H46</f>
        <v>274</v>
      </c>
      <c r="P75" s="49">
        <f t="shared" ref="P75:P76" si="140">O75*(Q75-R75-S75)</f>
        <v>79734</v>
      </c>
      <c r="Q75" s="48">
        <v>306</v>
      </c>
      <c r="R75" s="499">
        <v>0</v>
      </c>
      <c r="S75" s="499">
        <v>15</v>
      </c>
      <c r="T75" s="38">
        <f t="shared" ref="T75:T76" si="141">E75*M75*O75*Q75/100000000</f>
        <v>8.9781906059999983</v>
      </c>
      <c r="U75" s="38">
        <f t="shared" ref="U75:U76" si="142">E75*M75*O75*(Q75-R75-S75)/100000000</f>
        <v>8.53808322335294</v>
      </c>
      <c r="V75" s="38">
        <f t="shared" ref="V75:V76" si="143">E75*G75*(1-N75)*O75/100*(R75+S75)/1000000</f>
        <v>0.57463040249999997</v>
      </c>
      <c r="W75" s="38">
        <f>+'14'!K7/1000</f>
        <v>17.556000000000001</v>
      </c>
      <c r="X75" s="500">
        <f>SUM(W75:W78)/SUM(K75:K78)</f>
        <v>0.98328789770011338</v>
      </c>
      <c r="Y75" s="212">
        <f>+SUM(RBP!AG66:AG67)</f>
        <v>0</v>
      </c>
      <c r="Z75" s="38">
        <v>0</v>
      </c>
      <c r="AA75" s="50">
        <f>SUM(U75:U78)-SUM(W75:W78)-SUM(Z75:Z78)-SUM(Y75:Y78)</f>
        <v>-4.4691019345174325</v>
      </c>
      <c r="AB75" s="50">
        <f>(SUM(K75:K78)-SUM(W75:W78)-SUM(Y75:Y78)-SUM(Z75:Z78)-SUM(AC75:AC78)-SUM(V75:V78))-AA75</f>
        <v>-0.16038592173257893</v>
      </c>
      <c r="AC75" s="38">
        <f>K75-T75</f>
        <v>2.7442696050000031</v>
      </c>
      <c r="AD75" s="38">
        <f>+AM75+BA75</f>
        <v>0</v>
      </c>
      <c r="AE75" s="231" t="s">
        <v>390</v>
      </c>
      <c r="AF75" s="38">
        <v>0</v>
      </c>
      <c r="AG75" s="38"/>
      <c r="AH75" s="38"/>
      <c r="AI75" s="501"/>
      <c r="AJ75" s="38"/>
      <c r="AK75" s="38"/>
      <c r="AL75" s="38"/>
      <c r="AM75" s="38">
        <f>SUM(AF75:AL75)+AT75</f>
        <v>0</v>
      </c>
      <c r="AN75" s="38"/>
      <c r="AO75" s="38"/>
      <c r="AP75" s="38"/>
      <c r="AQ75" s="38"/>
      <c r="AR75" s="38">
        <f>SUM(AN75:AQ75)</f>
        <v>0</v>
      </c>
      <c r="AS75" s="38"/>
      <c r="AT75" s="38"/>
      <c r="AU75" s="38"/>
      <c r="AV75" s="38"/>
      <c r="AW75" s="38"/>
      <c r="AX75" s="38"/>
      <c r="AY75" s="38"/>
      <c r="AZ75" s="38"/>
      <c r="BA75" s="38">
        <f>+AR75+AS75+AU75+AV75+AX75</f>
        <v>0</v>
      </c>
      <c r="BB75" s="34">
        <v>0</v>
      </c>
      <c r="BC75" s="52"/>
      <c r="BD75" s="52"/>
      <c r="BE75" s="34"/>
      <c r="BF75" s="52"/>
    </row>
    <row r="76" spans="1:58" ht="12.95" customHeight="1">
      <c r="A76" s="41"/>
      <c r="B76" s="42" t="s">
        <v>431</v>
      </c>
      <c r="C76" s="443">
        <f t="shared" si="136"/>
        <v>41.923632904999998</v>
      </c>
      <c r="D76" s="42" t="s">
        <v>434</v>
      </c>
      <c r="E76" s="43">
        <v>15.5</v>
      </c>
      <c r="F76" s="43">
        <v>1</v>
      </c>
      <c r="G76" s="498">
        <v>1170</v>
      </c>
      <c r="H76" s="45">
        <f t="shared" si="137"/>
        <v>0.22999999999999998</v>
      </c>
      <c r="I76" s="46">
        <v>0.88</v>
      </c>
      <c r="J76" s="83">
        <f t="shared" si="138"/>
        <v>55.096161119999998</v>
      </c>
      <c r="K76" s="83">
        <f>(IF(G76&lt;L76,L76,G76)*(1-IF(H76&lt;N76,H76,N76))*E76*O76*Q76)/100000000</f>
        <v>42.675646513499998</v>
      </c>
      <c r="L76" s="36">
        <v>1149.3827160493827</v>
      </c>
      <c r="M76" s="36">
        <v>885.02469135802471</v>
      </c>
      <c r="N76" s="47">
        <f t="shared" si="139"/>
        <v>0.22999999999999998</v>
      </c>
      <c r="O76" s="48">
        <f>+'Trim Rwd'!H47</f>
        <v>269.5</v>
      </c>
      <c r="P76" s="49">
        <f t="shared" si="140"/>
        <v>295102.5</v>
      </c>
      <c r="Q76" s="48">
        <v>1134</v>
      </c>
      <c r="R76" s="499">
        <v>0</v>
      </c>
      <c r="S76" s="499">
        <f>54-S75</f>
        <v>39</v>
      </c>
      <c r="T76" s="38">
        <f t="shared" si="141"/>
        <v>41.923632904999998</v>
      </c>
      <c r="U76" s="38">
        <f t="shared" si="142"/>
        <v>40.48181484212963</v>
      </c>
      <c r="V76" s="38">
        <f t="shared" si="143"/>
        <v>1.4676809647500002</v>
      </c>
      <c r="W76" s="38">
        <f>+'14'!K16/1000</f>
        <v>35.933</v>
      </c>
      <c r="X76" s="39"/>
      <c r="Y76" s="212"/>
      <c r="Z76" s="38"/>
      <c r="AA76" s="38"/>
      <c r="AB76" s="38"/>
      <c r="AC76" s="38">
        <f>K76-T76</f>
        <v>0.75201360850000043</v>
      </c>
      <c r="AD76" s="38">
        <f t="shared" ref="AD76:AD78" si="144">+AM76+BA76</f>
        <v>15</v>
      </c>
      <c r="AE76" s="231" t="s">
        <v>570</v>
      </c>
      <c r="AF76" s="38"/>
      <c r="AG76" s="38">
        <v>15</v>
      </c>
      <c r="AH76" s="38"/>
      <c r="AI76" s="501"/>
      <c r="AJ76" s="38"/>
      <c r="AK76" s="38"/>
      <c r="AL76" s="38"/>
      <c r="AM76" s="38">
        <f t="shared" ref="AM76:AM78" si="145">SUM(AF76:AL76)+AT76</f>
        <v>15</v>
      </c>
      <c r="AN76" s="84"/>
      <c r="AO76" s="38"/>
      <c r="AP76" s="38"/>
      <c r="AQ76" s="38"/>
      <c r="AR76" s="38">
        <f t="shared" ref="AR76:AR78" si="146">SUM(AN76:AQ76)</f>
        <v>0</v>
      </c>
      <c r="AS76" s="38"/>
      <c r="AT76" s="38"/>
      <c r="AU76" s="38"/>
      <c r="AV76" s="38"/>
      <c r="AW76" s="38"/>
      <c r="AX76" s="38"/>
      <c r="AY76" s="38"/>
      <c r="AZ76" s="38"/>
      <c r="BA76" s="38">
        <f t="shared" ref="BA76:BA78" si="147">+AR76+AS76+AU76+AV76+AX76</f>
        <v>0</v>
      </c>
      <c r="BB76" s="51"/>
      <c r="BC76" s="52">
        <v>9</v>
      </c>
      <c r="BD76" s="52"/>
      <c r="BE76" s="51"/>
      <c r="BF76" s="52"/>
    </row>
    <row r="77" spans="1:58" ht="12.95" customHeight="1">
      <c r="A77" s="41"/>
      <c r="B77" s="42"/>
      <c r="C77" s="443"/>
      <c r="D77" s="42"/>
      <c r="E77" s="43"/>
      <c r="F77" s="43"/>
      <c r="G77" s="44"/>
      <c r="H77" s="45"/>
      <c r="I77" s="46"/>
      <c r="J77" s="83"/>
      <c r="K77" s="83"/>
      <c r="L77" s="36"/>
      <c r="M77" s="36"/>
      <c r="N77" s="47"/>
      <c r="O77" s="48"/>
      <c r="P77" s="49"/>
      <c r="Q77" s="48"/>
      <c r="R77" s="499"/>
      <c r="S77" s="499"/>
      <c r="T77" s="38"/>
      <c r="U77" s="38"/>
      <c r="V77" s="38"/>
      <c r="W77" s="38"/>
      <c r="X77" s="39"/>
      <c r="Y77" s="212"/>
      <c r="Z77" s="38"/>
      <c r="AA77" s="38"/>
      <c r="AB77" s="38"/>
      <c r="AC77" s="38"/>
      <c r="AD77" s="38">
        <f t="shared" si="144"/>
        <v>31</v>
      </c>
      <c r="AE77" s="231" t="s">
        <v>594</v>
      </c>
      <c r="AF77" s="34"/>
      <c r="AG77" s="34"/>
      <c r="AH77" s="34">
        <v>31</v>
      </c>
      <c r="AJ77" s="38"/>
      <c r="AK77" s="38"/>
      <c r="AL77" s="38"/>
      <c r="AM77" s="38">
        <f t="shared" si="145"/>
        <v>31</v>
      </c>
      <c r="AN77" s="38"/>
      <c r="AO77" s="38"/>
      <c r="AP77" s="38"/>
      <c r="AQ77" s="38"/>
      <c r="AR77" s="38">
        <f t="shared" si="146"/>
        <v>0</v>
      </c>
      <c r="AS77" s="38"/>
      <c r="AT77" s="38"/>
      <c r="AU77" s="38"/>
      <c r="AV77" s="38"/>
      <c r="AW77" s="38"/>
      <c r="AX77" s="38"/>
      <c r="AY77" s="38"/>
      <c r="AZ77" s="38"/>
      <c r="BA77" s="38">
        <f t="shared" si="147"/>
        <v>0</v>
      </c>
      <c r="BB77" s="34"/>
      <c r="BC77" s="502"/>
      <c r="BD77" s="502"/>
      <c r="BE77" s="34"/>
      <c r="BF77" s="502"/>
    </row>
    <row r="78" spans="1:58" ht="12.95" customHeight="1">
      <c r="A78" s="41"/>
      <c r="B78" s="42"/>
      <c r="C78" s="443"/>
      <c r="D78" s="42"/>
      <c r="E78" s="43"/>
      <c r="F78" s="43"/>
      <c r="G78" s="44"/>
      <c r="H78" s="45"/>
      <c r="I78" s="46"/>
      <c r="J78" s="83"/>
      <c r="K78" s="83"/>
      <c r="L78" s="36"/>
      <c r="M78" s="36"/>
      <c r="N78" s="47"/>
      <c r="O78" s="48"/>
      <c r="P78" s="49"/>
      <c r="Q78" s="35"/>
      <c r="R78" s="499"/>
      <c r="S78" s="499"/>
      <c r="T78" s="38"/>
      <c r="U78" s="38"/>
      <c r="V78" s="38"/>
      <c r="W78" s="38"/>
      <c r="X78" s="39"/>
      <c r="Y78" s="212"/>
      <c r="Z78" s="38"/>
      <c r="AA78" s="38"/>
      <c r="AB78" s="38"/>
      <c r="AC78" s="38"/>
      <c r="AD78" s="38">
        <f t="shared" si="144"/>
        <v>8</v>
      </c>
      <c r="AE78" s="234" t="s">
        <v>228</v>
      </c>
      <c r="AF78" s="38"/>
      <c r="AG78" s="38"/>
      <c r="AH78" s="38"/>
      <c r="AI78" s="501">
        <v>8</v>
      </c>
      <c r="AJ78" s="38"/>
      <c r="AK78" s="38"/>
      <c r="AL78" s="38"/>
      <c r="AM78" s="38">
        <f t="shared" si="145"/>
        <v>8</v>
      </c>
      <c r="AN78" s="38"/>
      <c r="AO78" s="38"/>
      <c r="AP78" s="38"/>
      <c r="AQ78" s="38"/>
      <c r="AR78" s="38">
        <f t="shared" si="146"/>
        <v>0</v>
      </c>
      <c r="AS78" s="38"/>
      <c r="AT78" s="38"/>
      <c r="AU78" s="38"/>
      <c r="AV78" s="38"/>
      <c r="AW78" s="38"/>
      <c r="AX78" s="38"/>
      <c r="AY78" s="38"/>
      <c r="AZ78" s="38"/>
      <c r="BA78" s="38">
        <f t="shared" si="147"/>
        <v>0</v>
      </c>
      <c r="BB78" s="51"/>
      <c r="BC78" s="52"/>
      <c r="BD78" s="52"/>
      <c r="BE78" s="51"/>
      <c r="BF78" s="52"/>
    </row>
    <row r="79" spans="1:58" ht="12.95" customHeight="1">
      <c r="A79" s="41"/>
      <c r="B79" s="42"/>
      <c r="C79" s="443"/>
      <c r="D79" s="42"/>
      <c r="E79" s="43"/>
      <c r="F79" s="43"/>
      <c r="G79" s="44"/>
      <c r="H79" s="44"/>
      <c r="I79" s="46"/>
      <c r="J79" s="83"/>
      <c r="K79" s="83"/>
      <c r="L79" s="36"/>
      <c r="M79" s="36"/>
      <c r="N79" s="47"/>
      <c r="O79" s="48"/>
      <c r="P79" s="49"/>
      <c r="Q79" s="48"/>
      <c r="R79" s="499"/>
      <c r="S79" s="499"/>
      <c r="T79" s="38"/>
      <c r="U79" s="38"/>
      <c r="V79" s="38"/>
      <c r="W79" s="38"/>
      <c r="X79" s="500"/>
      <c r="Y79" s="212"/>
      <c r="Z79" s="38"/>
      <c r="AA79" s="50"/>
      <c r="AB79" s="50"/>
      <c r="AC79" s="38"/>
      <c r="AD79" s="38"/>
      <c r="AE79" s="231"/>
      <c r="AF79" s="38"/>
      <c r="AG79" s="38"/>
      <c r="AH79" s="38"/>
      <c r="AI79" s="501"/>
      <c r="AJ79" s="38"/>
      <c r="AK79" s="38"/>
      <c r="AL79" s="38"/>
      <c r="AM79" s="38"/>
      <c r="AN79" s="38"/>
      <c r="AO79" s="38"/>
      <c r="AP79" s="38"/>
      <c r="AQ79" s="38"/>
      <c r="AR79" s="38"/>
      <c r="AS79" s="38"/>
      <c r="AT79" s="38"/>
      <c r="AU79" s="38"/>
      <c r="AV79" s="38"/>
      <c r="AW79" s="38"/>
      <c r="AX79" s="38"/>
      <c r="AY79" s="38"/>
      <c r="AZ79" s="38"/>
      <c r="BA79" s="38"/>
      <c r="BB79" s="34"/>
      <c r="BC79" s="52"/>
      <c r="BD79" s="52"/>
      <c r="BE79" s="52"/>
      <c r="BF79" s="52"/>
    </row>
    <row r="80" spans="1:58" ht="12.95" customHeight="1">
      <c r="A80" s="41">
        <v>45976</v>
      </c>
      <c r="B80" s="42" t="s">
        <v>431</v>
      </c>
      <c r="C80" s="443">
        <f t="shared" ref="C80" si="148">(M80*E80*O80*Q80)/100000000</f>
        <v>54.191297159999998</v>
      </c>
      <c r="D80" s="42" t="s">
        <v>434</v>
      </c>
      <c r="E80" s="43">
        <v>15.5</v>
      </c>
      <c r="F80" s="43">
        <v>1</v>
      </c>
      <c r="G80" s="498">
        <v>1170</v>
      </c>
      <c r="H80" s="45">
        <f t="shared" ref="H80" si="149">+N80</f>
        <v>0.22999999999999998</v>
      </c>
      <c r="I80" s="46">
        <v>0.88</v>
      </c>
      <c r="J80" s="83">
        <f t="shared" ref="J80" si="150">E80*G80*(1-H80)*1440/1000000*2.74</f>
        <v>55.096161119999998</v>
      </c>
      <c r="K80" s="83">
        <f>(IF(G80&lt;L80,L80,G80)*(1-IF(H80&lt;N80,H80,N80))*E80*O80*Q80)/100000000</f>
        <v>54.191297159999998</v>
      </c>
      <c r="L80" s="36">
        <v>1170</v>
      </c>
      <c r="M80" s="36">
        <v>900.9</v>
      </c>
      <c r="N80" s="47">
        <f t="shared" ref="N80" si="151">1-(M80/L80)</f>
        <v>0.22999999999999998</v>
      </c>
      <c r="O80" s="48">
        <f>+'Trim Rwd'!H49</f>
        <v>269.5</v>
      </c>
      <c r="P80" s="49">
        <f t="shared" ref="P80" si="152">O80*(Q80-R80-S80)</f>
        <v>375952.5</v>
      </c>
      <c r="Q80" s="48">
        <v>1440</v>
      </c>
      <c r="R80" s="499">
        <v>0</v>
      </c>
      <c r="S80" s="499">
        <v>45</v>
      </c>
      <c r="T80" s="38">
        <f t="shared" ref="T80" si="153">E80*M80*O80*Q80/100000000</f>
        <v>54.191297159999998</v>
      </c>
      <c r="U80" s="38">
        <f t="shared" ref="U80" si="154">E80*M80*O80*(Q80-R80-S80)/100000000</f>
        <v>52.497819123749998</v>
      </c>
      <c r="V80" s="38">
        <f t="shared" ref="V80" si="155">E80*G80*(1-N80)*O80/100*(R80+S80)/1000000</f>
        <v>1.6934780362500004</v>
      </c>
      <c r="W80" s="38">
        <f>+'15'!K16/1000</f>
        <v>50.347999999999999</v>
      </c>
      <c r="X80" s="500">
        <f>SUM(W80:W83)/SUM(K80:K83)</f>
        <v>0.92907907059960848</v>
      </c>
      <c r="Y80" s="212">
        <f>+SUM(RBP!AG71:AG72)</f>
        <v>0</v>
      </c>
      <c r="Z80" s="38">
        <f>+'15'!D25/1000</f>
        <v>0.67100000000000004</v>
      </c>
      <c r="AA80" s="50">
        <f>SUM(U80:U83)-SUM(W80:W83)-SUM(Z80:Z83)-SUM(Y80:Y83)</f>
        <v>1.4788191237499995</v>
      </c>
      <c r="AB80" s="50">
        <f>(SUM(K80:K83)-SUM(W80:W83)-SUM(Y80:Y83)-SUM(Z80:Z83)-SUM(AC80:AC83)-SUM(V80:V83))-AA80</f>
        <v>0</v>
      </c>
      <c r="AC80" s="38">
        <f>K80-T80</f>
        <v>0</v>
      </c>
      <c r="AD80" s="38">
        <f>+AM80+BA80</f>
        <v>0</v>
      </c>
      <c r="AE80" s="231" t="s">
        <v>390</v>
      </c>
      <c r="AF80" s="38">
        <v>0</v>
      </c>
      <c r="AG80" s="38"/>
      <c r="AH80" s="38"/>
      <c r="AI80" s="501"/>
      <c r="AJ80" s="38"/>
      <c r="AK80" s="38"/>
      <c r="AL80" s="38"/>
      <c r="AM80" s="38">
        <f>SUM(AF80:AL80)+AT80</f>
        <v>0</v>
      </c>
      <c r="AN80" s="38"/>
      <c r="AO80" s="38"/>
      <c r="AP80" s="38"/>
      <c r="AQ80" s="38"/>
      <c r="AR80" s="38">
        <f>SUM(AN80:AQ80)</f>
        <v>0</v>
      </c>
      <c r="AS80" s="38"/>
      <c r="AT80" s="38"/>
      <c r="AU80" s="38"/>
      <c r="AV80" s="38"/>
      <c r="AW80" s="38"/>
      <c r="AX80" s="38"/>
      <c r="AY80" s="38"/>
      <c r="AZ80" s="38"/>
      <c r="BA80" s="38">
        <f>+AR80+AS80+AU80+AV80+AX80</f>
        <v>0</v>
      </c>
      <c r="BB80" s="34">
        <v>0</v>
      </c>
      <c r="BC80" s="52"/>
      <c r="BD80" s="52"/>
      <c r="BE80" s="34"/>
      <c r="BF80" s="52"/>
    </row>
    <row r="81" spans="1:58" ht="12.95" customHeight="1">
      <c r="A81" s="41"/>
      <c r="B81" s="42"/>
      <c r="C81" s="443"/>
      <c r="D81" s="42"/>
      <c r="E81" s="43"/>
      <c r="F81" s="43"/>
      <c r="G81" s="498"/>
      <c r="H81" s="45"/>
      <c r="I81" s="46"/>
      <c r="J81" s="83"/>
      <c r="K81" s="83"/>
      <c r="L81" s="36"/>
      <c r="M81" s="36"/>
      <c r="N81" s="47"/>
      <c r="O81" s="48"/>
      <c r="P81" s="49"/>
      <c r="Q81" s="48"/>
      <c r="R81" s="499"/>
      <c r="S81" s="499"/>
      <c r="T81" s="38"/>
      <c r="U81" s="38"/>
      <c r="V81" s="38"/>
      <c r="W81" s="38"/>
      <c r="X81" s="39"/>
      <c r="Y81" s="212"/>
      <c r="Z81" s="38"/>
      <c r="AA81" s="38"/>
      <c r="AB81" s="38"/>
      <c r="AC81" s="38">
        <f>K81-T81</f>
        <v>0</v>
      </c>
      <c r="AD81" s="38">
        <f t="shared" ref="AD81:AD83" si="156">+AM81+BA81</f>
        <v>11</v>
      </c>
      <c r="AE81" s="231" t="s">
        <v>570</v>
      </c>
      <c r="AF81" s="38"/>
      <c r="AG81" s="38">
        <v>11</v>
      </c>
      <c r="AH81" s="38"/>
      <c r="AI81" s="501"/>
      <c r="AJ81" s="38"/>
      <c r="AK81" s="38"/>
      <c r="AL81" s="38"/>
      <c r="AM81" s="38">
        <f t="shared" ref="AM81:AM83" si="157">SUM(AF81:AL81)+AT81</f>
        <v>11</v>
      </c>
      <c r="AN81" s="84"/>
      <c r="AO81" s="38"/>
      <c r="AP81" s="38"/>
      <c r="AQ81" s="38"/>
      <c r="AR81" s="38">
        <f t="shared" ref="AR81:AR83" si="158">SUM(AN81:AQ81)</f>
        <v>0</v>
      </c>
      <c r="AS81" s="38"/>
      <c r="AT81" s="38"/>
      <c r="AU81" s="38"/>
      <c r="AV81" s="38"/>
      <c r="AW81" s="38"/>
      <c r="AX81" s="38"/>
      <c r="AY81" s="38"/>
      <c r="AZ81" s="38"/>
      <c r="BA81" s="38">
        <f t="shared" ref="BA81:BA83" si="159">+AR81+AS81+AU81+AV81+AX81</f>
        <v>0</v>
      </c>
      <c r="BB81" s="51"/>
      <c r="BC81" s="52">
        <v>9</v>
      </c>
      <c r="BD81" s="52"/>
      <c r="BE81" s="51"/>
      <c r="BF81" s="52"/>
    </row>
    <row r="82" spans="1:58" ht="12.95" customHeight="1">
      <c r="A82" s="41"/>
      <c r="B82" s="42"/>
      <c r="C82" s="443"/>
      <c r="D82" s="42"/>
      <c r="E82" s="43"/>
      <c r="F82" s="43"/>
      <c r="G82" s="44"/>
      <c r="H82" s="45"/>
      <c r="I82" s="46"/>
      <c r="J82" s="83"/>
      <c r="K82" s="83"/>
      <c r="L82" s="36"/>
      <c r="M82" s="36"/>
      <c r="N82" s="47"/>
      <c r="O82" s="48"/>
      <c r="P82" s="49"/>
      <c r="Q82" s="48"/>
      <c r="R82" s="499"/>
      <c r="S82" s="499"/>
      <c r="T82" s="38"/>
      <c r="U82" s="38"/>
      <c r="V82" s="38"/>
      <c r="W82" s="38"/>
      <c r="X82" s="39"/>
      <c r="Y82" s="212"/>
      <c r="Z82" s="38"/>
      <c r="AA82" s="38"/>
      <c r="AB82" s="38"/>
      <c r="AC82" s="38"/>
      <c r="AD82" s="38">
        <f t="shared" si="156"/>
        <v>26</v>
      </c>
      <c r="AE82" s="231" t="s">
        <v>607</v>
      </c>
      <c r="AF82" s="34"/>
      <c r="AG82" s="34"/>
      <c r="AH82" s="34">
        <v>26</v>
      </c>
      <c r="AJ82" s="38"/>
      <c r="AK82" s="38"/>
      <c r="AL82" s="38"/>
      <c r="AM82" s="38">
        <f t="shared" si="157"/>
        <v>26</v>
      </c>
      <c r="AN82" s="38"/>
      <c r="AO82" s="38"/>
      <c r="AP82" s="38"/>
      <c r="AQ82" s="38"/>
      <c r="AR82" s="38">
        <f t="shared" si="158"/>
        <v>0</v>
      </c>
      <c r="AS82" s="38"/>
      <c r="AT82" s="38"/>
      <c r="AU82" s="38"/>
      <c r="AV82" s="38"/>
      <c r="AW82" s="38"/>
      <c r="AX82" s="38"/>
      <c r="AY82" s="38"/>
      <c r="AZ82" s="38"/>
      <c r="BA82" s="38">
        <f t="shared" si="159"/>
        <v>0</v>
      </c>
      <c r="BB82" s="34"/>
      <c r="BC82" s="502"/>
      <c r="BD82" s="502"/>
      <c r="BE82" s="34"/>
      <c r="BF82" s="502"/>
    </row>
    <row r="83" spans="1:58" ht="12.95" customHeight="1">
      <c r="A83" s="41"/>
      <c r="B83" s="42"/>
      <c r="C83" s="443"/>
      <c r="D83" s="42"/>
      <c r="E83" s="43"/>
      <c r="F83" s="43"/>
      <c r="G83" s="44"/>
      <c r="H83" s="45"/>
      <c r="I83" s="46"/>
      <c r="J83" s="83"/>
      <c r="K83" s="83"/>
      <c r="L83" s="36"/>
      <c r="M83" s="36"/>
      <c r="N83" s="47"/>
      <c r="O83" s="48"/>
      <c r="P83" s="49"/>
      <c r="Q83" s="35"/>
      <c r="R83" s="499"/>
      <c r="S83" s="499"/>
      <c r="T83" s="38"/>
      <c r="U83" s="38"/>
      <c r="V83" s="38"/>
      <c r="W83" s="38"/>
      <c r="X83" s="39"/>
      <c r="Y83" s="212"/>
      <c r="Z83" s="38"/>
      <c r="AA83" s="38"/>
      <c r="AB83" s="38"/>
      <c r="AC83" s="38"/>
      <c r="AD83" s="38">
        <f t="shared" si="156"/>
        <v>8</v>
      </c>
      <c r="AE83" s="234" t="s">
        <v>228</v>
      </c>
      <c r="AF83" s="38"/>
      <c r="AG83" s="38"/>
      <c r="AH83" s="38"/>
      <c r="AI83" s="501">
        <v>8</v>
      </c>
      <c r="AJ83" s="38"/>
      <c r="AK83" s="38"/>
      <c r="AL83" s="38"/>
      <c r="AM83" s="38">
        <f t="shared" si="157"/>
        <v>8</v>
      </c>
      <c r="AN83" s="38"/>
      <c r="AO83" s="38"/>
      <c r="AP83" s="38"/>
      <c r="AQ83" s="38"/>
      <c r="AR83" s="38">
        <f t="shared" si="158"/>
        <v>0</v>
      </c>
      <c r="AS83" s="38"/>
      <c r="AT83" s="38"/>
      <c r="AU83" s="38"/>
      <c r="AV83" s="38"/>
      <c r="AW83" s="38"/>
      <c r="AX83" s="38"/>
      <c r="AY83" s="38"/>
      <c r="AZ83" s="38"/>
      <c r="BA83" s="38">
        <f t="shared" si="159"/>
        <v>0</v>
      </c>
      <c r="BB83" s="51"/>
      <c r="BC83" s="52"/>
      <c r="BD83" s="52"/>
      <c r="BE83" s="51"/>
      <c r="BF83" s="52"/>
    </row>
    <row r="84" spans="1:58" ht="12.95" customHeight="1">
      <c r="A84" s="41"/>
      <c r="B84" s="42"/>
      <c r="C84" s="443"/>
      <c r="D84" s="42"/>
      <c r="E84" s="43"/>
      <c r="F84" s="43"/>
      <c r="G84" s="44"/>
      <c r="H84" s="44"/>
      <c r="I84" s="46"/>
      <c r="J84" s="83"/>
      <c r="K84" s="83"/>
      <c r="L84" s="36"/>
      <c r="M84" s="36"/>
      <c r="N84" s="47"/>
      <c r="O84" s="48"/>
      <c r="P84" s="49"/>
      <c r="Q84" s="48"/>
      <c r="R84" s="499"/>
      <c r="S84" s="499"/>
      <c r="T84" s="38"/>
      <c r="U84" s="38"/>
      <c r="V84" s="38"/>
      <c r="W84" s="38"/>
      <c r="X84" s="500"/>
      <c r="Y84" s="212"/>
      <c r="Z84" s="38"/>
      <c r="AA84" s="50"/>
      <c r="AB84" s="50"/>
      <c r="AC84" s="38"/>
      <c r="AD84" s="38"/>
      <c r="AE84" s="231"/>
      <c r="AF84" s="38"/>
      <c r="AG84" s="38"/>
      <c r="AH84" s="38"/>
      <c r="AI84" s="501"/>
      <c r="AJ84" s="38"/>
      <c r="AK84" s="38"/>
      <c r="AL84" s="38"/>
      <c r="AM84" s="38"/>
      <c r="AN84" s="38"/>
      <c r="AO84" s="38"/>
      <c r="AP84" s="38"/>
      <c r="AQ84" s="38"/>
      <c r="AR84" s="38"/>
      <c r="AS84" s="38"/>
      <c r="AT84" s="38"/>
      <c r="AU84" s="38"/>
      <c r="AV84" s="38"/>
      <c r="AW84" s="38"/>
      <c r="AX84" s="38"/>
      <c r="AY84" s="38"/>
      <c r="AZ84" s="38"/>
      <c r="BA84" s="38"/>
      <c r="BB84" s="34"/>
      <c r="BC84" s="52"/>
      <c r="BD84" s="52"/>
      <c r="BE84" s="52"/>
      <c r="BF84" s="52"/>
    </row>
    <row r="85" spans="1:58" ht="12" customHeight="1">
      <c r="A85" s="41">
        <v>45977</v>
      </c>
      <c r="B85" s="42" t="s">
        <v>431</v>
      </c>
      <c r="C85" s="443">
        <f t="shared" ref="C85:C86" si="160">(M85*E85*O85*Q85)/100000000</f>
        <v>51.933326444999999</v>
      </c>
      <c r="D85" s="42" t="s">
        <v>434</v>
      </c>
      <c r="E85" s="43">
        <v>15.5</v>
      </c>
      <c r="F85" s="43">
        <v>1</v>
      </c>
      <c r="G85" s="498">
        <v>1170</v>
      </c>
      <c r="H85" s="45">
        <f t="shared" ref="H85:H86" si="161">+N85</f>
        <v>0.22999999999999998</v>
      </c>
      <c r="I85" s="46">
        <v>0.88</v>
      </c>
      <c r="J85" s="83">
        <f t="shared" ref="J85:J86" si="162">E85*G85*(1-H85)*1440/1000000*2.74</f>
        <v>55.096161119999998</v>
      </c>
      <c r="K85" s="83">
        <f>(IF(G85&lt;L85,L85,G85)*(1-IF(H85&lt;N85,H85,N85))*E85*O85*Q85)/100000000</f>
        <v>51.933326444999999</v>
      </c>
      <c r="L85" s="36">
        <v>1170</v>
      </c>
      <c r="M85" s="36">
        <v>900.9</v>
      </c>
      <c r="N85" s="47">
        <f t="shared" ref="N85:N86" si="163">1-(M85/L85)</f>
        <v>0.22999999999999998</v>
      </c>
      <c r="O85" s="48">
        <f>+'Trim Rwd'!H51</f>
        <v>269.5</v>
      </c>
      <c r="P85" s="49">
        <f t="shared" ref="P85:P86" si="164">O85*(Q85-R85-S85)</f>
        <v>362208</v>
      </c>
      <c r="Q85" s="48">
        <v>1380</v>
      </c>
      <c r="R85" s="499">
        <v>0</v>
      </c>
      <c r="S85" s="499">
        <v>36</v>
      </c>
      <c r="T85" s="38">
        <f t="shared" ref="T85:T86" si="165">E85*M85*O85*Q85/100000000</f>
        <v>51.933326444999999</v>
      </c>
      <c r="U85" s="38">
        <f t="shared" ref="U85:U86" si="166">E85*M85*O85*(Q85-R85-S85)/100000000</f>
        <v>50.578544015999995</v>
      </c>
      <c r="V85" s="38">
        <f t="shared" ref="V85:V86" si="167">E85*G85*(1-N85)*O85/100*(R85+S85)/1000000</f>
        <v>1.3547824290000003</v>
      </c>
      <c r="W85" s="38">
        <f>+'16'!K16/1000</f>
        <v>52.406999999999996</v>
      </c>
      <c r="X85" s="500">
        <f>SUM(W85:W88)/SUM(K85:K88)</f>
        <v>0.96297080014302994</v>
      </c>
      <c r="Y85" s="212">
        <f>+SUM(RBP!AG76:AG77)</f>
        <v>0</v>
      </c>
      <c r="Z85" s="38">
        <v>0</v>
      </c>
      <c r="AA85" s="50">
        <f>SUM(U85:U88)-SUM(W85:W88)-SUM(Z85:Z88)-SUM(Y85:Y88)</f>
        <v>0.32857723200000066</v>
      </c>
      <c r="AB85" s="50">
        <f>(SUM(K85:K88)-SUM(W85:W88)-SUM(Y85:Y88)-SUM(Z85:Z88)-SUM(AC85:AC88)-SUM(V85:V88))-AA85</f>
        <v>2.6198784000004194E-2</v>
      </c>
      <c r="AC85" s="38">
        <f>K85-T85</f>
        <v>0</v>
      </c>
      <c r="AD85" s="38">
        <f>+AM85+BA85</f>
        <v>0</v>
      </c>
      <c r="AE85" s="231" t="s">
        <v>390</v>
      </c>
      <c r="AF85" s="38">
        <v>0</v>
      </c>
      <c r="AG85" s="38"/>
      <c r="AH85" s="38"/>
      <c r="AI85" s="501"/>
      <c r="AJ85" s="38"/>
      <c r="AK85" s="38"/>
      <c r="AL85" s="38"/>
      <c r="AM85" s="38">
        <f>SUM(AF85:AL85)+AT85</f>
        <v>0</v>
      </c>
      <c r="AN85" s="38"/>
      <c r="AO85" s="38"/>
      <c r="AP85" s="38"/>
      <c r="AQ85" s="38"/>
      <c r="AR85" s="38">
        <f>SUM(AN85:AQ85)</f>
        <v>0</v>
      </c>
      <c r="AS85" s="38"/>
      <c r="AT85" s="38"/>
      <c r="AU85" s="38"/>
      <c r="AV85" s="38"/>
      <c r="AW85" s="38"/>
      <c r="AX85" s="38"/>
      <c r="AY85" s="38"/>
      <c r="AZ85" s="38"/>
      <c r="BA85" s="38">
        <f>+AR85+AS85+AU85+AV85+AX85</f>
        <v>0</v>
      </c>
      <c r="BB85" s="34">
        <v>0</v>
      </c>
      <c r="BC85" s="52"/>
      <c r="BD85" s="52"/>
      <c r="BE85" s="34"/>
      <c r="BF85" s="52"/>
    </row>
    <row r="86" spans="1:58" ht="12.95" customHeight="1">
      <c r="A86" s="41"/>
      <c r="B86" s="42" t="s">
        <v>431</v>
      </c>
      <c r="C86" s="443">
        <f t="shared" si="160"/>
        <v>2.4888844800000003</v>
      </c>
      <c r="D86" s="42" t="s">
        <v>434</v>
      </c>
      <c r="E86" s="43">
        <v>16</v>
      </c>
      <c r="F86" s="43">
        <v>1</v>
      </c>
      <c r="G86" s="498">
        <v>1050</v>
      </c>
      <c r="H86" s="45">
        <f t="shared" si="161"/>
        <v>0.16999999999999993</v>
      </c>
      <c r="I86" s="46">
        <v>0.88</v>
      </c>
      <c r="J86" s="83">
        <f t="shared" si="162"/>
        <v>55.017446400000019</v>
      </c>
      <c r="K86" s="83">
        <f>(IF(G86&lt;L86,L86,G86)*(1-IF(H86&lt;N86,H86,N86))*E86*O86*Q86)/100000000</f>
        <v>2.4888844800000003</v>
      </c>
      <c r="L86" s="36">
        <v>1140</v>
      </c>
      <c r="M86" s="36">
        <v>946.2</v>
      </c>
      <c r="N86" s="47">
        <f t="shared" si="163"/>
        <v>0.16999999999999993</v>
      </c>
      <c r="O86" s="48">
        <f>+'Trim Rwd'!H52</f>
        <v>274</v>
      </c>
      <c r="P86" s="49">
        <f t="shared" si="164"/>
        <v>14248</v>
      </c>
      <c r="Q86" s="48">
        <v>60</v>
      </c>
      <c r="R86" s="499">
        <v>0</v>
      </c>
      <c r="S86" s="499">
        <v>8</v>
      </c>
      <c r="T86" s="38">
        <f t="shared" si="165"/>
        <v>2.4888844800000003</v>
      </c>
      <c r="U86" s="38">
        <f t="shared" si="166"/>
        <v>2.1570332160000003</v>
      </c>
      <c r="V86" s="38">
        <f t="shared" si="167"/>
        <v>0.30565248000000006</v>
      </c>
      <c r="W86" s="38">
        <f>+'14'!K26/1000</f>
        <v>0</v>
      </c>
      <c r="X86" s="39"/>
      <c r="Y86" s="212"/>
      <c r="Z86" s="38"/>
      <c r="AA86" s="38"/>
      <c r="AB86" s="38"/>
      <c r="AC86" s="38">
        <f>K86-T86</f>
        <v>0</v>
      </c>
      <c r="AD86" s="38">
        <f t="shared" ref="AD86:AD88" si="168">+AM86+BA86</f>
        <v>10</v>
      </c>
      <c r="AE86" s="231" t="s">
        <v>570</v>
      </c>
      <c r="AF86" s="38"/>
      <c r="AG86" s="38">
        <v>10</v>
      </c>
      <c r="AH86" s="38"/>
      <c r="AI86" s="501"/>
      <c r="AJ86" s="38"/>
      <c r="AK86" s="38"/>
      <c r="AL86" s="38"/>
      <c r="AM86" s="38">
        <f t="shared" ref="AM86:AM88" si="169">SUM(AF86:AL86)+AT86</f>
        <v>10</v>
      </c>
      <c r="AN86" s="84"/>
      <c r="AO86" s="38"/>
      <c r="AP86" s="38"/>
      <c r="AQ86" s="38"/>
      <c r="AR86" s="38">
        <f t="shared" ref="AR86:AR88" si="170">SUM(AN86:AQ86)</f>
        <v>0</v>
      </c>
      <c r="AS86" s="38"/>
      <c r="AT86" s="38"/>
      <c r="AU86" s="38"/>
      <c r="AV86" s="38"/>
      <c r="AW86" s="38"/>
      <c r="AX86" s="38"/>
      <c r="AY86" s="38"/>
      <c r="AZ86" s="38"/>
      <c r="BA86" s="38">
        <f t="shared" ref="BA86:BA88" si="171">+AR86+AS86+AU86+AV86+AX86</f>
        <v>0</v>
      </c>
      <c r="BB86" s="51"/>
      <c r="BC86" s="52">
        <v>9</v>
      </c>
      <c r="BD86" s="52"/>
      <c r="BE86" s="51"/>
      <c r="BF86" s="52"/>
    </row>
    <row r="87" spans="1:58" ht="12.95" customHeight="1">
      <c r="A87" s="41"/>
      <c r="B87" s="42"/>
      <c r="C87" s="443"/>
      <c r="D87" s="42"/>
      <c r="E87" s="43"/>
      <c r="F87" s="43"/>
      <c r="G87" s="44"/>
      <c r="H87" s="45"/>
      <c r="I87" s="46"/>
      <c r="J87" s="83"/>
      <c r="K87" s="83"/>
      <c r="L87" s="36"/>
      <c r="M87" s="36"/>
      <c r="N87" s="47"/>
      <c r="O87" s="48"/>
      <c r="P87" s="49"/>
      <c r="Q87" s="48"/>
      <c r="R87" s="499"/>
      <c r="S87" s="499"/>
      <c r="T87" s="38"/>
      <c r="U87" s="38"/>
      <c r="V87" s="38"/>
      <c r="W87" s="38"/>
      <c r="X87" s="39"/>
      <c r="Y87" s="212"/>
      <c r="Z87" s="38"/>
      <c r="AA87" s="38"/>
      <c r="AB87" s="38"/>
      <c r="AC87" s="38"/>
      <c r="AD87" s="38">
        <f t="shared" si="168"/>
        <v>26</v>
      </c>
      <c r="AE87" s="231" t="s">
        <v>436</v>
      </c>
      <c r="AF87" s="34"/>
      <c r="AG87" s="34"/>
      <c r="AH87" s="34">
        <v>26</v>
      </c>
      <c r="AJ87" s="38"/>
      <c r="AK87" s="38"/>
      <c r="AL87" s="38"/>
      <c r="AM87" s="38">
        <f t="shared" si="169"/>
        <v>26</v>
      </c>
      <c r="AN87" s="38"/>
      <c r="AO87" s="38"/>
      <c r="AP87" s="38"/>
      <c r="AQ87" s="38"/>
      <c r="AR87" s="38">
        <f t="shared" si="170"/>
        <v>0</v>
      </c>
      <c r="AS87" s="38"/>
      <c r="AT87" s="38"/>
      <c r="AU87" s="38"/>
      <c r="AV87" s="38"/>
      <c r="AW87" s="38"/>
      <c r="AX87" s="38"/>
      <c r="AY87" s="38"/>
      <c r="AZ87" s="38"/>
      <c r="BA87" s="38">
        <f t="shared" si="171"/>
        <v>0</v>
      </c>
      <c r="BB87" s="34"/>
      <c r="BC87" s="502"/>
      <c r="BD87" s="502"/>
      <c r="BE87" s="34"/>
      <c r="BF87" s="502"/>
    </row>
    <row r="88" spans="1:58" ht="12.95" customHeight="1">
      <c r="A88" s="41"/>
      <c r="B88" s="42"/>
      <c r="C88" s="443"/>
      <c r="D88" s="42"/>
      <c r="E88" s="43"/>
      <c r="F88" s="43"/>
      <c r="G88" s="44"/>
      <c r="H88" s="45"/>
      <c r="I88" s="46"/>
      <c r="J88" s="83"/>
      <c r="K88" s="83"/>
      <c r="L88" s="36"/>
      <c r="M88" s="36"/>
      <c r="N88" s="47"/>
      <c r="O88" s="48"/>
      <c r="P88" s="49"/>
      <c r="Q88" s="35"/>
      <c r="R88" s="499"/>
      <c r="S88" s="499"/>
      <c r="T88" s="38"/>
      <c r="U88" s="38"/>
      <c r="V88" s="38"/>
      <c r="W88" s="38"/>
      <c r="X88" s="39"/>
      <c r="Y88" s="212"/>
      <c r="Z88" s="38"/>
      <c r="AA88" s="38"/>
      <c r="AB88" s="38"/>
      <c r="AC88" s="38"/>
      <c r="AD88" s="38">
        <f t="shared" si="168"/>
        <v>8</v>
      </c>
      <c r="AE88" s="234" t="s">
        <v>228</v>
      </c>
      <c r="AF88" s="38"/>
      <c r="AG88" s="38"/>
      <c r="AH88" s="38"/>
      <c r="AI88" s="501">
        <v>8</v>
      </c>
      <c r="AJ88" s="38"/>
      <c r="AK88" s="38"/>
      <c r="AL88" s="38"/>
      <c r="AM88" s="38">
        <f t="shared" si="169"/>
        <v>8</v>
      </c>
      <c r="AN88" s="38"/>
      <c r="AO88" s="38"/>
      <c r="AP88" s="38"/>
      <c r="AQ88" s="38"/>
      <c r="AR88" s="38">
        <f t="shared" si="170"/>
        <v>0</v>
      </c>
      <c r="AS88" s="38"/>
      <c r="AT88" s="38"/>
      <c r="AU88" s="38"/>
      <c r="AV88" s="38"/>
      <c r="AW88" s="38"/>
      <c r="AX88" s="38"/>
      <c r="AY88" s="38"/>
      <c r="AZ88" s="38"/>
      <c r="BA88" s="38">
        <f t="shared" si="171"/>
        <v>0</v>
      </c>
      <c r="BB88" s="51"/>
      <c r="BC88" s="52"/>
      <c r="BD88" s="52"/>
      <c r="BE88" s="51"/>
      <c r="BF88" s="52"/>
    </row>
    <row r="89" spans="1:58" ht="12.95" customHeight="1">
      <c r="A89" s="41"/>
      <c r="B89" s="42"/>
      <c r="C89" s="443"/>
      <c r="D89" s="42"/>
      <c r="E89" s="43"/>
      <c r="F89" s="43"/>
      <c r="G89" s="44"/>
      <c r="H89" s="44"/>
      <c r="I89" s="46"/>
      <c r="J89" s="83"/>
      <c r="K89" s="83"/>
      <c r="L89" s="36"/>
      <c r="M89" s="36"/>
      <c r="N89" s="47"/>
      <c r="O89" s="48"/>
      <c r="P89" s="49"/>
      <c r="Q89" s="48"/>
      <c r="R89" s="499"/>
      <c r="S89" s="499"/>
      <c r="T89" s="38"/>
      <c r="U89" s="38"/>
      <c r="V89" s="38"/>
      <c r="W89" s="38"/>
      <c r="X89" s="39"/>
      <c r="Y89" s="212"/>
      <c r="Z89" s="38"/>
      <c r="AA89" s="38"/>
      <c r="AB89" s="38"/>
      <c r="AC89" s="38"/>
      <c r="AD89" s="38"/>
      <c r="AE89" s="231"/>
      <c r="AF89" s="38"/>
      <c r="AG89" s="38"/>
      <c r="AH89" s="38"/>
      <c r="AI89" s="501"/>
      <c r="AJ89" s="38"/>
      <c r="AK89" s="38"/>
      <c r="AL89" s="38"/>
      <c r="AM89" s="38"/>
      <c r="AN89" s="84"/>
      <c r="AO89" s="38"/>
      <c r="AP89" s="38"/>
      <c r="AQ89" s="38"/>
      <c r="AR89" s="38"/>
      <c r="AS89" s="38"/>
      <c r="AT89" s="38"/>
      <c r="AU89" s="38"/>
      <c r="AV89" s="38"/>
      <c r="AW89" s="38"/>
      <c r="AX89" s="38"/>
      <c r="AY89" s="38"/>
      <c r="AZ89" s="38"/>
      <c r="BA89" s="38"/>
      <c r="BB89" s="51"/>
      <c r="BC89" s="52"/>
      <c r="BD89" s="52"/>
      <c r="BE89" s="52"/>
      <c r="BF89" s="52"/>
    </row>
    <row r="90" spans="1:58" ht="12" customHeight="1">
      <c r="A90" s="41">
        <v>45978</v>
      </c>
      <c r="B90" s="42" t="s">
        <v>431</v>
      </c>
      <c r="C90" s="443">
        <f t="shared" ref="C90:C91" si="172">(M90*E90*O90*Q90)/100000000</f>
        <v>12.475139040000002</v>
      </c>
      <c r="D90" s="42" t="s">
        <v>434</v>
      </c>
      <c r="E90" s="43">
        <v>16</v>
      </c>
      <c r="F90" s="43">
        <v>1</v>
      </c>
      <c r="G90" s="498">
        <v>1050</v>
      </c>
      <c r="H90" s="45">
        <f t="shared" ref="H90:H91" si="173">+N90</f>
        <v>0.16999999999999993</v>
      </c>
      <c r="I90" s="46">
        <v>0.88</v>
      </c>
      <c r="J90" s="83">
        <f t="shared" ref="J90:J91" si="174">E90*G90*(1-H90)*1440/1000000*2.74</f>
        <v>55.017446400000019</v>
      </c>
      <c r="K90" s="83">
        <f>(IF(G90&lt;L90,L90,G90)*(1-IF(H90&lt;N90,H90,N90))*E90*O90*Q90)/100000000</f>
        <v>12.475139040000002</v>
      </c>
      <c r="L90" s="36">
        <v>1140</v>
      </c>
      <c r="M90" s="36">
        <v>946.2</v>
      </c>
      <c r="N90" s="47">
        <f t="shared" ref="N90:N91" si="175">1-(M90/L90)</f>
        <v>0.16999999999999993</v>
      </c>
      <c r="O90" s="48">
        <f>+'Trim Rwd'!H54</f>
        <v>261.59649122807019</v>
      </c>
      <c r="P90" s="49">
        <f t="shared" ref="P90:P91" si="176">O90*(Q90-R90-S90)</f>
        <v>79786.929824561405</v>
      </c>
      <c r="Q90" s="48">
        <v>315</v>
      </c>
      <c r="R90" s="499">
        <v>0</v>
      </c>
      <c r="S90" s="499">
        <v>10</v>
      </c>
      <c r="T90" s="38">
        <f t="shared" ref="T90:T91" si="177">E90*M90*O90*Q90/100000000</f>
        <v>12.475139040000002</v>
      </c>
      <c r="U90" s="38">
        <f t="shared" ref="U90:U91" si="178">E90*M90*O90*(Q90-R90-S90)/100000000</f>
        <v>12.079102880000002</v>
      </c>
      <c r="V90" s="38">
        <f t="shared" ref="V90:V91" si="179">E90*G90*(1-N90)*O90/100*(R90+S90)/1000000</f>
        <v>0.36477014736842106</v>
      </c>
      <c r="W90" s="38">
        <f>+'17'!K17/1000</f>
        <v>13.542</v>
      </c>
      <c r="X90" s="500">
        <f>SUM(W90:W93)/SUM(K90:K93)</f>
        <v>0.93426728035711137</v>
      </c>
      <c r="Y90" s="212">
        <f>+SUM(RBP!AG81:AG82)</f>
        <v>0</v>
      </c>
      <c r="Z90" s="38">
        <v>0</v>
      </c>
      <c r="AA90" s="50">
        <f>SUM(U90:U93)-SUM(W90:W93)-SUM(Z90:Z93)-SUM(Y90:Y93)</f>
        <v>2.111748324079997</v>
      </c>
      <c r="AB90" s="50">
        <f>(SUM(K90:K93)-SUM(W90:W93)-SUM(Y90:Y93)-SUM(Z90:Z93)-SUM(AC90:AC93)-SUM(V90:V93))-AA90</f>
        <v>3.5501800551581031E-2</v>
      </c>
      <c r="AC90" s="38">
        <f>K90-T90</f>
        <v>0</v>
      </c>
      <c r="AD90" s="38">
        <f>+AM90+BA90</f>
        <v>0</v>
      </c>
      <c r="AE90" s="231" t="s">
        <v>390</v>
      </c>
      <c r="AF90" s="38">
        <v>0</v>
      </c>
      <c r="AG90" s="38"/>
      <c r="AH90" s="38"/>
      <c r="AI90" s="501"/>
      <c r="AJ90" s="38"/>
      <c r="AK90" s="38"/>
      <c r="AL90" s="38"/>
      <c r="AM90" s="38">
        <f>SUM(AF90:AL90)+AT90</f>
        <v>0</v>
      </c>
      <c r="AN90" s="38"/>
      <c r="AO90" s="38"/>
      <c r="AP90" s="38"/>
      <c r="AQ90" s="38"/>
      <c r="AR90" s="38">
        <f>SUM(AN90:AQ90)</f>
        <v>0</v>
      </c>
      <c r="AS90" s="38"/>
      <c r="AT90" s="38"/>
      <c r="AU90" s="38"/>
      <c r="AV90" s="38"/>
      <c r="AW90" s="38"/>
      <c r="AX90" s="38"/>
      <c r="AY90" s="38"/>
      <c r="AZ90" s="38"/>
      <c r="BA90" s="38">
        <f>+AR90+AS90+AU90+AV90+AX90</f>
        <v>0</v>
      </c>
      <c r="BB90" s="34">
        <v>0</v>
      </c>
      <c r="BC90" s="52"/>
      <c r="BD90" s="52"/>
      <c r="BE90" s="34"/>
      <c r="BF90" s="52"/>
    </row>
    <row r="91" spans="1:58" ht="12.95" customHeight="1">
      <c r="A91" s="41"/>
      <c r="B91" s="42" t="s">
        <v>431</v>
      </c>
      <c r="C91" s="443">
        <f t="shared" si="172"/>
        <v>43.202717921999998</v>
      </c>
      <c r="D91" s="42" t="s">
        <v>434</v>
      </c>
      <c r="E91" s="43">
        <v>15.5</v>
      </c>
      <c r="F91" s="43">
        <v>1</v>
      </c>
      <c r="G91" s="498">
        <v>1155</v>
      </c>
      <c r="H91" s="45">
        <f t="shared" si="173"/>
        <v>0.21999999999999997</v>
      </c>
      <c r="I91" s="46">
        <v>0.88</v>
      </c>
      <c r="J91" s="83">
        <f t="shared" si="174"/>
        <v>55.096161119999998</v>
      </c>
      <c r="K91" s="83">
        <f>(IF(G91&lt;L91,L91,G91)*(1-IF(H91&lt;N91,H91,N91))*E91*O91*Q91)/100000000</f>
        <v>43.202717921999998</v>
      </c>
      <c r="L91" s="36">
        <v>1159.2622222222221</v>
      </c>
      <c r="M91" s="36">
        <v>904.22453333333328</v>
      </c>
      <c r="N91" s="47">
        <f t="shared" si="175"/>
        <v>0.21999999999999997</v>
      </c>
      <c r="O91" s="48">
        <f>+'Trim Rwd'!H56</f>
        <v>274</v>
      </c>
      <c r="P91" s="49">
        <f t="shared" si="176"/>
        <v>300030</v>
      </c>
      <c r="Q91" s="48">
        <v>1125</v>
      </c>
      <c r="R91" s="499">
        <v>0</v>
      </c>
      <c r="S91" s="499">
        <v>30</v>
      </c>
      <c r="T91" s="38">
        <f t="shared" si="177"/>
        <v>43.202717921999998</v>
      </c>
      <c r="U91" s="38">
        <f t="shared" si="178"/>
        <v>42.050645444079997</v>
      </c>
      <c r="V91" s="38">
        <f t="shared" si="179"/>
        <v>1.1478366900000001</v>
      </c>
      <c r="W91" s="38">
        <f>+'17'!K16/1000</f>
        <v>38.475999999999999</v>
      </c>
      <c r="X91" s="39"/>
      <c r="Y91" s="212"/>
      <c r="Z91" s="38"/>
      <c r="AA91" s="38"/>
      <c r="AB91" s="38"/>
      <c r="AC91" s="38">
        <f>K91-T91</f>
        <v>0</v>
      </c>
      <c r="AD91" s="38">
        <f t="shared" ref="AD91:AD93" si="180">+AM91+BA91</f>
        <v>11</v>
      </c>
      <c r="AE91" s="231" t="s">
        <v>617</v>
      </c>
      <c r="AF91" s="38"/>
      <c r="AG91" s="38">
        <v>11</v>
      </c>
      <c r="AH91" s="38"/>
      <c r="AI91" s="501"/>
      <c r="AJ91" s="38"/>
      <c r="AK91" s="38"/>
      <c r="AL91" s="38"/>
      <c r="AM91" s="38">
        <f t="shared" ref="AM91:AM93" si="181">SUM(AF91:AL91)+AT91</f>
        <v>11</v>
      </c>
      <c r="AN91" s="84"/>
      <c r="AO91" s="38"/>
      <c r="AP91" s="38"/>
      <c r="AQ91" s="38"/>
      <c r="AR91" s="38">
        <f t="shared" ref="AR91:AR93" si="182">SUM(AN91:AQ91)</f>
        <v>0</v>
      </c>
      <c r="AS91" s="38"/>
      <c r="AT91" s="38"/>
      <c r="AU91" s="38"/>
      <c r="AV91" s="38"/>
      <c r="AW91" s="38"/>
      <c r="AX91" s="38"/>
      <c r="AY91" s="38"/>
      <c r="AZ91" s="38"/>
      <c r="BA91" s="38">
        <f t="shared" ref="BA91:BA93" si="183">+AR91+AS91+AU91+AV91+AX91</f>
        <v>0</v>
      </c>
      <c r="BB91" s="51"/>
      <c r="BC91" s="52">
        <v>8</v>
      </c>
      <c r="BD91" s="52"/>
      <c r="BE91" s="51"/>
      <c r="BF91" s="52"/>
    </row>
    <row r="92" spans="1:58" ht="12.95" customHeight="1">
      <c r="A92" s="41"/>
      <c r="B92" s="42"/>
      <c r="C92" s="443"/>
      <c r="D92" s="42"/>
      <c r="E92" s="43"/>
      <c r="F92" s="43"/>
      <c r="G92" s="44"/>
      <c r="H92" s="45"/>
      <c r="I92" s="46"/>
      <c r="J92" s="83"/>
      <c r="K92" s="83"/>
      <c r="L92" s="36"/>
      <c r="M92" s="36"/>
      <c r="N92" s="47"/>
      <c r="O92" s="48"/>
      <c r="P92" s="49"/>
      <c r="Q92" s="48"/>
      <c r="R92" s="499"/>
      <c r="S92" s="499"/>
      <c r="T92" s="38"/>
      <c r="U92" s="38"/>
      <c r="V92" s="38"/>
      <c r="W92" s="38"/>
      <c r="X92" s="39"/>
      <c r="Y92" s="212"/>
      <c r="Z92" s="38"/>
      <c r="AA92" s="38"/>
      <c r="AB92" s="38"/>
      <c r="AC92" s="38"/>
      <c r="AD92" s="38">
        <f t="shared" si="180"/>
        <v>24</v>
      </c>
      <c r="AE92" s="231" t="s">
        <v>436</v>
      </c>
      <c r="AF92" s="34"/>
      <c r="AG92" s="34"/>
      <c r="AH92" s="34">
        <v>24</v>
      </c>
      <c r="AJ92" s="38"/>
      <c r="AK92" s="38"/>
      <c r="AL92" s="38"/>
      <c r="AM92" s="38">
        <f t="shared" si="181"/>
        <v>24</v>
      </c>
      <c r="AN92" s="38"/>
      <c r="AO92" s="38"/>
      <c r="AP92" s="38"/>
      <c r="AQ92" s="38"/>
      <c r="AR92" s="38">
        <f t="shared" si="182"/>
        <v>0</v>
      </c>
      <c r="AS92" s="38"/>
      <c r="AT92" s="38"/>
      <c r="AU92" s="38"/>
      <c r="AV92" s="38"/>
      <c r="AW92" s="38"/>
      <c r="AX92" s="38"/>
      <c r="AY92" s="38"/>
      <c r="AZ92" s="38"/>
      <c r="BA92" s="38">
        <f t="shared" si="183"/>
        <v>0</v>
      </c>
      <c r="BB92" s="34"/>
      <c r="BC92" s="502"/>
      <c r="BD92" s="502"/>
      <c r="BE92" s="34"/>
      <c r="BF92" s="502"/>
    </row>
    <row r="93" spans="1:58" ht="12.95" customHeight="1">
      <c r="A93" s="41"/>
      <c r="B93" s="42"/>
      <c r="C93" s="443"/>
      <c r="D93" s="42"/>
      <c r="E93" s="43"/>
      <c r="F93" s="43"/>
      <c r="G93" s="44"/>
      <c r="H93" s="45"/>
      <c r="I93" s="46"/>
      <c r="J93" s="83"/>
      <c r="K93" s="83"/>
      <c r="L93" s="36"/>
      <c r="M93" s="36"/>
      <c r="N93" s="47"/>
      <c r="O93" s="48"/>
      <c r="P93" s="49"/>
      <c r="Q93" s="35"/>
      <c r="R93" s="499"/>
      <c r="S93" s="499"/>
      <c r="T93" s="38"/>
      <c r="U93" s="38"/>
      <c r="V93" s="38"/>
      <c r="W93" s="38"/>
      <c r="X93" s="39"/>
      <c r="Y93" s="212"/>
      <c r="Z93" s="38"/>
      <c r="AA93" s="38"/>
      <c r="AB93" s="38"/>
      <c r="AC93" s="38"/>
      <c r="AD93" s="38">
        <f t="shared" si="180"/>
        <v>5</v>
      </c>
      <c r="AE93" s="234" t="s">
        <v>228</v>
      </c>
      <c r="AF93" s="38"/>
      <c r="AG93" s="38"/>
      <c r="AH93" s="38"/>
      <c r="AI93" s="501">
        <v>5</v>
      </c>
      <c r="AJ93" s="38"/>
      <c r="AK93" s="38"/>
      <c r="AL93" s="38"/>
      <c r="AM93" s="38">
        <f t="shared" si="181"/>
        <v>5</v>
      </c>
      <c r="AN93" s="38"/>
      <c r="AO93" s="38"/>
      <c r="AP93" s="38"/>
      <c r="AQ93" s="38"/>
      <c r="AR93" s="38">
        <f t="shared" si="182"/>
        <v>0</v>
      </c>
      <c r="AS93" s="38"/>
      <c r="AT93" s="38"/>
      <c r="AU93" s="38"/>
      <c r="AV93" s="38"/>
      <c r="AW93" s="38"/>
      <c r="AX93" s="38"/>
      <c r="AY93" s="38"/>
      <c r="AZ93" s="38"/>
      <c r="BA93" s="38">
        <f t="shared" si="183"/>
        <v>0</v>
      </c>
      <c r="BB93" s="51"/>
      <c r="BC93" s="52"/>
      <c r="BD93" s="52"/>
      <c r="BE93" s="51"/>
      <c r="BF93" s="52"/>
    </row>
    <row r="94" spans="1:58" ht="12.95" customHeight="1">
      <c r="A94" s="41"/>
      <c r="B94" s="42"/>
      <c r="C94" s="443"/>
      <c r="D94" s="42"/>
      <c r="E94" s="43"/>
      <c r="F94" s="43"/>
      <c r="G94" s="44"/>
      <c r="H94" s="44"/>
      <c r="I94" s="46"/>
      <c r="J94" s="83"/>
      <c r="K94" s="83"/>
      <c r="L94" s="36"/>
      <c r="M94" s="36"/>
      <c r="N94" s="47"/>
      <c r="O94" s="48"/>
      <c r="P94" s="49"/>
      <c r="Q94" s="48"/>
      <c r="R94" s="499"/>
      <c r="S94" s="499"/>
      <c r="T94" s="38"/>
      <c r="U94" s="38"/>
      <c r="V94" s="38"/>
      <c r="W94" s="38"/>
      <c r="X94" s="39"/>
      <c r="Y94" s="212"/>
      <c r="Z94" s="38"/>
      <c r="AA94" s="38"/>
      <c r="AB94" s="38"/>
      <c r="AC94" s="38"/>
      <c r="AD94" s="38"/>
      <c r="AE94" s="231"/>
      <c r="AF94" s="38"/>
      <c r="AG94" s="38"/>
      <c r="AH94" s="38"/>
      <c r="AI94" s="501"/>
      <c r="AJ94" s="38"/>
      <c r="AK94" s="38"/>
      <c r="AL94" s="38"/>
      <c r="AM94" s="38"/>
      <c r="AN94" s="84"/>
      <c r="AO94" s="38"/>
      <c r="AP94" s="38"/>
      <c r="AQ94" s="38"/>
      <c r="AR94" s="38"/>
      <c r="AS94" s="38"/>
      <c r="AT94" s="38"/>
      <c r="AU94" s="38"/>
      <c r="AV94" s="38"/>
      <c r="AW94" s="38"/>
      <c r="AX94" s="38"/>
      <c r="AY94" s="38"/>
      <c r="AZ94" s="38"/>
      <c r="BA94" s="38"/>
      <c r="BB94" s="51"/>
      <c r="BC94" s="52"/>
      <c r="BD94" s="52"/>
      <c r="BE94" s="52"/>
      <c r="BF94" s="52"/>
    </row>
    <row r="95" spans="1:58" ht="12" customHeight="1">
      <c r="A95" s="41">
        <v>45979</v>
      </c>
      <c r="B95" s="42" t="s">
        <v>431</v>
      </c>
      <c r="C95" s="443">
        <f t="shared" ref="C95:C96" si="184">(M95*E95*O95*Q95)/100000000</f>
        <v>41.053216641973826</v>
      </c>
      <c r="D95" s="42" t="s">
        <v>434</v>
      </c>
      <c r="E95" s="43">
        <v>15.5</v>
      </c>
      <c r="F95" s="43">
        <v>1</v>
      </c>
      <c r="G95" s="498">
        <v>1160</v>
      </c>
      <c r="H95" s="45">
        <f t="shared" ref="H95:H96" si="185">+N95</f>
        <v>0.22240767773113435</v>
      </c>
      <c r="I95" s="46">
        <v>0.88</v>
      </c>
      <c r="J95" s="83">
        <f t="shared" ref="J95:J96" si="186">E95*G95*(1-H95)*1440/1000000*2.74</f>
        <v>55.163867436057771</v>
      </c>
      <c r="K95" s="83">
        <f>(IF(G95&lt;L95,L95,G95)*(1-IF(H95&lt;N95,H95,N95))*E95*O95*Q95)/100000000</f>
        <v>41.234487588494822</v>
      </c>
      <c r="L95" s="36">
        <v>1154.9005235602094</v>
      </c>
      <c r="M95" s="36">
        <v>898.04178010471207</v>
      </c>
      <c r="N95" s="47">
        <f t="shared" ref="N95:N96" si="187">1-(M95/L95)</f>
        <v>0.22240767773113435</v>
      </c>
      <c r="O95" s="48">
        <f>+'Trim Rwd'!H58</f>
        <v>261</v>
      </c>
      <c r="P95" s="49">
        <f t="shared" ref="P95:P96" si="188">O95*(Q95-R95-S95)</f>
        <v>241425</v>
      </c>
      <c r="Q95" s="48">
        <f>955+175</f>
        <v>1130</v>
      </c>
      <c r="R95" s="499">
        <v>175</v>
      </c>
      <c r="S95" s="499">
        <v>30</v>
      </c>
      <c r="T95" s="38">
        <f t="shared" ref="T95:T96" si="189">E95*M95*O95*Q95/100000000</f>
        <v>41.053216641973826</v>
      </c>
      <c r="U95" s="38">
        <f t="shared" ref="U95:U96" si="190">E95*M95*O95*(Q95-R95-S95)/100000000</f>
        <v>33.605509198075922</v>
      </c>
      <c r="V95" s="38">
        <f t="shared" ref="V95:V96" si="191">E95*G95*(1-N95)*O95/100*(R95+S95)/1000000</f>
        <v>7.4805928810986195</v>
      </c>
      <c r="W95" s="38">
        <f>+'18'!K16/1000</f>
        <v>31.056000000000001</v>
      </c>
      <c r="X95" s="500">
        <f>SUM(W95:W98)/SUM(K95:K98)</f>
        <v>0.85466379693890182</v>
      </c>
      <c r="Y95" s="212">
        <f>+SUM(RBP!AG86:AG87)</f>
        <v>0</v>
      </c>
      <c r="Z95" s="38">
        <v>0</v>
      </c>
      <c r="AA95" s="50">
        <f>SUM(U95:U98)-SUM(W95:W98)-SUM(Z95:Z98)-SUM(Y95:Y98)</f>
        <v>-0.19418133095634005</v>
      </c>
      <c r="AB95" s="50">
        <f>(SUM(K95:K98)-SUM(W95:W98)-SUM(Y95:Y98)-SUM(Z95:Z98)-SUM(AC95:AC98)-SUM(V95:V98))-AA95</f>
        <v>-5.1045664658433409E-3</v>
      </c>
      <c r="AC95" s="38">
        <f>K95-T95</f>
        <v>0.18127094652099629</v>
      </c>
      <c r="AD95" s="38">
        <f>+AM95+BA95</f>
        <v>0</v>
      </c>
      <c r="AE95" s="231" t="s">
        <v>390</v>
      </c>
      <c r="AF95" s="38">
        <v>0</v>
      </c>
      <c r="AG95" s="38"/>
      <c r="AH95" s="38"/>
      <c r="AI95" s="501"/>
      <c r="AJ95" s="38"/>
      <c r="AK95" s="38"/>
      <c r="AL95" s="38"/>
      <c r="AM95" s="38">
        <f>SUM(AF95:AL95)+AT95</f>
        <v>0</v>
      </c>
      <c r="AN95" s="38"/>
      <c r="AO95" s="38"/>
      <c r="AP95" s="38"/>
      <c r="AQ95" s="38"/>
      <c r="AR95" s="38">
        <f>SUM(AN95:AQ95)</f>
        <v>0</v>
      </c>
      <c r="AS95" s="38"/>
      <c r="AT95" s="38"/>
      <c r="AU95" s="38"/>
      <c r="AV95" s="38"/>
      <c r="AW95" s="38"/>
      <c r="AX95" s="38"/>
      <c r="AY95" s="38"/>
      <c r="AZ95" s="38"/>
      <c r="BA95" s="38">
        <f>+AR95+AS95+AU95+AV95+AX95</f>
        <v>0</v>
      </c>
      <c r="BB95" s="34">
        <v>0</v>
      </c>
      <c r="BC95" s="52"/>
      <c r="BD95" s="52"/>
      <c r="BE95" s="34"/>
      <c r="BF95" s="52">
        <v>2</v>
      </c>
    </row>
    <row r="96" spans="1:58" ht="12.95" customHeight="1">
      <c r="A96" s="41"/>
      <c r="B96" s="42" t="s">
        <v>431</v>
      </c>
      <c r="C96" s="443">
        <f t="shared" si="184"/>
        <v>12.75165312</v>
      </c>
      <c r="D96" s="42" t="s">
        <v>434</v>
      </c>
      <c r="E96" s="43">
        <v>16</v>
      </c>
      <c r="F96" s="43">
        <v>1</v>
      </c>
      <c r="G96" s="498">
        <v>1060</v>
      </c>
      <c r="H96" s="45">
        <f t="shared" si="185"/>
        <v>0.17460839954597052</v>
      </c>
      <c r="I96" s="46">
        <v>0.88</v>
      </c>
      <c r="J96" s="83">
        <f t="shared" si="186"/>
        <v>55.233040074824061</v>
      </c>
      <c r="K96" s="83">
        <f>(IF(G96&lt;L96,L96,G96)*(1-IF(H96&lt;N96,H96,N96))*E96*O96*Q96)/100000000</f>
        <v>12.75165312</v>
      </c>
      <c r="L96" s="36">
        <v>1136.7741935483871</v>
      </c>
      <c r="M96" s="36">
        <v>938.2838709677419</v>
      </c>
      <c r="N96" s="47">
        <f t="shared" si="187"/>
        <v>0.17460839954597052</v>
      </c>
      <c r="O96" s="48">
        <f>+'Trim Rwd'!H59</f>
        <v>274</v>
      </c>
      <c r="P96" s="49">
        <f t="shared" si="188"/>
        <v>82200</v>
      </c>
      <c r="Q96" s="48">
        <v>310</v>
      </c>
      <c r="R96" s="499">
        <v>0</v>
      </c>
      <c r="S96" s="499">
        <v>10</v>
      </c>
      <c r="T96" s="38">
        <f t="shared" si="189"/>
        <v>12.75165312</v>
      </c>
      <c r="U96" s="38">
        <f t="shared" si="190"/>
        <v>12.340309470967741</v>
      </c>
      <c r="V96" s="38">
        <f t="shared" si="191"/>
        <v>0.38356277829738927</v>
      </c>
      <c r="W96" s="38">
        <f>+'18'!K17/1000</f>
        <v>15.084</v>
      </c>
      <c r="X96" s="39"/>
      <c r="Y96" s="212"/>
      <c r="Z96" s="38"/>
      <c r="AA96" s="38"/>
      <c r="AB96" s="38"/>
      <c r="AC96" s="38">
        <f>K96-T96</f>
        <v>0</v>
      </c>
      <c r="AD96" s="38">
        <f t="shared" ref="AD96:AD99" si="192">+AM96+BA96</f>
        <v>9</v>
      </c>
      <c r="AE96" s="231" t="s">
        <v>617</v>
      </c>
      <c r="AF96" s="38"/>
      <c r="AG96" s="38">
        <v>9</v>
      </c>
      <c r="AH96" s="38"/>
      <c r="AI96" s="501"/>
      <c r="AJ96" s="38"/>
      <c r="AK96" s="38"/>
      <c r="AL96" s="38"/>
      <c r="AM96" s="38">
        <f t="shared" ref="AM96:AM98" si="193">SUM(AF96:AL96)+AT96</f>
        <v>9</v>
      </c>
      <c r="AN96" s="84"/>
      <c r="AO96" s="38"/>
      <c r="AP96" s="38"/>
      <c r="AQ96" s="38"/>
      <c r="AR96" s="38">
        <f t="shared" ref="AR96:AR98" si="194">SUM(AN96:AQ96)</f>
        <v>0</v>
      </c>
      <c r="AS96" s="38"/>
      <c r="AT96" s="38"/>
      <c r="AU96" s="38"/>
      <c r="AV96" s="38"/>
      <c r="AW96" s="38"/>
      <c r="AX96" s="38"/>
      <c r="AY96" s="38"/>
      <c r="AZ96" s="38"/>
      <c r="BA96" s="38">
        <f t="shared" ref="BA96:BA99" si="195">+AR96+AS96+AU96+AV96+AX96</f>
        <v>0</v>
      </c>
      <c r="BB96" s="51"/>
      <c r="BC96" s="52">
        <v>8</v>
      </c>
      <c r="BD96" s="52"/>
      <c r="BE96" s="51"/>
      <c r="BF96" s="52"/>
    </row>
    <row r="97" spans="1:58" ht="12.95" customHeight="1">
      <c r="A97" s="41"/>
      <c r="B97" s="42"/>
      <c r="C97" s="443"/>
      <c r="D97" s="42"/>
      <c r="E97" s="43"/>
      <c r="F97" s="43"/>
      <c r="G97" s="44"/>
      <c r="H97" s="45"/>
      <c r="I97" s="46"/>
      <c r="J97" s="83"/>
      <c r="K97" s="83"/>
      <c r="L97" s="36"/>
      <c r="M97" s="36"/>
      <c r="N97" s="47"/>
      <c r="O97" s="48"/>
      <c r="P97" s="49"/>
      <c r="Q97" s="48"/>
      <c r="R97" s="499"/>
      <c r="S97" s="499"/>
      <c r="T97" s="38"/>
      <c r="U97" s="38"/>
      <c r="V97" s="38"/>
      <c r="W97" s="38"/>
      <c r="X97" s="39"/>
      <c r="Y97" s="212"/>
      <c r="Z97" s="38"/>
      <c r="AA97" s="38"/>
      <c r="AB97" s="38"/>
      <c r="AC97" s="38"/>
      <c r="AD97" s="38">
        <f t="shared" si="192"/>
        <v>21</v>
      </c>
      <c r="AE97" s="231" t="s">
        <v>607</v>
      </c>
      <c r="AF97" s="34"/>
      <c r="AG97" s="34"/>
      <c r="AH97" s="34">
        <v>21</v>
      </c>
      <c r="AJ97" s="38"/>
      <c r="AK97" s="38"/>
      <c r="AL97" s="38"/>
      <c r="AM97" s="38">
        <f t="shared" si="193"/>
        <v>21</v>
      </c>
      <c r="AN97" s="38"/>
      <c r="AO97" s="38"/>
      <c r="AP97" s="38"/>
      <c r="AQ97" s="38"/>
      <c r="AR97" s="38">
        <f t="shared" si="194"/>
        <v>0</v>
      </c>
      <c r="AS97" s="38"/>
      <c r="AT97" s="38"/>
      <c r="AU97" s="38"/>
      <c r="AV97" s="38"/>
      <c r="AW97" s="38"/>
      <c r="AX97" s="38"/>
      <c r="AY97" s="38"/>
      <c r="AZ97" s="38"/>
      <c r="BA97" s="38">
        <f t="shared" si="195"/>
        <v>0</v>
      </c>
      <c r="BB97" s="34"/>
      <c r="BC97" s="502"/>
      <c r="BD97" s="502"/>
      <c r="BE97" s="34"/>
      <c r="BF97" s="502"/>
    </row>
    <row r="98" spans="1:58" ht="12.95" customHeight="1">
      <c r="A98" s="41"/>
      <c r="B98" s="42"/>
      <c r="C98" s="443"/>
      <c r="D98" s="42"/>
      <c r="E98" s="43"/>
      <c r="F98" s="43"/>
      <c r="G98" s="44"/>
      <c r="H98" s="45"/>
      <c r="I98" s="46"/>
      <c r="J98" s="83"/>
      <c r="K98" s="83"/>
      <c r="L98" s="36"/>
      <c r="M98" s="36"/>
      <c r="N98" s="47"/>
      <c r="O98" s="48"/>
      <c r="P98" s="49"/>
      <c r="Q98" s="35"/>
      <c r="R98" s="499"/>
      <c r="S98" s="499"/>
      <c r="T98" s="38"/>
      <c r="U98" s="38"/>
      <c r="V98" s="38"/>
      <c r="W98" s="38"/>
      <c r="X98" s="39"/>
      <c r="Y98" s="212"/>
      <c r="Z98" s="38"/>
      <c r="AA98" s="38"/>
      <c r="AB98" s="38"/>
      <c r="AC98" s="38"/>
      <c r="AD98" s="38">
        <f t="shared" si="192"/>
        <v>10</v>
      </c>
      <c r="AE98" s="234" t="s">
        <v>228</v>
      </c>
      <c r="AF98" s="38"/>
      <c r="AG98" s="38"/>
      <c r="AH98" s="38"/>
      <c r="AI98" s="501">
        <v>10</v>
      </c>
      <c r="AJ98" s="38"/>
      <c r="AK98" s="38"/>
      <c r="AL98" s="38"/>
      <c r="AM98" s="38">
        <f t="shared" si="193"/>
        <v>10</v>
      </c>
      <c r="AN98" s="38"/>
      <c r="AO98" s="38"/>
      <c r="AP98" s="38"/>
      <c r="AQ98" s="38"/>
      <c r="AR98" s="38">
        <f t="shared" si="194"/>
        <v>0</v>
      </c>
      <c r="AS98" s="38"/>
      <c r="AT98" s="38"/>
      <c r="AU98" s="38"/>
      <c r="AV98" s="38"/>
      <c r="AW98" s="38"/>
      <c r="AX98" s="38"/>
      <c r="AY98" s="38"/>
      <c r="AZ98" s="38"/>
      <c r="BA98" s="38">
        <f t="shared" si="195"/>
        <v>0</v>
      </c>
      <c r="BB98" s="51"/>
      <c r="BC98" s="52"/>
      <c r="BD98" s="52"/>
      <c r="BE98" s="51"/>
      <c r="BF98" s="52"/>
    </row>
    <row r="99" spans="1:58" ht="12.95" customHeight="1">
      <c r="A99" s="41"/>
      <c r="B99" s="42"/>
      <c r="C99" s="443"/>
      <c r="D99" s="42"/>
      <c r="E99" s="43"/>
      <c r="F99" s="43"/>
      <c r="G99" s="44"/>
      <c r="H99" s="45"/>
      <c r="I99" s="46"/>
      <c r="J99" s="83"/>
      <c r="K99" s="83"/>
      <c r="L99" s="36"/>
      <c r="M99" s="36"/>
      <c r="N99" s="47"/>
      <c r="O99" s="48"/>
      <c r="P99" s="49"/>
      <c r="Q99" s="35"/>
      <c r="R99" s="499"/>
      <c r="S99" s="499"/>
      <c r="T99" s="38"/>
      <c r="U99" s="38"/>
      <c r="V99" s="38"/>
      <c r="W99" s="38"/>
      <c r="X99" s="39"/>
      <c r="Y99" s="212"/>
      <c r="Z99" s="38"/>
      <c r="AA99" s="38"/>
      <c r="AB99" s="38"/>
      <c r="AC99" s="38"/>
      <c r="AD99" s="38">
        <f t="shared" si="192"/>
        <v>175</v>
      </c>
      <c r="AE99" s="234" t="s">
        <v>632</v>
      </c>
      <c r="AF99" s="38"/>
      <c r="AG99" s="38"/>
      <c r="AH99" s="38"/>
      <c r="AI99" s="501"/>
      <c r="AJ99" s="38"/>
      <c r="AK99" s="38"/>
      <c r="AL99" s="38"/>
      <c r="AM99" s="38">
        <f t="shared" ref="AM99" si="196">SUM(AF99:AL99)+AT99</f>
        <v>0</v>
      </c>
      <c r="AN99" s="38">
        <v>175</v>
      </c>
      <c r="AO99" s="38"/>
      <c r="AP99" s="38"/>
      <c r="AQ99" s="38"/>
      <c r="AR99" s="38">
        <f t="shared" ref="AR99" si="197">SUM(AN99:AQ99)</f>
        <v>175</v>
      </c>
      <c r="AS99" s="38"/>
      <c r="AT99" s="38"/>
      <c r="AU99" s="38"/>
      <c r="AV99" s="38"/>
      <c r="AW99" s="38"/>
      <c r="AX99" s="38"/>
      <c r="AY99" s="38"/>
      <c r="AZ99" s="38"/>
      <c r="BA99" s="38">
        <f t="shared" si="195"/>
        <v>175</v>
      </c>
      <c r="BB99" s="51"/>
      <c r="BC99" s="52"/>
      <c r="BD99" s="52"/>
      <c r="BE99" s="51"/>
      <c r="BF99" s="52"/>
    </row>
    <row r="100" spans="1:58" ht="12.95" customHeight="1">
      <c r="A100" s="41"/>
      <c r="B100" s="42"/>
      <c r="C100" s="443"/>
      <c r="D100" s="42"/>
      <c r="E100" s="43"/>
      <c r="F100" s="43"/>
      <c r="G100" s="44"/>
      <c r="H100" s="44"/>
      <c r="I100" s="46"/>
      <c r="J100" s="83"/>
      <c r="K100" s="83"/>
      <c r="L100" s="36"/>
      <c r="M100" s="36"/>
      <c r="N100" s="47"/>
      <c r="O100" s="48"/>
      <c r="P100" s="49"/>
      <c r="Q100" s="48"/>
      <c r="R100" s="499"/>
      <c r="S100" s="499"/>
      <c r="T100" s="38"/>
      <c r="U100" s="38"/>
      <c r="V100" s="38"/>
      <c r="W100" s="38"/>
      <c r="X100" s="39"/>
      <c r="Y100" s="212"/>
      <c r="Z100" s="38"/>
      <c r="AA100" s="38"/>
      <c r="AB100" s="38"/>
      <c r="AC100" s="38"/>
      <c r="AD100" s="38"/>
      <c r="AE100" s="231"/>
      <c r="AF100" s="38"/>
      <c r="AG100" s="38"/>
      <c r="AH100" s="38"/>
      <c r="AI100" s="501"/>
      <c r="AJ100" s="38"/>
      <c r="AK100" s="38"/>
      <c r="AL100" s="38"/>
      <c r="AM100" s="38"/>
      <c r="AN100" s="84"/>
      <c r="AO100" s="38"/>
      <c r="AP100" s="38"/>
      <c r="AQ100" s="38"/>
      <c r="AR100" s="38"/>
      <c r="AS100" s="38"/>
      <c r="AT100" s="38"/>
      <c r="AU100" s="38"/>
      <c r="AV100" s="38"/>
      <c r="AW100" s="38"/>
      <c r="AX100" s="38"/>
      <c r="AY100" s="38"/>
      <c r="AZ100" s="38"/>
      <c r="BA100" s="38"/>
      <c r="BB100" s="51"/>
      <c r="BC100" s="52"/>
      <c r="BD100" s="52"/>
      <c r="BE100" s="52"/>
      <c r="BF100" s="52"/>
    </row>
    <row r="101" spans="1:58" ht="12" customHeight="1">
      <c r="A101" s="41">
        <v>45980</v>
      </c>
      <c r="B101" s="42" t="s">
        <v>431</v>
      </c>
      <c r="C101" s="443">
        <f t="shared" ref="C101" si="198">(M101*E101*O101*Q101)/100000000</f>
        <v>52.854161274782612</v>
      </c>
      <c r="D101" s="42" t="s">
        <v>434</v>
      </c>
      <c r="E101" s="43">
        <v>15.5</v>
      </c>
      <c r="F101" s="43">
        <v>1</v>
      </c>
      <c r="G101" s="498">
        <v>1135</v>
      </c>
      <c r="H101" s="45">
        <f t="shared" ref="H101" si="199">+N101</f>
        <v>0.20693759071117557</v>
      </c>
      <c r="I101" s="46">
        <v>0.88</v>
      </c>
      <c r="J101" s="83">
        <f t="shared" ref="J101" si="200">E101*G101*(1-H101)*1440/1000000*2.74</f>
        <v>55.048815637968083</v>
      </c>
      <c r="K101" s="83">
        <f>(IF(G101&lt;L101,L101,G101)*(1-IF(H101&lt;N101,H101,N101))*E101*O101*Q101)/100000000</f>
        <v>52.854161274782612</v>
      </c>
      <c r="L101" s="36">
        <v>1148.3333333333333</v>
      </c>
      <c r="M101" s="36">
        <v>910.7</v>
      </c>
      <c r="N101" s="47">
        <f t="shared" ref="N101" si="201">1-(M101/L101)</f>
        <v>0.20693759071117557</v>
      </c>
      <c r="O101" s="48">
        <f>+'Trim Rwd'!H61</f>
        <v>260.02173913043481</v>
      </c>
      <c r="P101" s="49">
        <f t="shared" ref="P101" si="202">O101*(Q101-R101-S101)</f>
        <v>361170.19565217395</v>
      </c>
      <c r="Q101" s="48">
        <v>1440</v>
      </c>
      <c r="R101" s="499">
        <v>0</v>
      </c>
      <c r="S101" s="499">
        <v>51</v>
      </c>
      <c r="T101" s="38">
        <f t="shared" ref="T101" si="203">E101*M101*O101*Q101/100000000</f>
        <v>52.854161274782612</v>
      </c>
      <c r="U101" s="38">
        <f t="shared" ref="U101" si="204">E101*M101*O101*(Q101-R101-S101)/100000000</f>
        <v>50.982243062967399</v>
      </c>
      <c r="V101" s="38">
        <f t="shared" ref="V101" si="205">E101*G101*(1-N101)*O101/100*(R101+S101)/1000000</f>
        <v>1.8501833124037204</v>
      </c>
      <c r="W101" s="38">
        <f>+'19'!K16/1000</f>
        <v>50.061</v>
      </c>
      <c r="X101" s="500">
        <f>SUM(W101:W104)/SUM(K101:K104)</f>
        <v>0.94715342732880969</v>
      </c>
      <c r="Y101" s="212">
        <f>+SUM(RBP!AG92:AG93)</f>
        <v>0</v>
      </c>
      <c r="Z101" s="38">
        <v>0</v>
      </c>
      <c r="AA101" s="50">
        <f>SUM(U101:U104)-SUM(W101:W104)-SUM(Z101:Z104)-SUM(Y101:Y104)</f>
        <v>0.92124306296739888</v>
      </c>
      <c r="AB101" s="50">
        <f>(SUM(K101:K104)-SUM(W101:W104)-SUM(Y101:Y104)-SUM(Z101:Z104)-SUM(AC101:AC104)-SUM(V101:V104))-AA101</f>
        <v>2.1734899411492981E-2</v>
      </c>
      <c r="AC101" s="38">
        <f>K101-T101</f>
        <v>0</v>
      </c>
      <c r="AD101" s="38">
        <f>+AM101+BA101</f>
        <v>0</v>
      </c>
      <c r="AE101" s="231" t="s">
        <v>390</v>
      </c>
      <c r="AF101" s="38">
        <v>0</v>
      </c>
      <c r="AG101" s="38"/>
      <c r="AH101" s="38"/>
      <c r="AI101" s="501"/>
      <c r="AJ101" s="38"/>
      <c r="AK101" s="38"/>
      <c r="AL101" s="38"/>
      <c r="AM101" s="38">
        <f>SUM(AF101:AL101)+AT101</f>
        <v>0</v>
      </c>
      <c r="AN101" s="38"/>
      <c r="AO101" s="38"/>
      <c r="AP101" s="38"/>
      <c r="AQ101" s="38"/>
      <c r="AR101" s="38">
        <f>SUM(AN101:AQ101)</f>
        <v>0</v>
      </c>
      <c r="AS101" s="38"/>
      <c r="AT101" s="38"/>
      <c r="AU101" s="38"/>
      <c r="AV101" s="38"/>
      <c r="AW101" s="38"/>
      <c r="AX101" s="38"/>
      <c r="AY101" s="38"/>
      <c r="AZ101" s="38"/>
      <c r="BA101" s="38">
        <f>+AR101+AS101+AU101+AV101+AX101</f>
        <v>0</v>
      </c>
      <c r="BB101" s="34">
        <v>0</v>
      </c>
      <c r="BC101" s="52"/>
      <c r="BD101" s="52"/>
      <c r="BE101" s="34"/>
      <c r="BF101" s="52">
        <v>1</v>
      </c>
    </row>
    <row r="102" spans="1:58" ht="12.95" customHeight="1">
      <c r="A102" s="41"/>
      <c r="B102" s="42"/>
      <c r="C102" s="443"/>
      <c r="D102" s="42"/>
      <c r="E102" s="43"/>
      <c r="F102" s="43"/>
      <c r="G102" s="498"/>
      <c r="H102" s="45"/>
      <c r="I102" s="46"/>
      <c r="J102" s="83"/>
      <c r="K102" s="83"/>
      <c r="L102" s="36"/>
      <c r="M102" s="36"/>
      <c r="N102" s="47"/>
      <c r="O102" s="48"/>
      <c r="P102" s="49"/>
      <c r="Q102" s="48"/>
      <c r="R102" s="499"/>
      <c r="S102" s="499"/>
      <c r="T102" s="38"/>
      <c r="U102" s="38"/>
      <c r="V102" s="38"/>
      <c r="W102" s="38"/>
      <c r="X102" s="39"/>
      <c r="Y102" s="212"/>
      <c r="Z102" s="38"/>
      <c r="AA102" s="38"/>
      <c r="AB102" s="38"/>
      <c r="AC102" s="38">
        <f>K102-T102</f>
        <v>0</v>
      </c>
      <c r="AD102" s="38">
        <f t="shared" ref="AD102:AD104" si="206">+AM102+BA102</f>
        <v>11</v>
      </c>
      <c r="AE102" s="231" t="s">
        <v>570</v>
      </c>
      <c r="AF102" s="38"/>
      <c r="AG102" s="38">
        <v>11</v>
      </c>
      <c r="AH102" s="38"/>
      <c r="AI102" s="501"/>
      <c r="AJ102" s="38"/>
      <c r="AK102" s="38"/>
      <c r="AL102" s="38"/>
      <c r="AM102" s="38">
        <f t="shared" ref="AM102:AM104" si="207">SUM(AF102:AL102)+AT102</f>
        <v>11</v>
      </c>
      <c r="AN102" s="84"/>
      <c r="AO102" s="38"/>
      <c r="AP102" s="38"/>
      <c r="AQ102" s="38"/>
      <c r="AR102" s="38">
        <f t="shared" ref="AR102:AR104" si="208">SUM(AN102:AQ102)</f>
        <v>0</v>
      </c>
      <c r="AS102" s="38"/>
      <c r="AT102" s="38"/>
      <c r="AU102" s="38"/>
      <c r="AV102" s="38"/>
      <c r="AW102" s="38"/>
      <c r="AX102" s="38"/>
      <c r="AY102" s="38"/>
      <c r="AZ102" s="38"/>
      <c r="BA102" s="38">
        <f t="shared" ref="BA102:BA104" si="209">+AR102+AS102+AU102+AV102+AX102</f>
        <v>0</v>
      </c>
      <c r="BB102" s="51"/>
      <c r="BC102" s="52">
        <v>9</v>
      </c>
      <c r="BD102" s="52"/>
      <c r="BE102" s="51"/>
      <c r="BF102" s="52"/>
    </row>
    <row r="103" spans="1:58" ht="12.95" customHeight="1">
      <c r="A103" s="41"/>
      <c r="B103" s="42"/>
      <c r="C103" s="443"/>
      <c r="D103" s="42"/>
      <c r="E103" s="43"/>
      <c r="F103" s="43"/>
      <c r="G103" s="44"/>
      <c r="H103" s="45"/>
      <c r="I103" s="46"/>
      <c r="J103" s="83"/>
      <c r="K103" s="83"/>
      <c r="L103" s="36"/>
      <c r="M103" s="36"/>
      <c r="N103" s="47"/>
      <c r="O103" s="48"/>
      <c r="P103" s="49"/>
      <c r="Q103" s="48"/>
      <c r="R103" s="499"/>
      <c r="S103" s="499"/>
      <c r="T103" s="38"/>
      <c r="U103" s="38"/>
      <c r="V103" s="38"/>
      <c r="W103" s="38"/>
      <c r="X103" s="39"/>
      <c r="Y103" s="212"/>
      <c r="Z103" s="38"/>
      <c r="AA103" s="38"/>
      <c r="AB103" s="38"/>
      <c r="AC103" s="38"/>
      <c r="AD103" s="38">
        <f t="shared" si="206"/>
        <v>22</v>
      </c>
      <c r="AE103" s="231" t="s">
        <v>594</v>
      </c>
      <c r="AF103" s="34"/>
      <c r="AG103" s="34"/>
      <c r="AH103" s="34">
        <v>22</v>
      </c>
      <c r="AJ103" s="38"/>
      <c r="AK103" s="38"/>
      <c r="AL103" s="38"/>
      <c r="AM103" s="38">
        <f t="shared" si="207"/>
        <v>22</v>
      </c>
      <c r="AN103" s="38"/>
      <c r="AO103" s="38"/>
      <c r="AP103" s="38"/>
      <c r="AQ103" s="38"/>
      <c r="AR103" s="38">
        <f t="shared" si="208"/>
        <v>0</v>
      </c>
      <c r="AS103" s="38"/>
      <c r="AT103" s="38"/>
      <c r="AU103" s="38"/>
      <c r="AV103" s="38"/>
      <c r="AW103" s="38"/>
      <c r="AX103" s="38"/>
      <c r="AY103" s="38"/>
      <c r="AZ103" s="38"/>
      <c r="BA103" s="38">
        <f t="shared" si="209"/>
        <v>0</v>
      </c>
      <c r="BB103" s="34"/>
      <c r="BC103" s="502"/>
      <c r="BD103" s="502"/>
      <c r="BE103" s="34"/>
      <c r="BF103" s="502"/>
    </row>
    <row r="104" spans="1:58" ht="12.95" customHeight="1">
      <c r="A104" s="41"/>
      <c r="B104" s="42"/>
      <c r="C104" s="443"/>
      <c r="D104" s="42"/>
      <c r="E104" s="43"/>
      <c r="F104" s="43"/>
      <c r="G104" s="44"/>
      <c r="H104" s="45"/>
      <c r="I104" s="46"/>
      <c r="J104" s="83"/>
      <c r="K104" s="83"/>
      <c r="L104" s="36"/>
      <c r="M104" s="36"/>
      <c r="N104" s="47"/>
      <c r="O104" s="48"/>
      <c r="P104" s="49"/>
      <c r="Q104" s="35"/>
      <c r="R104" s="499"/>
      <c r="S104" s="499"/>
      <c r="T104" s="38"/>
      <c r="U104" s="38"/>
      <c r="V104" s="38"/>
      <c r="W104" s="38"/>
      <c r="X104" s="39"/>
      <c r="Y104" s="212"/>
      <c r="Z104" s="38"/>
      <c r="AA104" s="38"/>
      <c r="AB104" s="38"/>
      <c r="AC104" s="38"/>
      <c r="AD104" s="38">
        <f t="shared" si="206"/>
        <v>18</v>
      </c>
      <c r="AE104" s="234" t="s">
        <v>228</v>
      </c>
      <c r="AF104" s="38"/>
      <c r="AG104" s="38"/>
      <c r="AH104" s="38"/>
      <c r="AI104" s="501">
        <v>18</v>
      </c>
      <c r="AJ104" s="38"/>
      <c r="AK104" s="38"/>
      <c r="AL104" s="38"/>
      <c r="AM104" s="38">
        <f t="shared" si="207"/>
        <v>18</v>
      </c>
      <c r="AN104" s="38"/>
      <c r="AO104" s="38"/>
      <c r="AP104" s="38"/>
      <c r="AQ104" s="38"/>
      <c r="AR104" s="38">
        <f t="shared" si="208"/>
        <v>0</v>
      </c>
      <c r="AS104" s="38"/>
      <c r="AT104" s="38"/>
      <c r="AU104" s="38"/>
      <c r="AV104" s="38"/>
      <c r="AW104" s="38"/>
      <c r="AX104" s="38"/>
      <c r="AY104" s="38"/>
      <c r="AZ104" s="38"/>
      <c r="BA104" s="38">
        <f t="shared" si="209"/>
        <v>0</v>
      </c>
      <c r="BB104" s="51"/>
      <c r="BC104" s="52"/>
      <c r="BD104" s="52"/>
      <c r="BE104" s="51"/>
      <c r="BF104" s="52"/>
    </row>
    <row r="105" spans="1:58" ht="12.95" customHeight="1">
      <c r="A105" s="41"/>
      <c r="B105" s="42"/>
      <c r="C105" s="443"/>
      <c r="D105" s="42"/>
      <c r="E105" s="43"/>
      <c r="F105" s="43"/>
      <c r="G105" s="44"/>
      <c r="H105" s="44"/>
      <c r="I105" s="46"/>
      <c r="J105" s="83"/>
      <c r="K105" s="83"/>
      <c r="L105" s="36"/>
      <c r="M105" s="36"/>
      <c r="N105" s="47"/>
      <c r="O105" s="48"/>
      <c r="P105" s="49"/>
      <c r="Q105" s="48"/>
      <c r="R105" s="499"/>
      <c r="S105" s="499"/>
      <c r="T105" s="38"/>
      <c r="U105" s="38"/>
      <c r="V105" s="38"/>
      <c r="W105" s="38"/>
      <c r="X105" s="500"/>
      <c r="Y105" s="212"/>
      <c r="Z105" s="38"/>
      <c r="AA105" s="50"/>
      <c r="AB105" s="50"/>
      <c r="AC105" s="38"/>
      <c r="AD105" s="38"/>
      <c r="AE105" s="231"/>
      <c r="AF105" s="38"/>
      <c r="AG105" s="38"/>
      <c r="AH105" s="38"/>
      <c r="AI105" s="501"/>
      <c r="AJ105" s="38"/>
      <c r="AK105" s="38"/>
      <c r="AL105" s="38"/>
      <c r="AM105" s="38"/>
      <c r="AN105" s="38"/>
      <c r="AO105" s="38"/>
      <c r="AP105" s="38"/>
      <c r="AQ105" s="38"/>
      <c r="AR105" s="38"/>
      <c r="AS105" s="38"/>
      <c r="AT105" s="38"/>
      <c r="AU105" s="38"/>
      <c r="AV105" s="38"/>
      <c r="AW105" s="38"/>
      <c r="AX105" s="38"/>
      <c r="AY105" s="38"/>
      <c r="AZ105" s="38"/>
      <c r="BA105" s="38"/>
      <c r="BB105" s="34"/>
      <c r="BC105" s="52"/>
      <c r="BD105" s="52"/>
      <c r="BE105" s="52"/>
      <c r="BF105" s="52"/>
    </row>
    <row r="106" spans="1:58" ht="12" customHeight="1">
      <c r="A106" s="41">
        <v>45981</v>
      </c>
      <c r="B106" s="42" t="s">
        <v>431</v>
      </c>
      <c r="C106" s="443">
        <f t="shared" ref="C106:C108" si="210">(M106*E106*O106*Q106)/100000000</f>
        <v>1.0981105200000001</v>
      </c>
      <c r="D106" s="42" t="s">
        <v>434</v>
      </c>
      <c r="E106" s="43">
        <v>15.5</v>
      </c>
      <c r="F106" s="43">
        <v>1</v>
      </c>
      <c r="G106" s="498">
        <v>1155</v>
      </c>
      <c r="H106" s="45">
        <f t="shared" ref="H106:H108" si="211">+N106</f>
        <v>0.22000000000000008</v>
      </c>
      <c r="I106" s="46">
        <v>0.88</v>
      </c>
      <c r="J106" s="83">
        <f t="shared" ref="J106:J108" si="212">E106*G106*(1-H106)*1440/1000000*2.74</f>
        <v>55.096161119999998</v>
      </c>
      <c r="K106" s="83">
        <f>(IF(G106&lt;L106,L106,G106)*(1-IF(H106&lt;N106,H106,N106))*E106*O106*Q106)/100000000</f>
        <v>1.0981105200000001</v>
      </c>
      <c r="L106" s="36">
        <v>1160</v>
      </c>
      <c r="M106" s="36">
        <v>904.8</v>
      </c>
      <c r="N106" s="47">
        <f t="shared" ref="N106:N108" si="213">1-(M106/L106)</f>
        <v>0.22000000000000008</v>
      </c>
      <c r="O106" s="48">
        <f>+'Trim Rwd'!H64</f>
        <v>261</v>
      </c>
      <c r="P106" s="49">
        <f t="shared" ref="P106:P108" si="214">O106*(Q106-R106-S106)</f>
        <v>6525</v>
      </c>
      <c r="Q106" s="48">
        <v>30</v>
      </c>
      <c r="R106" s="499">
        <v>0</v>
      </c>
      <c r="S106" s="499">
        <v>5</v>
      </c>
      <c r="T106" s="38">
        <f t="shared" ref="T106:T108" si="215">E106*M106*O106*Q106/100000000</f>
        <v>1.0981105200000001</v>
      </c>
      <c r="U106" s="38">
        <f t="shared" ref="U106:U108" si="216">E106*M106*O106*(Q106-R106-S106)/100000000</f>
        <v>0.91509209999999996</v>
      </c>
      <c r="V106" s="38">
        <f t="shared" ref="V106:V108" si="217">E106*G106*(1-N106)*O106/100*(R106+S106)/1000000</f>
        <v>0.18222954749999998</v>
      </c>
      <c r="W106" s="38">
        <f>+'20'!K16/1000</f>
        <v>5.4269999999999996</v>
      </c>
      <c r="X106" s="500">
        <f>SUM(W106:W109)/SUM(K106:K109)</f>
        <v>0.96062044160805338</v>
      </c>
      <c r="Y106" s="212">
        <f>+SUM(RBP!AG97:AG98)</f>
        <v>0</v>
      </c>
      <c r="Z106" s="38">
        <v>0</v>
      </c>
      <c r="AA106" s="50">
        <f>SUM(U106:U109)-SUM(W106:W109)-SUM(Z106:Z109)-SUM(Y106:Y109)</f>
        <v>0.38642869520644041</v>
      </c>
      <c r="AB106" s="50">
        <f>(SUM(K106:K109)-SUM(W106:W109)-SUM(Y106:Y109)-SUM(Z106:Z109)-SUM(AC106:AC109)-SUM(V106:V109))-AA106</f>
        <v>7.0867221293559046E-2</v>
      </c>
      <c r="AC106" s="38">
        <f>K106-T106</f>
        <v>0</v>
      </c>
      <c r="AD106" s="38">
        <f>+AM106+BA106</f>
        <v>0</v>
      </c>
      <c r="AE106" s="231" t="s">
        <v>390</v>
      </c>
      <c r="AF106" s="38">
        <v>0</v>
      </c>
      <c r="AG106" s="38"/>
      <c r="AH106" s="38"/>
      <c r="AI106" s="501"/>
      <c r="AJ106" s="38"/>
      <c r="AK106" s="38"/>
      <c r="AL106" s="38"/>
      <c r="AM106" s="38">
        <f>SUM(AF106:AL106)+AT106</f>
        <v>0</v>
      </c>
      <c r="AN106" s="38"/>
      <c r="AO106" s="38"/>
      <c r="AP106" s="38"/>
      <c r="AQ106" s="38"/>
      <c r="AR106" s="38">
        <f>SUM(AN106:AQ106)</f>
        <v>0</v>
      </c>
      <c r="AS106" s="38"/>
      <c r="AT106" s="38"/>
      <c r="AU106" s="38"/>
      <c r="AV106" s="38"/>
      <c r="AW106" s="38"/>
      <c r="AX106" s="38"/>
      <c r="AY106" s="38"/>
      <c r="AZ106" s="38"/>
      <c r="BA106" s="38">
        <f>+AR106+AS106+AU106+AV106+AX106</f>
        <v>0</v>
      </c>
      <c r="BB106" s="34">
        <v>0</v>
      </c>
      <c r="BC106" s="52"/>
      <c r="BD106" s="52"/>
      <c r="BE106" s="34"/>
      <c r="BF106" s="52">
        <v>1</v>
      </c>
    </row>
    <row r="107" spans="1:58" ht="12.95" customHeight="1">
      <c r="A107" s="41"/>
      <c r="B107" s="42" t="s">
        <v>431</v>
      </c>
      <c r="C107" s="443">
        <f t="shared" si="210"/>
        <v>16.080013728000001</v>
      </c>
      <c r="D107" s="42" t="s">
        <v>434</v>
      </c>
      <c r="E107" s="43">
        <v>16</v>
      </c>
      <c r="F107" s="43">
        <v>1</v>
      </c>
      <c r="G107" s="498">
        <v>1080</v>
      </c>
      <c r="H107" s="45">
        <f t="shared" si="211"/>
        <v>0.18999999999999995</v>
      </c>
      <c r="I107" s="46">
        <v>0.88</v>
      </c>
      <c r="J107" s="83">
        <f t="shared" si="212"/>
        <v>55.225774080000001</v>
      </c>
      <c r="K107" s="83">
        <f>(IF(G107&lt;L107,L107,G107)*(1-IF(H107&lt;N107,H107,N107))*E107*O107*Q107)/100000000</f>
        <v>16.080013728000001</v>
      </c>
      <c r="L107" s="36">
        <v>1160</v>
      </c>
      <c r="M107" s="36">
        <v>939.6</v>
      </c>
      <c r="N107" s="47">
        <f t="shared" si="213"/>
        <v>0.18999999999999995</v>
      </c>
      <c r="O107" s="48">
        <f>+'Trim Rwd'!H65</f>
        <v>256.5</v>
      </c>
      <c r="P107" s="49">
        <f t="shared" si="214"/>
        <v>102600</v>
      </c>
      <c r="Q107" s="48">
        <v>417</v>
      </c>
      <c r="R107" s="499">
        <v>0</v>
      </c>
      <c r="S107" s="499">
        <f>47-S106-S108</f>
        <v>17</v>
      </c>
      <c r="T107" s="38">
        <f t="shared" si="215"/>
        <v>16.080013728000001</v>
      </c>
      <c r="U107" s="38">
        <f t="shared" si="216"/>
        <v>15.424473600000001</v>
      </c>
      <c r="V107" s="38">
        <f t="shared" si="217"/>
        <v>0.61033046400000002</v>
      </c>
      <c r="W107" s="38">
        <f>+'20'!K17/1000</f>
        <v>14.609</v>
      </c>
      <c r="X107" s="39"/>
      <c r="Y107" s="212"/>
      <c r="Z107" s="38"/>
      <c r="AA107" s="38"/>
      <c r="AB107" s="38"/>
      <c r="AC107" s="38">
        <f>K107-T107</f>
        <v>0</v>
      </c>
      <c r="AD107" s="38">
        <f t="shared" ref="AD107:AD109" si="218">+AM107+BA107</f>
        <v>12</v>
      </c>
      <c r="AE107" s="231" t="s">
        <v>570</v>
      </c>
      <c r="AF107" s="38"/>
      <c r="AG107" s="38">
        <v>12</v>
      </c>
      <c r="AH107" s="38"/>
      <c r="AI107" s="501"/>
      <c r="AJ107" s="38"/>
      <c r="AK107" s="38"/>
      <c r="AL107" s="38"/>
      <c r="AM107" s="38">
        <f t="shared" ref="AM107:AM109" si="219">SUM(AF107:AL107)+AT107</f>
        <v>12</v>
      </c>
      <c r="AN107" s="84"/>
      <c r="AO107" s="38"/>
      <c r="AP107" s="38"/>
      <c r="AQ107" s="38"/>
      <c r="AR107" s="38">
        <f t="shared" ref="AR107:AR109" si="220">SUM(AN107:AQ107)</f>
        <v>0</v>
      </c>
      <c r="AS107" s="38"/>
      <c r="AT107" s="38"/>
      <c r="AU107" s="38"/>
      <c r="AV107" s="38"/>
      <c r="AW107" s="38"/>
      <c r="AX107" s="38"/>
      <c r="AY107" s="38"/>
      <c r="AZ107" s="38"/>
      <c r="BA107" s="38">
        <f t="shared" ref="BA107:BA109" si="221">+AR107+AS107+AU107+AV107+AX107</f>
        <v>0</v>
      </c>
      <c r="BB107" s="51"/>
      <c r="BC107" s="52">
        <v>9</v>
      </c>
      <c r="BD107" s="52"/>
      <c r="BE107" s="51"/>
      <c r="BF107" s="52"/>
    </row>
    <row r="108" spans="1:58" ht="12.95" customHeight="1">
      <c r="A108" s="41"/>
      <c r="B108" s="42" t="s">
        <v>431</v>
      </c>
      <c r="C108" s="443">
        <f t="shared" si="210"/>
        <v>38.619147679999998</v>
      </c>
      <c r="D108" s="42" t="s">
        <v>434</v>
      </c>
      <c r="E108" s="43">
        <v>19</v>
      </c>
      <c r="F108" s="43">
        <v>1</v>
      </c>
      <c r="G108" s="498">
        <v>920</v>
      </c>
      <c r="H108" s="45">
        <f t="shared" si="211"/>
        <v>0.20000000000000007</v>
      </c>
      <c r="I108" s="46">
        <v>0.88</v>
      </c>
      <c r="J108" s="83">
        <f t="shared" si="212"/>
        <v>55.175270399999988</v>
      </c>
      <c r="K108" s="83">
        <f>(IF(G108&lt;L108,L108,G108)*(1-IF(H108&lt;N108,H108,N108))*E108*O108*Q108)/100000000</f>
        <v>38.619147679999998</v>
      </c>
      <c r="L108" s="36">
        <v>944.14904330312186</v>
      </c>
      <c r="M108" s="36">
        <v>755.31923464249746</v>
      </c>
      <c r="N108" s="47">
        <f t="shared" si="213"/>
        <v>0.20000000000000007</v>
      </c>
      <c r="O108" s="48">
        <f>+'Trim Rwd'!H66</f>
        <v>271</v>
      </c>
      <c r="P108" s="49">
        <f t="shared" si="214"/>
        <v>262328</v>
      </c>
      <c r="Q108" s="48">
        <v>993</v>
      </c>
      <c r="R108" s="499">
        <v>0</v>
      </c>
      <c r="S108" s="499">
        <v>25</v>
      </c>
      <c r="T108" s="38">
        <f t="shared" si="215"/>
        <v>38.619147679999998</v>
      </c>
      <c r="U108" s="38">
        <f t="shared" si="216"/>
        <v>37.64686299520644</v>
      </c>
      <c r="V108" s="38">
        <f t="shared" si="217"/>
        <v>0.94741599999999981</v>
      </c>
      <c r="W108" s="38">
        <f>+'20'!K18/1000</f>
        <v>33.564</v>
      </c>
      <c r="X108" s="39"/>
      <c r="Y108" s="212"/>
      <c r="Z108" s="38"/>
      <c r="AA108" s="38"/>
      <c r="AB108" s="38"/>
      <c r="AC108" s="38">
        <f>K108-T108</f>
        <v>0</v>
      </c>
      <c r="AD108" s="38">
        <f t="shared" si="218"/>
        <v>27</v>
      </c>
      <c r="AE108" s="231" t="s">
        <v>436</v>
      </c>
      <c r="AF108" s="34"/>
      <c r="AG108" s="34"/>
      <c r="AH108" s="34">
        <v>27</v>
      </c>
      <c r="AJ108" s="38"/>
      <c r="AK108" s="38"/>
      <c r="AL108" s="38"/>
      <c r="AM108" s="38">
        <f t="shared" si="219"/>
        <v>27</v>
      </c>
      <c r="AN108" s="38"/>
      <c r="AO108" s="38"/>
      <c r="AP108" s="38"/>
      <c r="AQ108" s="38"/>
      <c r="AR108" s="38">
        <f t="shared" si="220"/>
        <v>0</v>
      </c>
      <c r="AS108" s="38"/>
      <c r="AT108" s="38"/>
      <c r="AU108" s="38"/>
      <c r="AV108" s="38"/>
      <c r="AW108" s="38"/>
      <c r="AX108" s="38"/>
      <c r="AY108" s="38"/>
      <c r="AZ108" s="38"/>
      <c r="BA108" s="38">
        <f t="shared" si="221"/>
        <v>0</v>
      </c>
      <c r="BB108" s="34"/>
      <c r="BC108" s="502"/>
      <c r="BD108" s="502"/>
      <c r="BE108" s="34"/>
      <c r="BF108" s="502"/>
    </row>
    <row r="109" spans="1:58" ht="12.95" customHeight="1">
      <c r="A109" s="41"/>
      <c r="B109" s="42"/>
      <c r="C109" s="443"/>
      <c r="D109" s="42"/>
      <c r="E109" s="43"/>
      <c r="F109" s="43"/>
      <c r="G109" s="44"/>
      <c r="H109" s="45"/>
      <c r="I109" s="46"/>
      <c r="J109" s="83"/>
      <c r="K109" s="83"/>
      <c r="L109" s="36"/>
      <c r="M109" s="36"/>
      <c r="N109" s="47"/>
      <c r="O109" s="48"/>
      <c r="P109" s="49"/>
      <c r="Q109" s="35"/>
      <c r="R109" s="499"/>
      <c r="S109" s="499"/>
      <c r="T109" s="38"/>
      <c r="U109" s="38"/>
      <c r="V109" s="38"/>
      <c r="W109" s="38"/>
      <c r="X109" s="39"/>
      <c r="Y109" s="212"/>
      <c r="Z109" s="38"/>
      <c r="AA109" s="38"/>
      <c r="AB109" s="38"/>
      <c r="AC109" s="38"/>
      <c r="AD109" s="38">
        <f t="shared" si="218"/>
        <v>8</v>
      </c>
      <c r="AE109" s="234" t="s">
        <v>228</v>
      </c>
      <c r="AF109" s="38"/>
      <c r="AG109" s="38"/>
      <c r="AH109" s="38"/>
      <c r="AI109" s="501">
        <v>8</v>
      </c>
      <c r="AJ109" s="38"/>
      <c r="AK109" s="38"/>
      <c r="AL109" s="38"/>
      <c r="AM109" s="38">
        <f t="shared" si="219"/>
        <v>8</v>
      </c>
      <c r="AN109" s="38"/>
      <c r="AO109" s="38"/>
      <c r="AP109" s="38"/>
      <c r="AQ109" s="38"/>
      <c r="AR109" s="38">
        <f t="shared" si="220"/>
        <v>0</v>
      </c>
      <c r="AS109" s="38"/>
      <c r="AT109" s="38"/>
      <c r="AU109" s="38"/>
      <c r="AV109" s="38"/>
      <c r="AW109" s="38"/>
      <c r="AX109" s="38"/>
      <c r="AY109" s="38"/>
      <c r="AZ109" s="38"/>
      <c r="BA109" s="38">
        <f t="shared" si="221"/>
        <v>0</v>
      </c>
      <c r="BB109" s="51"/>
      <c r="BC109" s="52"/>
      <c r="BD109" s="52"/>
      <c r="BE109" s="51"/>
      <c r="BF109" s="52"/>
    </row>
    <row r="110" spans="1:58" ht="12.95" customHeight="1">
      <c r="A110" s="41"/>
      <c r="B110" s="42"/>
      <c r="C110" s="443"/>
      <c r="D110" s="42"/>
      <c r="E110" s="43"/>
      <c r="F110" s="43"/>
      <c r="G110" s="44"/>
      <c r="H110" s="44"/>
      <c r="I110" s="46"/>
      <c r="J110" s="83"/>
      <c r="K110" s="83"/>
      <c r="L110" s="36"/>
      <c r="M110" s="36"/>
      <c r="N110" s="47"/>
      <c r="O110" s="48"/>
      <c r="P110" s="49"/>
      <c r="Q110" s="48"/>
      <c r="R110" s="499"/>
      <c r="S110" s="499"/>
      <c r="T110" s="38"/>
      <c r="U110" s="38"/>
      <c r="V110" s="38"/>
      <c r="W110" s="38"/>
      <c r="X110" s="39"/>
      <c r="Y110" s="212"/>
      <c r="Z110" s="38"/>
      <c r="AA110" s="38"/>
      <c r="AB110" s="38"/>
      <c r="AC110" s="38"/>
      <c r="AD110" s="38"/>
      <c r="AE110" s="231"/>
      <c r="AF110" s="38"/>
      <c r="AG110" s="38"/>
      <c r="AH110" s="38"/>
      <c r="AI110" s="501"/>
      <c r="AJ110" s="38"/>
      <c r="AK110" s="38"/>
      <c r="AL110" s="38"/>
      <c r="AM110" s="38"/>
      <c r="AN110" s="84"/>
      <c r="AO110" s="38"/>
      <c r="AP110" s="38"/>
      <c r="AQ110" s="38"/>
      <c r="AR110" s="38"/>
      <c r="AS110" s="38"/>
      <c r="AT110" s="38"/>
      <c r="AU110" s="38"/>
      <c r="AV110" s="38"/>
      <c r="AW110" s="38"/>
      <c r="AX110" s="38"/>
      <c r="AY110" s="38"/>
      <c r="AZ110" s="38"/>
      <c r="BA110" s="38"/>
      <c r="BB110" s="51"/>
      <c r="BC110" s="52"/>
      <c r="BD110" s="52"/>
      <c r="BE110" s="52"/>
      <c r="BF110" s="52"/>
    </row>
    <row r="111" spans="1:58" ht="12" customHeight="1">
      <c r="A111" s="41">
        <v>45982</v>
      </c>
      <c r="B111" s="42" t="s">
        <v>431</v>
      </c>
      <c r="C111" s="443">
        <f t="shared" ref="C111:C112" si="222">(M111*E111*O111*Q111)/100000000</f>
        <v>29.810650400000004</v>
      </c>
      <c r="D111" s="42" t="s">
        <v>434</v>
      </c>
      <c r="E111" s="43">
        <v>19</v>
      </c>
      <c r="F111" s="43">
        <v>1</v>
      </c>
      <c r="G111" s="498">
        <v>920</v>
      </c>
      <c r="H111" s="45">
        <f t="shared" ref="H111:H112" si="223">+N111</f>
        <v>0.19999999999999996</v>
      </c>
      <c r="I111" s="46">
        <v>0.88</v>
      </c>
      <c r="J111" s="83">
        <f t="shared" ref="J111:J112" si="224">E111*G111*(1-H111)*1440/1000000*2.74</f>
        <v>55.175270400000002</v>
      </c>
      <c r="K111" s="83">
        <f>(IF(G111&lt;L111,L111,G111)*(1-IF(H111&lt;N111,H111,N111))*E111*O111*Q111)/100000000</f>
        <v>29.938345600000002</v>
      </c>
      <c r="L111" s="36">
        <v>916.07594936708858</v>
      </c>
      <c r="M111" s="36">
        <v>732.86075949367091</v>
      </c>
      <c r="N111" s="47">
        <f t="shared" ref="N111:N112" si="225">1-(M111/L111)</f>
        <v>0.19999999999999996</v>
      </c>
      <c r="O111" s="48">
        <f>+'Trim Rwd'!H68</f>
        <v>271</v>
      </c>
      <c r="P111" s="49">
        <f t="shared" ref="P111:P112" si="226">O111*(Q111-R111-S111)</f>
        <v>208128</v>
      </c>
      <c r="Q111" s="48">
        <v>790</v>
      </c>
      <c r="R111" s="499">
        <v>0</v>
      </c>
      <c r="S111" s="499">
        <v>22</v>
      </c>
      <c r="T111" s="38">
        <f t="shared" ref="T111:T112" si="227">E111*M111*O111*Q111/100000000</f>
        <v>29.810650400000004</v>
      </c>
      <c r="U111" s="38">
        <f t="shared" ref="U111:U112" si="228">E111*M111*O111*(Q111-R111-S111)/100000000</f>
        <v>28.980480388860759</v>
      </c>
      <c r="V111" s="38">
        <f t="shared" ref="V111:V112" si="229">E111*G111*(1-N111)*O111/100*(R111+S111)/1000000</f>
        <v>0.83372607999999993</v>
      </c>
      <c r="W111" s="38">
        <f>+'21'!K18/1000</f>
        <v>33.189</v>
      </c>
      <c r="X111" s="500">
        <f>SUM(W111:W114)/SUM(K111:K114)</f>
        <v>0.97684577591390198</v>
      </c>
      <c r="Y111" s="212">
        <f>+SUM(RBP!AG102:AG103)</f>
        <v>0</v>
      </c>
      <c r="Z111" s="38">
        <v>0</v>
      </c>
      <c r="AA111" s="50">
        <f>SUM(U111:U114)-SUM(W111:W114)-SUM(Z111:Z114)-SUM(Y111:Y114)</f>
        <v>-0.93278201113923986</v>
      </c>
      <c r="AB111" s="50">
        <f>(SUM(K111:K114)-SUM(W111:W114)-SUM(Y111:Y114)-SUM(Z111:Z114)-SUM(AC111:AC114)-SUM(V111:V114))-AA111</f>
        <v>4.4386331139244062E-2</v>
      </c>
      <c r="AC111" s="38">
        <f>K111-T111</f>
        <v>0.12769519999999801</v>
      </c>
      <c r="AD111" s="38">
        <f>+AM111+BA111</f>
        <v>0</v>
      </c>
      <c r="AE111" s="231" t="s">
        <v>390</v>
      </c>
      <c r="AF111" s="38">
        <v>0</v>
      </c>
      <c r="AG111" s="38"/>
      <c r="AH111" s="38"/>
      <c r="AI111" s="501"/>
      <c r="AJ111" s="38"/>
      <c r="AK111" s="38"/>
      <c r="AL111" s="38"/>
      <c r="AM111" s="38">
        <f>SUM(AF111:AL111)+AT111</f>
        <v>0</v>
      </c>
      <c r="AN111" s="38"/>
      <c r="AO111" s="38"/>
      <c r="AP111" s="38"/>
      <c r="AQ111" s="38"/>
      <c r="AR111" s="38">
        <f>SUM(AN111:AQ111)</f>
        <v>0</v>
      </c>
      <c r="AS111" s="38"/>
      <c r="AT111" s="38"/>
      <c r="AU111" s="38"/>
      <c r="AV111" s="38"/>
      <c r="AW111" s="38"/>
      <c r="AX111" s="38"/>
      <c r="AY111" s="38"/>
      <c r="AZ111" s="38"/>
      <c r="BA111" s="38">
        <f>+AR111+AS111+AU111+AV111+AX111</f>
        <v>0</v>
      </c>
      <c r="BB111" s="34">
        <v>0</v>
      </c>
      <c r="BC111" s="52"/>
      <c r="BD111" s="52"/>
      <c r="BE111" s="34"/>
      <c r="BF111" s="52">
        <v>1</v>
      </c>
    </row>
    <row r="112" spans="1:58" ht="12.95" customHeight="1">
      <c r="A112" s="41"/>
      <c r="B112" s="42" t="s">
        <v>431</v>
      </c>
      <c r="C112" s="443">
        <f t="shared" si="222"/>
        <v>25.07648</v>
      </c>
      <c r="D112" s="42" t="s">
        <v>434</v>
      </c>
      <c r="E112" s="43">
        <v>20</v>
      </c>
      <c r="F112" s="43">
        <v>1</v>
      </c>
      <c r="G112" s="498">
        <v>875</v>
      </c>
      <c r="H112" s="45">
        <f t="shared" si="223"/>
        <v>0.19999999999999996</v>
      </c>
      <c r="I112" s="46">
        <v>0.88</v>
      </c>
      <c r="J112" s="83">
        <f t="shared" si="224"/>
        <v>55.238400000000006</v>
      </c>
      <c r="K112" s="83">
        <f>(IF(G112&lt;L112,L112,G112)*(1-IF(H112&lt;N112,H112,N112))*E112*O112*Q112)/100000000</f>
        <v>25.07648</v>
      </c>
      <c r="L112" s="36">
        <v>927.38461538461536</v>
      </c>
      <c r="M112" s="36">
        <v>741.90769230769229</v>
      </c>
      <c r="N112" s="47">
        <f t="shared" si="225"/>
        <v>0.19999999999999996</v>
      </c>
      <c r="O112" s="48">
        <f>+'Trim Rwd'!H69</f>
        <v>260</v>
      </c>
      <c r="P112" s="49">
        <f t="shared" si="226"/>
        <v>163280</v>
      </c>
      <c r="Q112" s="48">
        <v>650</v>
      </c>
      <c r="R112" s="499">
        <v>0</v>
      </c>
      <c r="S112" s="499">
        <v>22</v>
      </c>
      <c r="T112" s="38">
        <f t="shared" si="227"/>
        <v>25.07648</v>
      </c>
      <c r="U112" s="38">
        <f t="shared" si="228"/>
        <v>24.227737600000001</v>
      </c>
      <c r="V112" s="38">
        <f t="shared" si="229"/>
        <v>0.80079999999999996</v>
      </c>
      <c r="W112" s="38">
        <f>+'21'!K19/1000</f>
        <v>20.552</v>
      </c>
      <c r="X112" s="39"/>
      <c r="Y112" s="212"/>
      <c r="Z112" s="38">
        <f>+'21'!D17/1000</f>
        <v>0.4</v>
      </c>
      <c r="AA112" s="38"/>
      <c r="AB112" s="38"/>
      <c r="AC112" s="38">
        <f>K112-T112</f>
        <v>0</v>
      </c>
      <c r="AD112" s="38">
        <f t="shared" ref="AD112:AD114" si="230">+AM112+BA112</f>
        <v>8</v>
      </c>
      <c r="AE112" s="231" t="s">
        <v>525</v>
      </c>
      <c r="AF112" s="38"/>
      <c r="AG112" s="38">
        <v>8</v>
      </c>
      <c r="AH112" s="38"/>
      <c r="AI112" s="501"/>
      <c r="AJ112" s="38"/>
      <c r="AK112" s="38"/>
      <c r="AL112" s="38"/>
      <c r="AM112" s="38">
        <f t="shared" ref="AM112:AM114" si="231">SUM(AF112:AL112)+AT112</f>
        <v>8</v>
      </c>
      <c r="AN112" s="84"/>
      <c r="AO112" s="38"/>
      <c r="AP112" s="38"/>
      <c r="AQ112" s="38"/>
      <c r="AR112" s="38">
        <f t="shared" ref="AR112:AR114" si="232">SUM(AN112:AQ112)</f>
        <v>0</v>
      </c>
      <c r="AS112" s="38"/>
      <c r="AT112" s="38"/>
      <c r="AU112" s="38"/>
      <c r="AV112" s="38"/>
      <c r="AW112" s="38"/>
      <c r="AX112" s="38"/>
      <c r="AY112" s="38"/>
      <c r="AZ112" s="38"/>
      <c r="BA112" s="38">
        <f t="shared" ref="BA112:BA114" si="233">+AR112+AS112+AU112+AV112+AX112</f>
        <v>0</v>
      </c>
      <c r="BB112" s="51"/>
      <c r="BC112" s="52">
        <v>7</v>
      </c>
      <c r="BD112" s="52"/>
      <c r="BE112" s="51"/>
      <c r="BF112" s="52"/>
    </row>
    <row r="113" spans="1:58" ht="12.95" customHeight="1">
      <c r="A113" s="41"/>
      <c r="B113" s="42"/>
      <c r="C113" s="443"/>
      <c r="D113" s="42"/>
      <c r="E113" s="43"/>
      <c r="F113" s="43"/>
      <c r="G113" s="44"/>
      <c r="H113" s="45"/>
      <c r="I113" s="46"/>
      <c r="J113" s="83"/>
      <c r="K113" s="83"/>
      <c r="L113" s="36"/>
      <c r="M113" s="36"/>
      <c r="N113" s="47"/>
      <c r="O113" s="48"/>
      <c r="P113" s="49"/>
      <c r="Q113" s="48"/>
      <c r="R113" s="499"/>
      <c r="S113" s="499"/>
      <c r="T113" s="38"/>
      <c r="U113" s="38"/>
      <c r="V113" s="38"/>
      <c r="W113" s="38"/>
      <c r="X113" s="39"/>
      <c r="Y113" s="212"/>
      <c r="Z113" s="38"/>
      <c r="AA113" s="38"/>
      <c r="AB113" s="38"/>
      <c r="AC113" s="38"/>
      <c r="AD113" s="38">
        <f t="shared" si="230"/>
        <v>18</v>
      </c>
      <c r="AE113" s="231" t="s">
        <v>661</v>
      </c>
      <c r="AF113" s="34"/>
      <c r="AG113" s="34"/>
      <c r="AH113" s="34">
        <v>18</v>
      </c>
      <c r="AJ113" s="38"/>
      <c r="AK113" s="38"/>
      <c r="AL113" s="38"/>
      <c r="AM113" s="38">
        <f t="shared" si="231"/>
        <v>18</v>
      </c>
      <c r="AN113" s="38"/>
      <c r="AO113" s="38"/>
      <c r="AP113" s="38"/>
      <c r="AQ113" s="38"/>
      <c r="AR113" s="38">
        <f t="shared" si="232"/>
        <v>0</v>
      </c>
      <c r="AS113" s="38"/>
      <c r="AT113" s="38"/>
      <c r="AU113" s="38"/>
      <c r="AV113" s="38"/>
      <c r="AW113" s="38"/>
      <c r="AX113" s="38"/>
      <c r="AY113" s="38"/>
      <c r="AZ113" s="38"/>
      <c r="BA113" s="38">
        <f t="shared" si="233"/>
        <v>0</v>
      </c>
      <c r="BB113" s="34"/>
      <c r="BC113" s="502"/>
      <c r="BD113" s="502"/>
      <c r="BE113" s="34"/>
      <c r="BF113" s="502"/>
    </row>
    <row r="114" spans="1:58" ht="12.95" customHeight="1">
      <c r="A114" s="41"/>
      <c r="B114" s="42"/>
      <c r="C114" s="443"/>
      <c r="D114" s="42"/>
      <c r="E114" s="43"/>
      <c r="F114" s="43"/>
      <c r="G114" s="44"/>
      <c r="H114" s="45"/>
      <c r="I114" s="46"/>
      <c r="J114" s="83"/>
      <c r="K114" s="83"/>
      <c r="L114" s="36"/>
      <c r="M114" s="36"/>
      <c r="N114" s="47"/>
      <c r="O114" s="48"/>
      <c r="P114" s="49"/>
      <c r="Q114" s="35"/>
      <c r="R114" s="499"/>
      <c r="S114" s="499"/>
      <c r="T114" s="38"/>
      <c r="U114" s="38"/>
      <c r="V114" s="38"/>
      <c r="W114" s="38"/>
      <c r="X114" s="39"/>
      <c r="Y114" s="212"/>
      <c r="Z114" s="38"/>
      <c r="AA114" s="38"/>
      <c r="AB114" s="38"/>
      <c r="AC114" s="38"/>
      <c r="AD114" s="38">
        <f t="shared" si="230"/>
        <v>18</v>
      </c>
      <c r="AE114" s="234" t="s">
        <v>228</v>
      </c>
      <c r="AF114" s="38"/>
      <c r="AG114" s="38"/>
      <c r="AH114" s="38"/>
      <c r="AI114" s="501">
        <v>18</v>
      </c>
      <c r="AJ114" s="38"/>
      <c r="AK114" s="38"/>
      <c r="AL114" s="38"/>
      <c r="AM114" s="38">
        <f t="shared" si="231"/>
        <v>18</v>
      </c>
      <c r="AN114" s="38"/>
      <c r="AO114" s="38"/>
      <c r="AP114" s="38"/>
      <c r="AQ114" s="38"/>
      <c r="AR114" s="38">
        <f t="shared" si="232"/>
        <v>0</v>
      </c>
      <c r="AS114" s="38"/>
      <c r="AT114" s="38"/>
      <c r="AU114" s="38"/>
      <c r="AV114" s="38"/>
      <c r="AW114" s="38"/>
      <c r="AX114" s="38"/>
      <c r="AY114" s="38"/>
      <c r="AZ114" s="38"/>
      <c r="BA114" s="38">
        <f t="shared" si="233"/>
        <v>0</v>
      </c>
      <c r="BB114" s="51"/>
      <c r="BC114" s="52"/>
      <c r="BD114" s="52"/>
      <c r="BE114" s="51"/>
      <c r="BF114" s="52"/>
    </row>
    <row r="115" spans="1:58" ht="12.95" customHeight="1">
      <c r="A115" s="41"/>
      <c r="B115" s="42"/>
      <c r="C115" s="443"/>
      <c r="D115" s="42"/>
      <c r="E115" s="43"/>
      <c r="F115" s="43"/>
      <c r="G115" s="44"/>
      <c r="H115" s="44"/>
      <c r="I115" s="46"/>
      <c r="J115" s="83"/>
      <c r="K115" s="83"/>
      <c r="L115" s="36"/>
      <c r="M115" s="36"/>
      <c r="N115" s="47"/>
      <c r="O115" s="48"/>
      <c r="P115" s="49"/>
      <c r="Q115" s="48"/>
      <c r="R115" s="499"/>
      <c r="S115" s="499"/>
      <c r="T115" s="38"/>
      <c r="U115" s="38"/>
      <c r="V115" s="38"/>
      <c r="W115" s="38"/>
      <c r="X115" s="39"/>
      <c r="Y115" s="212"/>
      <c r="Z115" s="38"/>
      <c r="AA115" s="38"/>
      <c r="AB115" s="38"/>
      <c r="AC115" s="38"/>
      <c r="AD115" s="38"/>
      <c r="AE115" s="231"/>
      <c r="AF115" s="38"/>
      <c r="AG115" s="38"/>
      <c r="AH115" s="38"/>
      <c r="AI115" s="501"/>
      <c r="AJ115" s="38"/>
      <c r="AK115" s="38"/>
      <c r="AL115" s="38"/>
      <c r="AM115" s="38"/>
      <c r="AN115" s="84"/>
      <c r="AO115" s="38"/>
      <c r="AP115" s="38"/>
      <c r="AQ115" s="38"/>
      <c r="AR115" s="38"/>
      <c r="AS115" s="38"/>
      <c r="AT115" s="38"/>
      <c r="AU115" s="38"/>
      <c r="AV115" s="38"/>
      <c r="AW115" s="38"/>
      <c r="AX115" s="38"/>
      <c r="AY115" s="38"/>
      <c r="AZ115" s="38"/>
      <c r="BA115" s="38"/>
      <c r="BB115" s="51"/>
      <c r="BC115" s="52"/>
      <c r="BD115" s="52"/>
      <c r="BE115" s="52"/>
      <c r="BF115" s="52"/>
    </row>
    <row r="116" spans="1:58" ht="12" customHeight="1">
      <c r="A116" s="41">
        <v>45983</v>
      </c>
      <c r="B116" s="42" t="s">
        <v>431</v>
      </c>
      <c r="C116" s="443">
        <f t="shared" ref="C116:C117" si="234">(M116*E116*O116*Q116)/100000000</f>
        <v>8.3050239999999995</v>
      </c>
      <c r="D116" s="42" t="s">
        <v>434</v>
      </c>
      <c r="E116" s="43">
        <v>20</v>
      </c>
      <c r="F116" s="43">
        <v>1</v>
      </c>
      <c r="G116" s="498">
        <v>875</v>
      </c>
      <c r="H116" s="45">
        <f t="shared" ref="H116:H117" si="235">+N116</f>
        <v>0.19999999999999996</v>
      </c>
      <c r="I116" s="46">
        <v>0.88</v>
      </c>
      <c r="J116" s="83">
        <f t="shared" ref="J116:J117" si="236">E116*G116*(1-H116)*1440/1000000*2.74</f>
        <v>55.238400000000006</v>
      </c>
      <c r="K116" s="83">
        <f>(IF(G116&lt;L116,L116,G116)*(1-IF(H116&lt;N116,H116,N116))*E116*O116*Q116)/100000000</f>
        <v>8.3050239999999995</v>
      </c>
      <c r="L116" s="36">
        <v>920</v>
      </c>
      <c r="M116" s="36">
        <v>736</v>
      </c>
      <c r="N116" s="47">
        <f t="shared" ref="N116:N117" si="237">1-(M116/L116)</f>
        <v>0.19999999999999996</v>
      </c>
      <c r="O116" s="48">
        <f>+'Trim Rwd'!H71</f>
        <v>260</v>
      </c>
      <c r="P116" s="49">
        <f t="shared" ref="P116:P117" si="238">O116*(Q116-R116-S116)</f>
        <v>50960</v>
      </c>
      <c r="Q116" s="48">
        <v>217</v>
      </c>
      <c r="R116" s="499">
        <v>0</v>
      </c>
      <c r="S116" s="499">
        <v>21</v>
      </c>
      <c r="T116" s="38">
        <f t="shared" ref="T116:T117" si="239">E116*M116*O116*Q116/100000000</f>
        <v>8.3050239999999995</v>
      </c>
      <c r="U116" s="38">
        <f t="shared" ref="U116:U117" si="240">E116*M116*O116*(Q116-R116-S116)/100000000</f>
        <v>7.5013120000000004</v>
      </c>
      <c r="V116" s="38">
        <f t="shared" ref="V116:V117" si="241">E116*G116*(1-N116)*O116/100*(R116+S116)/1000000</f>
        <v>0.76439999999999997</v>
      </c>
      <c r="W116" s="38">
        <f>+'22'!K19/1000</f>
        <v>12.606</v>
      </c>
      <c r="X116" s="500">
        <f>SUM(W116:W119)/SUM(K116:K119)</f>
        <v>0.93131034253043377</v>
      </c>
      <c r="Y116" s="212">
        <v>0</v>
      </c>
      <c r="Z116" s="38">
        <f>+'22'!D7/1000</f>
        <v>0.44500000000000001</v>
      </c>
      <c r="AA116" s="50">
        <f>SUM(U116:U119)-SUM(W116:W119)-SUM(Z116:Z119)-SUM(Y116:Y119)</f>
        <v>8.6063343754546218E-2</v>
      </c>
      <c r="AB116" s="50">
        <f>(SUM(K116:K119)-SUM(W116:W119)-SUM(Y116:Y119)-SUM(Z116:Z119)-SUM(AC116:AC119)-SUM(V116:V119))-AA116</f>
        <v>8.3528548658071133E-3</v>
      </c>
      <c r="AC116" s="38">
        <f>K116-T116</f>
        <v>0</v>
      </c>
      <c r="AD116" s="38">
        <f>+AM116+BA116</f>
        <v>0</v>
      </c>
      <c r="AE116" s="231" t="s">
        <v>390</v>
      </c>
      <c r="AF116" s="38">
        <v>0</v>
      </c>
      <c r="AG116" s="38"/>
      <c r="AH116" s="38"/>
      <c r="AI116" s="501"/>
      <c r="AJ116" s="38"/>
      <c r="AK116" s="38"/>
      <c r="AL116" s="38"/>
      <c r="AM116" s="38">
        <f>SUM(AF116:AL116)+AT116</f>
        <v>0</v>
      </c>
      <c r="AN116" s="38"/>
      <c r="AO116" s="38"/>
      <c r="AP116" s="38"/>
      <c r="AQ116" s="38"/>
      <c r="AR116" s="38">
        <f>SUM(AN116:AQ116)</f>
        <v>0</v>
      </c>
      <c r="AS116" s="38"/>
      <c r="AT116" s="38"/>
      <c r="AU116" s="38"/>
      <c r="AV116" s="38"/>
      <c r="AW116" s="38"/>
      <c r="AX116" s="38"/>
      <c r="AY116" s="38"/>
      <c r="AZ116" s="38"/>
      <c r="BA116" s="38">
        <f>+AR116+AS116+AU116+AV116+AX116</f>
        <v>0</v>
      </c>
      <c r="BB116" s="34">
        <v>0</v>
      </c>
      <c r="BC116" s="52"/>
      <c r="BD116" s="52"/>
      <c r="BE116" s="34"/>
      <c r="BF116" s="52"/>
    </row>
    <row r="117" spans="1:58" ht="12.95" customHeight="1">
      <c r="A117" s="41"/>
      <c r="B117" s="42" t="s">
        <v>431</v>
      </c>
      <c r="C117" s="443">
        <f t="shared" si="234"/>
        <v>45.739736173636359</v>
      </c>
      <c r="D117" s="42" t="s">
        <v>434</v>
      </c>
      <c r="E117" s="43">
        <v>15</v>
      </c>
      <c r="F117" s="43">
        <v>1</v>
      </c>
      <c r="G117" s="498">
        <v>1180</v>
      </c>
      <c r="H117" s="45">
        <f t="shared" si="235"/>
        <v>0.21196791806942594</v>
      </c>
      <c r="I117" s="46">
        <v>0.88</v>
      </c>
      <c r="J117" s="83">
        <f t="shared" si="236"/>
        <v>55.033891069635338</v>
      </c>
      <c r="K117" s="83">
        <f>(IF(G117&lt;L117,L117,G117)*(1-IF(H117&lt;N117,H117,N117))*E117*O117*Q117)/100000000</f>
        <v>46.686312036114515</v>
      </c>
      <c r="L117" s="36">
        <v>1156.0752248569092</v>
      </c>
      <c r="M117" s="36">
        <v>911.02436631234673</v>
      </c>
      <c r="N117" s="47">
        <f t="shared" si="237"/>
        <v>0.21196791806942594</v>
      </c>
      <c r="O117" s="48">
        <f>+'Trim Rwd'!H72</f>
        <v>273.68181818181819</v>
      </c>
      <c r="P117" s="49">
        <f t="shared" si="238"/>
        <v>323765.59090909094</v>
      </c>
      <c r="Q117" s="48">
        <v>1223</v>
      </c>
      <c r="R117" s="499">
        <v>0</v>
      </c>
      <c r="S117" s="499">
        <v>40</v>
      </c>
      <c r="T117" s="38">
        <f t="shared" si="239"/>
        <v>45.739736173636359</v>
      </c>
      <c r="U117" s="38">
        <f t="shared" si="240"/>
        <v>44.243751343754546</v>
      </c>
      <c r="V117" s="38">
        <f t="shared" si="241"/>
        <v>1.5269439750160103</v>
      </c>
      <c r="W117" s="38">
        <f>+'22'!K9/1000</f>
        <v>38.607999999999997</v>
      </c>
      <c r="X117" s="39"/>
      <c r="Y117" s="212"/>
      <c r="Z117" s="38">
        <f>+'21'!D22/1000</f>
        <v>0</v>
      </c>
      <c r="AA117" s="38"/>
      <c r="AB117" s="38"/>
      <c r="AC117" s="38">
        <f>K117-T117</f>
        <v>0.94657586247815573</v>
      </c>
      <c r="AD117" s="38">
        <f t="shared" ref="AD117:AD119" si="242">+AM117+BA117</f>
        <v>15</v>
      </c>
      <c r="AE117" s="231" t="s">
        <v>435</v>
      </c>
      <c r="AF117" s="38"/>
      <c r="AG117" s="38">
        <v>15</v>
      </c>
      <c r="AH117" s="38"/>
      <c r="AI117" s="501"/>
      <c r="AJ117" s="38"/>
      <c r="AK117" s="38"/>
      <c r="AL117" s="38"/>
      <c r="AM117" s="38">
        <f t="shared" ref="AM117:AM119" si="243">SUM(AF117:AL117)+AT117</f>
        <v>15</v>
      </c>
      <c r="AN117" s="84"/>
      <c r="AO117" s="38"/>
      <c r="AP117" s="38"/>
      <c r="AQ117" s="38"/>
      <c r="AR117" s="38">
        <f t="shared" ref="AR117:AR119" si="244">SUM(AN117:AQ117)</f>
        <v>0</v>
      </c>
      <c r="AS117" s="38"/>
      <c r="AT117" s="38"/>
      <c r="AU117" s="38"/>
      <c r="AV117" s="38"/>
      <c r="AW117" s="38"/>
      <c r="AX117" s="38"/>
      <c r="AY117" s="38"/>
      <c r="AZ117" s="38"/>
      <c r="BA117" s="38">
        <f t="shared" ref="BA117:BA119" si="245">+AR117+AS117+AU117+AV117+AX117</f>
        <v>0</v>
      </c>
      <c r="BB117" s="51"/>
      <c r="BC117" s="52">
        <v>11</v>
      </c>
      <c r="BD117" s="52"/>
      <c r="BE117" s="51"/>
      <c r="BF117" s="52"/>
    </row>
    <row r="118" spans="1:58" ht="12.95" customHeight="1">
      <c r="A118" s="41"/>
      <c r="B118" s="42"/>
      <c r="C118" s="443"/>
      <c r="D118" s="42"/>
      <c r="E118" s="43"/>
      <c r="F118" s="43"/>
      <c r="G118" s="44"/>
      <c r="H118" s="45"/>
      <c r="I118" s="46"/>
      <c r="J118" s="83"/>
      <c r="K118" s="83"/>
      <c r="L118" s="36"/>
      <c r="M118" s="36"/>
      <c r="N118" s="47"/>
      <c r="O118" s="48"/>
      <c r="P118" s="49"/>
      <c r="Q118" s="48"/>
      <c r="R118" s="499"/>
      <c r="S118" s="499"/>
      <c r="T118" s="38"/>
      <c r="U118" s="38"/>
      <c r="V118" s="38"/>
      <c r="W118" s="38"/>
      <c r="X118" s="39"/>
      <c r="Y118" s="212"/>
      <c r="Z118" s="38"/>
      <c r="AA118" s="38"/>
      <c r="AB118" s="38"/>
      <c r="AC118" s="38"/>
      <c r="AD118" s="38">
        <f t="shared" si="242"/>
        <v>28</v>
      </c>
      <c r="AE118" s="231" t="s">
        <v>436</v>
      </c>
      <c r="AF118" s="34"/>
      <c r="AG118" s="34"/>
      <c r="AH118" s="34">
        <v>28</v>
      </c>
      <c r="AJ118" s="38"/>
      <c r="AK118" s="38"/>
      <c r="AL118" s="38"/>
      <c r="AM118" s="38">
        <f t="shared" si="243"/>
        <v>28</v>
      </c>
      <c r="AN118" s="38"/>
      <c r="AO118" s="38"/>
      <c r="AP118" s="38"/>
      <c r="AQ118" s="38"/>
      <c r="AR118" s="38">
        <f t="shared" si="244"/>
        <v>0</v>
      </c>
      <c r="AS118" s="38"/>
      <c r="AT118" s="38"/>
      <c r="AU118" s="38"/>
      <c r="AV118" s="38"/>
      <c r="AW118" s="38"/>
      <c r="AX118" s="38"/>
      <c r="AY118" s="38"/>
      <c r="AZ118" s="38"/>
      <c r="BA118" s="38">
        <f t="shared" si="245"/>
        <v>0</v>
      </c>
      <c r="BB118" s="34"/>
      <c r="BC118" s="502"/>
      <c r="BD118" s="502"/>
      <c r="BE118" s="34"/>
      <c r="BF118" s="502"/>
    </row>
    <row r="119" spans="1:58" ht="12.95" customHeight="1">
      <c r="A119" s="41"/>
      <c r="B119" s="42"/>
      <c r="C119" s="443"/>
      <c r="D119" s="42"/>
      <c r="E119" s="43"/>
      <c r="F119" s="43"/>
      <c r="G119" s="44"/>
      <c r="H119" s="45"/>
      <c r="I119" s="46"/>
      <c r="J119" s="83"/>
      <c r="K119" s="83"/>
      <c r="L119" s="36"/>
      <c r="M119" s="36"/>
      <c r="N119" s="47"/>
      <c r="O119" s="48"/>
      <c r="P119" s="49"/>
      <c r="Q119" s="35"/>
      <c r="R119" s="499"/>
      <c r="S119" s="499"/>
      <c r="T119" s="38"/>
      <c r="U119" s="38"/>
      <c r="V119" s="38"/>
      <c r="W119" s="38"/>
      <c r="X119" s="39"/>
      <c r="Y119" s="212"/>
      <c r="Z119" s="38"/>
      <c r="AA119" s="38"/>
      <c r="AB119" s="38"/>
      <c r="AC119" s="38"/>
      <c r="AD119" s="38">
        <f t="shared" si="242"/>
        <v>18</v>
      </c>
      <c r="AE119" s="234" t="s">
        <v>228</v>
      </c>
      <c r="AF119" s="38"/>
      <c r="AG119" s="38"/>
      <c r="AH119" s="38"/>
      <c r="AI119" s="501">
        <v>18</v>
      </c>
      <c r="AJ119" s="38"/>
      <c r="AK119" s="38"/>
      <c r="AL119" s="38"/>
      <c r="AM119" s="38">
        <f t="shared" si="243"/>
        <v>18</v>
      </c>
      <c r="AN119" s="38"/>
      <c r="AO119" s="38"/>
      <c r="AP119" s="38"/>
      <c r="AQ119" s="38"/>
      <c r="AR119" s="38">
        <f t="shared" si="244"/>
        <v>0</v>
      </c>
      <c r="AS119" s="38"/>
      <c r="AT119" s="38"/>
      <c r="AU119" s="38"/>
      <c r="AV119" s="38"/>
      <c r="AW119" s="38"/>
      <c r="AX119" s="38"/>
      <c r="AY119" s="38"/>
      <c r="AZ119" s="38"/>
      <c r="BA119" s="38">
        <f t="shared" si="245"/>
        <v>0</v>
      </c>
      <c r="BB119" s="51"/>
      <c r="BC119" s="52"/>
      <c r="BD119" s="52"/>
      <c r="BE119" s="51"/>
      <c r="BF119" s="52"/>
    </row>
    <row r="120" spans="1:58" ht="12.95" customHeight="1">
      <c r="A120" s="41"/>
      <c r="B120" s="42"/>
      <c r="C120" s="443"/>
      <c r="D120" s="42"/>
      <c r="E120" s="43"/>
      <c r="F120" s="43"/>
      <c r="G120" s="44"/>
      <c r="H120" s="44"/>
      <c r="I120" s="46"/>
      <c r="J120" s="83"/>
      <c r="K120" s="83"/>
      <c r="L120" s="36"/>
      <c r="M120" s="36"/>
      <c r="N120" s="47"/>
      <c r="O120" s="48"/>
      <c r="P120" s="49"/>
      <c r="Q120" s="48"/>
      <c r="R120" s="499"/>
      <c r="S120" s="499"/>
      <c r="T120" s="38"/>
      <c r="U120" s="38"/>
      <c r="V120" s="38"/>
      <c r="W120" s="38"/>
      <c r="X120" s="500"/>
      <c r="Y120" s="212"/>
      <c r="Z120" s="38"/>
      <c r="AA120" s="50"/>
      <c r="AB120" s="50"/>
      <c r="AC120" s="38"/>
      <c r="AD120" s="38"/>
      <c r="AE120" s="231"/>
      <c r="AF120" s="38"/>
      <c r="AG120" s="38"/>
      <c r="AH120" s="38"/>
      <c r="AI120" s="501"/>
      <c r="AJ120" s="38"/>
      <c r="AK120" s="38"/>
      <c r="AL120" s="38"/>
      <c r="AM120" s="38"/>
      <c r="AN120" s="38"/>
      <c r="AO120" s="38"/>
      <c r="AP120" s="38"/>
      <c r="AQ120" s="38"/>
      <c r="AR120" s="38"/>
      <c r="AS120" s="38"/>
      <c r="AT120" s="38"/>
      <c r="AU120" s="38"/>
      <c r="AV120" s="38"/>
      <c r="AW120" s="38"/>
      <c r="AX120" s="38"/>
      <c r="AY120" s="38"/>
      <c r="AZ120" s="38"/>
      <c r="BA120" s="38"/>
      <c r="BB120" s="34"/>
      <c r="BC120" s="52"/>
      <c r="BD120" s="52"/>
      <c r="BE120" s="52"/>
      <c r="BF120" s="52"/>
    </row>
    <row r="121" spans="1:58" ht="12" customHeight="1">
      <c r="A121" s="41">
        <v>45984</v>
      </c>
      <c r="B121" s="42" t="s">
        <v>431</v>
      </c>
      <c r="C121" s="443">
        <f t="shared" ref="C121" si="246">(M121*E121*O121*Q121)/100000000</f>
        <v>52.35753181935484</v>
      </c>
      <c r="D121" s="42" t="s">
        <v>434</v>
      </c>
      <c r="E121" s="43">
        <v>15</v>
      </c>
      <c r="F121" s="43">
        <v>1</v>
      </c>
      <c r="G121" s="498">
        <v>1190</v>
      </c>
      <c r="H121" s="45">
        <f t="shared" ref="H121" si="247">+N121</f>
        <v>0.21682080924855485</v>
      </c>
      <c r="I121" s="46">
        <v>0.88</v>
      </c>
      <c r="J121" s="83">
        <f t="shared" ref="J121" si="248">E121*G121*(1-H121)*1440/1000000*2.74</f>
        <v>55.158495898265912</v>
      </c>
      <c r="K121" s="83">
        <f>(IF(G121&lt;L121,L121,G121)*(1-IF(H121&lt;N121,H121,N121))*E121*O121*Q121)/100000000</f>
        <v>54.022077628640687</v>
      </c>
      <c r="L121" s="36">
        <v>1153.3333333333333</v>
      </c>
      <c r="M121" s="36">
        <v>903.26666666666665</v>
      </c>
      <c r="N121" s="47">
        <f t="shared" ref="N121" si="249">1-(M121/L121)</f>
        <v>0.21682080924855485</v>
      </c>
      <c r="O121" s="48">
        <f>+'Trim Rwd'!H75</f>
        <v>268.35483870967744</v>
      </c>
      <c r="P121" s="49">
        <f t="shared" ref="P121" si="250">O121*(Q121-R121-S121)</f>
        <v>365767.64516129036</v>
      </c>
      <c r="Q121" s="48">
        <v>1440</v>
      </c>
      <c r="R121" s="499">
        <v>0</v>
      </c>
      <c r="S121" s="499">
        <v>77</v>
      </c>
      <c r="T121" s="38">
        <f t="shared" ref="T121" si="251">E121*M121*O121*Q121/100000000</f>
        <v>52.35753181935484</v>
      </c>
      <c r="U121" s="38">
        <f t="shared" ref="U121" si="252">E121*M121*O121*(Q121-R121-S121)/100000000</f>
        <v>49.557858242903229</v>
      </c>
      <c r="V121" s="38">
        <f t="shared" ref="V121" si="253">E121*G121*(1-N121)*O121/100*(R121+S121)/1000000</f>
        <v>2.8886805398648145</v>
      </c>
      <c r="W121" s="38">
        <f>+'23'!K9/1000</f>
        <v>48.63</v>
      </c>
      <c r="X121" s="500">
        <f>SUM(W121:W124)/SUM(K121:K124)</f>
        <v>0.90018751841225031</v>
      </c>
      <c r="Y121" s="212">
        <f>+SUM(RBP!AG112:AG113)</f>
        <v>0</v>
      </c>
      <c r="Z121" s="38">
        <v>0</v>
      </c>
      <c r="AA121" s="50">
        <f>SUM(U121:U124)-SUM(W121:W124)-SUM(Z121:Z124)-SUM(Y121:Y124)</f>
        <v>0.92785824290322694</v>
      </c>
      <c r="AB121" s="50">
        <f>(SUM(K121:K124)-SUM(W121:W124)-SUM(Y121:Y124)-SUM(Z121:Z124)-SUM(AC121:AC124)-SUM(V121:V124))-AA121</f>
        <v>-8.9006963413204243E-2</v>
      </c>
      <c r="AC121" s="38">
        <f>K121-T121</f>
        <v>1.6645458092858476</v>
      </c>
      <c r="AD121" s="38">
        <f>+AM121+BA121</f>
        <v>0</v>
      </c>
      <c r="AE121" s="231" t="s">
        <v>390</v>
      </c>
      <c r="AF121" s="38">
        <v>0</v>
      </c>
      <c r="AG121" s="38"/>
      <c r="AH121" s="38"/>
      <c r="AI121" s="501"/>
      <c r="AJ121" s="38"/>
      <c r="AK121" s="38"/>
      <c r="AL121" s="38"/>
      <c r="AM121" s="38">
        <f>SUM(AF121:AL121)+AT121</f>
        <v>0</v>
      </c>
      <c r="AN121" s="38"/>
      <c r="AO121" s="38"/>
      <c r="AP121" s="38"/>
      <c r="AQ121" s="38"/>
      <c r="AR121" s="38">
        <f>SUM(AN121:AQ121)</f>
        <v>0</v>
      </c>
      <c r="AS121" s="38"/>
      <c r="AT121" s="38"/>
      <c r="AU121" s="38"/>
      <c r="AV121" s="38"/>
      <c r="AW121" s="38"/>
      <c r="AX121" s="38"/>
      <c r="AY121" s="38"/>
      <c r="AZ121" s="38"/>
      <c r="BA121" s="38">
        <f>+AR121+AS121+AU121+AV121+AX121</f>
        <v>0</v>
      </c>
      <c r="BB121" s="34">
        <v>0</v>
      </c>
      <c r="BC121" s="52"/>
      <c r="BD121" s="52"/>
      <c r="BE121" s="34"/>
      <c r="BF121" s="52"/>
    </row>
    <row r="122" spans="1:58" ht="12.95" customHeight="1">
      <c r="A122" s="41"/>
      <c r="B122" s="42"/>
      <c r="C122" s="443"/>
      <c r="D122" s="42"/>
      <c r="E122" s="43"/>
      <c r="F122" s="43"/>
      <c r="G122" s="44"/>
      <c r="H122" s="45"/>
      <c r="I122" s="46"/>
      <c r="J122" s="83"/>
      <c r="K122" s="83"/>
      <c r="L122" s="36"/>
      <c r="M122" s="36"/>
      <c r="N122" s="47"/>
      <c r="O122" s="48"/>
      <c r="P122" s="49"/>
      <c r="Q122" s="48"/>
      <c r="R122" s="499"/>
      <c r="S122" s="499"/>
      <c r="T122" s="38"/>
      <c r="U122" s="38"/>
      <c r="V122" s="38"/>
      <c r="W122" s="38"/>
      <c r="X122" s="39"/>
      <c r="Y122" s="212"/>
      <c r="Z122" s="38">
        <f>+'21'!D27/1000</f>
        <v>0</v>
      </c>
      <c r="AA122" s="38"/>
      <c r="AB122" s="38"/>
      <c r="AC122" s="38">
        <f>K122-T122</f>
        <v>0</v>
      </c>
      <c r="AD122" s="38">
        <f t="shared" ref="AD122:AD125" si="254">+AM122+BA122</f>
        <v>12</v>
      </c>
      <c r="AE122" s="231" t="s">
        <v>438</v>
      </c>
      <c r="AF122" s="38"/>
      <c r="AG122" s="38">
        <v>12</v>
      </c>
      <c r="AH122" s="38"/>
      <c r="AI122" s="501"/>
      <c r="AJ122" s="38"/>
      <c r="AK122" s="38"/>
      <c r="AL122" s="38"/>
      <c r="AM122" s="38">
        <f t="shared" ref="AM122:AM124" si="255">SUM(AF122:AL122)+AT122</f>
        <v>12</v>
      </c>
      <c r="AN122" s="84"/>
      <c r="AO122" s="38"/>
      <c r="AP122" s="38"/>
      <c r="AQ122" s="38"/>
      <c r="AR122" s="38">
        <f t="shared" ref="AR122:AR124" si="256">SUM(AN122:AQ122)</f>
        <v>0</v>
      </c>
      <c r="AS122" s="38"/>
      <c r="AT122" s="38"/>
      <c r="AU122" s="38"/>
      <c r="AV122" s="38"/>
      <c r="AW122" s="38"/>
      <c r="AX122" s="38"/>
      <c r="AY122" s="38"/>
      <c r="AZ122" s="38"/>
      <c r="BA122" s="38">
        <f t="shared" ref="BA122:BA125" si="257">+AR122+AS122+AU122+AV122+AX122</f>
        <v>0</v>
      </c>
      <c r="BB122" s="51"/>
      <c r="BC122" s="52">
        <v>10</v>
      </c>
      <c r="BD122" s="52"/>
      <c r="BE122" s="51"/>
      <c r="BF122" s="52"/>
    </row>
    <row r="123" spans="1:58" ht="12.95" customHeight="1">
      <c r="A123" s="41"/>
      <c r="B123" s="42"/>
      <c r="C123" s="443"/>
      <c r="D123" s="42"/>
      <c r="E123" s="43"/>
      <c r="F123" s="43"/>
      <c r="G123" s="44"/>
      <c r="H123" s="45"/>
      <c r="I123" s="46"/>
      <c r="J123" s="83"/>
      <c r="K123" s="83"/>
      <c r="L123" s="36"/>
      <c r="M123" s="36"/>
      <c r="N123" s="47"/>
      <c r="O123" s="48"/>
      <c r="P123" s="49"/>
      <c r="Q123" s="48"/>
      <c r="R123" s="499"/>
      <c r="S123" s="499"/>
      <c r="T123" s="38"/>
      <c r="U123" s="38"/>
      <c r="V123" s="38"/>
      <c r="W123" s="38"/>
      <c r="X123" s="39"/>
      <c r="Y123" s="212"/>
      <c r="Z123" s="38"/>
      <c r="AA123" s="38"/>
      <c r="AB123" s="38"/>
      <c r="AC123" s="38"/>
      <c r="AD123" s="38">
        <f t="shared" si="254"/>
        <v>24</v>
      </c>
      <c r="AE123" s="231" t="s">
        <v>594</v>
      </c>
      <c r="AF123" s="34"/>
      <c r="AG123" s="34"/>
      <c r="AH123" s="34">
        <v>24</v>
      </c>
      <c r="AJ123" s="38"/>
      <c r="AK123" s="38"/>
      <c r="AL123" s="38"/>
      <c r="AM123" s="38">
        <f t="shared" si="255"/>
        <v>24</v>
      </c>
      <c r="AN123" s="38"/>
      <c r="AO123" s="38"/>
      <c r="AP123" s="38"/>
      <c r="AQ123" s="38"/>
      <c r="AR123" s="38">
        <f t="shared" si="256"/>
        <v>0</v>
      </c>
      <c r="AS123" s="38"/>
      <c r="AT123" s="38"/>
      <c r="AU123" s="38"/>
      <c r="AV123" s="38"/>
      <c r="AW123" s="38"/>
      <c r="AX123" s="38"/>
      <c r="AY123" s="38"/>
      <c r="AZ123" s="38"/>
      <c r="BA123" s="38">
        <f t="shared" si="257"/>
        <v>0</v>
      </c>
      <c r="BB123" s="34"/>
      <c r="BC123" s="502"/>
      <c r="BD123" s="502"/>
      <c r="BE123" s="34"/>
      <c r="BF123" s="502"/>
    </row>
    <row r="124" spans="1:58" ht="12.95" customHeight="1">
      <c r="A124" s="41"/>
      <c r="B124" s="42"/>
      <c r="C124" s="443"/>
      <c r="D124" s="42"/>
      <c r="E124" s="43"/>
      <c r="F124" s="43"/>
      <c r="G124" s="44"/>
      <c r="H124" s="45"/>
      <c r="I124" s="46"/>
      <c r="J124" s="83"/>
      <c r="K124" s="83"/>
      <c r="L124" s="36"/>
      <c r="M124" s="36"/>
      <c r="N124" s="47"/>
      <c r="O124" s="48"/>
      <c r="P124" s="49"/>
      <c r="Q124" s="35"/>
      <c r="R124" s="499"/>
      <c r="S124" s="499"/>
      <c r="T124" s="38"/>
      <c r="U124" s="38"/>
      <c r="V124" s="38"/>
      <c r="W124" s="38"/>
      <c r="X124" s="39"/>
      <c r="Y124" s="212"/>
      <c r="Z124" s="38"/>
      <c r="AA124" s="38"/>
      <c r="AB124" s="38"/>
      <c r="AC124" s="38"/>
      <c r="AD124" s="38">
        <f t="shared" si="254"/>
        <v>8</v>
      </c>
      <c r="AE124" s="234" t="s">
        <v>228</v>
      </c>
      <c r="AF124" s="38"/>
      <c r="AG124" s="38"/>
      <c r="AH124" s="38"/>
      <c r="AI124" s="501">
        <v>8</v>
      </c>
      <c r="AJ124" s="38"/>
      <c r="AK124" s="38"/>
      <c r="AL124" s="38"/>
      <c r="AM124" s="38">
        <f t="shared" si="255"/>
        <v>8</v>
      </c>
      <c r="AN124" s="38"/>
      <c r="AO124" s="38"/>
      <c r="AP124" s="38"/>
      <c r="AQ124" s="38"/>
      <c r="AR124" s="38">
        <f t="shared" si="256"/>
        <v>0</v>
      </c>
      <c r="AS124" s="38"/>
      <c r="AT124" s="38"/>
      <c r="AU124" s="38"/>
      <c r="AV124" s="38"/>
      <c r="AW124" s="38"/>
      <c r="AX124" s="38"/>
      <c r="AY124" s="38"/>
      <c r="AZ124" s="38"/>
      <c r="BA124" s="38">
        <f t="shared" si="257"/>
        <v>0</v>
      </c>
      <c r="BB124" s="51"/>
      <c r="BC124" s="52"/>
      <c r="BD124" s="52"/>
      <c r="BE124" s="51"/>
      <c r="BF124" s="52"/>
    </row>
    <row r="125" spans="1:58" ht="12.95" customHeight="1">
      <c r="A125" s="41"/>
      <c r="B125" s="42"/>
      <c r="C125" s="443"/>
      <c r="D125" s="42"/>
      <c r="E125" s="43"/>
      <c r="F125" s="43"/>
      <c r="G125" s="44"/>
      <c r="H125" s="45"/>
      <c r="I125" s="46"/>
      <c r="J125" s="83"/>
      <c r="K125" s="83"/>
      <c r="L125" s="36"/>
      <c r="M125" s="36"/>
      <c r="N125" s="47"/>
      <c r="O125" s="48"/>
      <c r="P125" s="49"/>
      <c r="Q125" s="35"/>
      <c r="R125" s="499"/>
      <c r="S125" s="499"/>
      <c r="T125" s="38"/>
      <c r="U125" s="38"/>
      <c r="V125" s="38"/>
      <c r="W125" s="38"/>
      <c r="X125" s="39"/>
      <c r="Y125" s="212"/>
      <c r="Z125" s="38"/>
      <c r="AA125" s="38"/>
      <c r="AB125" s="38"/>
      <c r="AC125" s="38"/>
      <c r="AD125" s="38">
        <f t="shared" si="254"/>
        <v>33</v>
      </c>
      <c r="AE125" s="234" t="s">
        <v>683</v>
      </c>
      <c r="AF125" s="38"/>
      <c r="AG125" s="38"/>
      <c r="AH125" s="38"/>
      <c r="AI125" s="501"/>
      <c r="AJ125" s="38"/>
      <c r="AK125" s="38">
        <v>33</v>
      </c>
      <c r="AL125" s="38"/>
      <c r="AM125" s="38">
        <f t="shared" ref="AM125" si="258">SUM(AF125:AL125)+AT125</f>
        <v>33</v>
      </c>
      <c r="AN125" s="38"/>
      <c r="AO125" s="38"/>
      <c r="AP125" s="38"/>
      <c r="AQ125" s="38"/>
      <c r="AR125" s="38">
        <f t="shared" ref="AR125" si="259">SUM(AN125:AQ125)</f>
        <v>0</v>
      </c>
      <c r="AS125" s="38"/>
      <c r="AT125" s="38"/>
      <c r="AU125" s="38"/>
      <c r="AV125" s="38"/>
      <c r="AW125" s="38"/>
      <c r="AX125" s="38"/>
      <c r="AY125" s="38"/>
      <c r="AZ125" s="38"/>
      <c r="BA125" s="38">
        <f t="shared" si="257"/>
        <v>0</v>
      </c>
      <c r="BB125" s="51"/>
      <c r="BC125" s="52"/>
      <c r="BD125" s="52"/>
      <c r="BE125" s="51"/>
      <c r="BF125" s="52"/>
    </row>
    <row r="126" spans="1:58" ht="12.95" customHeight="1">
      <c r="A126" s="41"/>
      <c r="B126" s="42"/>
      <c r="C126" s="443"/>
      <c r="D126" s="42"/>
      <c r="E126" s="43"/>
      <c r="F126" s="43"/>
      <c r="G126" s="498"/>
      <c r="H126" s="45"/>
      <c r="I126" s="46"/>
      <c r="J126" s="83"/>
      <c r="K126" s="83"/>
      <c r="L126" s="36"/>
      <c r="M126" s="36"/>
      <c r="N126" s="47"/>
      <c r="O126" s="48"/>
      <c r="P126" s="49"/>
      <c r="Q126" s="48"/>
      <c r="R126" s="499"/>
      <c r="S126" s="499"/>
      <c r="T126" s="38"/>
      <c r="U126" s="38"/>
      <c r="V126" s="38"/>
      <c r="W126" s="38"/>
      <c r="X126" s="500"/>
      <c r="Y126" s="212"/>
      <c r="Z126" s="38"/>
      <c r="AA126" s="50"/>
      <c r="AB126" s="50"/>
      <c r="AC126" s="38"/>
      <c r="AD126" s="38"/>
      <c r="AE126" s="231"/>
      <c r="AF126" s="38"/>
      <c r="AG126" s="38"/>
      <c r="AH126" s="38"/>
      <c r="AI126" s="501"/>
      <c r="AJ126" s="38"/>
      <c r="AK126" s="38"/>
      <c r="AL126" s="38"/>
      <c r="AM126" s="38"/>
      <c r="AN126" s="38"/>
      <c r="AO126" s="38"/>
      <c r="AP126" s="38"/>
      <c r="AQ126" s="38"/>
      <c r="AR126" s="38"/>
      <c r="AS126" s="38"/>
      <c r="AT126" s="38"/>
      <c r="AU126" s="38"/>
      <c r="AV126" s="38"/>
      <c r="AW126" s="38"/>
      <c r="AX126" s="38"/>
      <c r="AY126" s="38"/>
      <c r="AZ126" s="38"/>
      <c r="BA126" s="38"/>
      <c r="BB126" s="34"/>
      <c r="BC126" s="52"/>
      <c r="BD126" s="52"/>
      <c r="BE126" s="52"/>
      <c r="BF126" s="52"/>
    </row>
    <row r="127" spans="1:58" ht="12" customHeight="1">
      <c r="A127" s="41">
        <v>45985</v>
      </c>
      <c r="B127" s="42" t="s">
        <v>431</v>
      </c>
      <c r="C127" s="443">
        <f t="shared" ref="C127" si="260">(M127*E127*O127*Q127)/100000000</f>
        <v>52.863148799999998</v>
      </c>
      <c r="D127" s="42" t="s">
        <v>434</v>
      </c>
      <c r="E127" s="43">
        <v>15</v>
      </c>
      <c r="F127" s="43">
        <v>1</v>
      </c>
      <c r="G127" s="498">
        <v>1210</v>
      </c>
      <c r="H127" s="45">
        <f t="shared" ref="H127" si="261">+N127</f>
        <v>0.22999999999999998</v>
      </c>
      <c r="I127" s="46">
        <v>0.88</v>
      </c>
      <c r="J127" s="83">
        <f t="shared" ref="J127" si="262">E127*G127*(1-H127)*1440/1000000*2.74</f>
        <v>55.141732800000007</v>
      </c>
      <c r="K127" s="83">
        <f>(IF(G127&lt;L127,L127,G127)*(1-IF(H127&lt;N127,H127,N127))*E127*O127*Q127)/100000000</f>
        <v>55.1417328</v>
      </c>
      <c r="L127" s="36">
        <v>1160</v>
      </c>
      <c r="M127" s="36">
        <v>893.2</v>
      </c>
      <c r="N127" s="47">
        <f t="shared" ref="N127" si="263">1-(M127/L127)</f>
        <v>0.22999999999999998</v>
      </c>
      <c r="O127" s="48">
        <f>+'Trim Rwd'!H78</f>
        <v>274</v>
      </c>
      <c r="P127" s="49">
        <f t="shared" ref="P127" si="264">O127*(Q127-R127-S127)</f>
        <v>380586</v>
      </c>
      <c r="Q127" s="48">
        <v>1440</v>
      </c>
      <c r="R127" s="499">
        <v>0</v>
      </c>
      <c r="S127" s="499">
        <v>51</v>
      </c>
      <c r="T127" s="38">
        <f t="shared" ref="T127" si="265">E127*M127*O127*Q127/100000000</f>
        <v>52.863148799999998</v>
      </c>
      <c r="U127" s="38">
        <f t="shared" ref="U127" si="266">E127*M127*O127*(Q127-R127-S127)/100000000</f>
        <v>50.990912280000003</v>
      </c>
      <c r="V127" s="38">
        <f t="shared" ref="V127" si="267">E127*G127*(1-N127)*O127/100*(R127+S127)/1000000</f>
        <v>1.9529363700000002</v>
      </c>
      <c r="W127" s="38">
        <f>+'24'!K9/1000</f>
        <v>51.286999999999999</v>
      </c>
      <c r="X127" s="500">
        <f>SUM(W127:W130)/SUM(K127:K130)</f>
        <v>0.93009409381491182</v>
      </c>
      <c r="Y127" s="212">
        <f>+SUM(RBP!AG118:AG119)</f>
        <v>0</v>
      </c>
      <c r="Z127" s="38">
        <v>0</v>
      </c>
      <c r="AA127" s="50">
        <f>SUM(U127:U130)-SUM(W127:W130)-SUM(Z127:Z130)-SUM(Y127:Y130)</f>
        <v>-0.29608771999999561</v>
      </c>
      <c r="AB127" s="50">
        <f>(SUM(K127:K130)-SUM(W127:W130)-SUM(Y127:Y130)-SUM(Z127:Z130)-SUM(AC127:AC130)-SUM(V127:V130))-AA127</f>
        <v>-8.0699850000006013E-2</v>
      </c>
      <c r="AC127" s="38">
        <f>K127-T127</f>
        <v>2.2785840000000022</v>
      </c>
      <c r="AD127" s="38">
        <f>+AM127+BA127</f>
        <v>0</v>
      </c>
      <c r="AE127" s="231" t="s">
        <v>390</v>
      </c>
      <c r="AF127" s="38">
        <v>0</v>
      </c>
      <c r="AG127" s="38"/>
      <c r="AH127" s="38"/>
      <c r="AI127" s="501"/>
      <c r="AJ127" s="38"/>
      <c r="AK127" s="38"/>
      <c r="AL127" s="38"/>
      <c r="AM127" s="38">
        <f>SUM(AF127:AL127)+AT127</f>
        <v>0</v>
      </c>
      <c r="AN127" s="38"/>
      <c r="AO127" s="38"/>
      <c r="AP127" s="38"/>
      <c r="AQ127" s="38"/>
      <c r="AR127" s="38">
        <f>SUM(AN127:AQ127)</f>
        <v>0</v>
      </c>
      <c r="AS127" s="38"/>
      <c r="AT127" s="38"/>
      <c r="AU127" s="38"/>
      <c r="AV127" s="38"/>
      <c r="AW127" s="38"/>
      <c r="AX127" s="38"/>
      <c r="AY127" s="38"/>
      <c r="AZ127" s="38"/>
      <c r="BA127" s="38">
        <f>+AR127+AS127+AU127+AV127+AX127</f>
        <v>0</v>
      </c>
      <c r="BB127" s="34">
        <v>0</v>
      </c>
      <c r="BC127" s="52"/>
      <c r="BD127" s="52"/>
      <c r="BE127" s="34"/>
      <c r="BF127" s="52"/>
    </row>
    <row r="128" spans="1:58" ht="12.95" customHeight="1">
      <c r="A128" s="41"/>
      <c r="B128" s="42"/>
      <c r="C128" s="443"/>
      <c r="D128" s="42"/>
      <c r="E128" s="43"/>
      <c r="F128" s="43"/>
      <c r="G128" s="44"/>
      <c r="H128" s="45"/>
      <c r="I128" s="46"/>
      <c r="J128" s="83"/>
      <c r="K128" s="83"/>
      <c r="L128" s="36"/>
      <c r="M128" s="36"/>
      <c r="N128" s="47"/>
      <c r="O128" s="48"/>
      <c r="P128" s="49"/>
      <c r="Q128" s="48"/>
      <c r="R128" s="499"/>
      <c r="S128" s="499"/>
      <c r="T128" s="38"/>
      <c r="U128" s="38"/>
      <c r="V128" s="38"/>
      <c r="W128" s="38"/>
      <c r="X128" s="39"/>
      <c r="Y128" s="212"/>
      <c r="Z128" s="38">
        <f>+'21'!D33/1000</f>
        <v>0</v>
      </c>
      <c r="AA128" s="38"/>
      <c r="AB128" s="38"/>
      <c r="AC128" s="38">
        <f>K128-T128</f>
        <v>0</v>
      </c>
      <c r="AD128" s="38">
        <f t="shared" ref="AD128:AD130" si="268">+AM128+BA128</f>
        <v>14</v>
      </c>
      <c r="AE128" s="231" t="s">
        <v>435</v>
      </c>
      <c r="AF128" s="38"/>
      <c r="AG128" s="38">
        <v>14</v>
      </c>
      <c r="AH128" s="38"/>
      <c r="AI128" s="501"/>
      <c r="AJ128" s="38"/>
      <c r="AK128" s="38"/>
      <c r="AL128" s="38"/>
      <c r="AM128" s="38">
        <f t="shared" ref="AM128:AM130" si="269">SUM(AF128:AL128)+AT128</f>
        <v>14</v>
      </c>
      <c r="AN128" s="84"/>
      <c r="AO128" s="38"/>
      <c r="AP128" s="38"/>
      <c r="AQ128" s="38"/>
      <c r="AR128" s="38">
        <f t="shared" ref="AR128:AR130" si="270">SUM(AN128:AQ128)</f>
        <v>0</v>
      </c>
      <c r="AS128" s="38"/>
      <c r="AT128" s="38"/>
      <c r="AU128" s="38"/>
      <c r="AV128" s="38"/>
      <c r="AW128" s="38"/>
      <c r="AX128" s="38"/>
      <c r="AY128" s="38"/>
      <c r="AZ128" s="38"/>
      <c r="BA128" s="38">
        <f t="shared" ref="BA128:BA130" si="271">+AR128+AS128+AU128+AV128+AX128</f>
        <v>0</v>
      </c>
      <c r="BB128" s="51"/>
      <c r="BC128" s="52">
        <v>11</v>
      </c>
      <c r="BD128" s="52"/>
      <c r="BE128" s="51"/>
      <c r="BF128" s="52"/>
    </row>
    <row r="129" spans="1:58" ht="12.95" customHeight="1">
      <c r="A129" s="41"/>
      <c r="B129" s="42"/>
      <c r="C129" s="443"/>
      <c r="D129" s="42"/>
      <c r="E129" s="43"/>
      <c r="F129" s="43"/>
      <c r="G129" s="44"/>
      <c r="H129" s="45"/>
      <c r="I129" s="46"/>
      <c r="J129" s="83"/>
      <c r="K129" s="83"/>
      <c r="L129" s="36"/>
      <c r="M129" s="36"/>
      <c r="N129" s="47"/>
      <c r="O129" s="48"/>
      <c r="P129" s="49"/>
      <c r="Q129" s="48"/>
      <c r="R129" s="499"/>
      <c r="S129" s="499"/>
      <c r="T129" s="38"/>
      <c r="U129" s="38"/>
      <c r="V129" s="38"/>
      <c r="W129" s="38"/>
      <c r="X129" s="39"/>
      <c r="Y129" s="212"/>
      <c r="Z129" s="38"/>
      <c r="AA129" s="38"/>
      <c r="AB129" s="38"/>
      <c r="AC129" s="38"/>
      <c r="AD129" s="38">
        <f t="shared" si="268"/>
        <v>29</v>
      </c>
      <c r="AE129" s="231" t="s">
        <v>436</v>
      </c>
      <c r="AF129" s="34"/>
      <c r="AG129" s="34"/>
      <c r="AH129" s="34">
        <v>29</v>
      </c>
      <c r="AJ129" s="38"/>
      <c r="AK129" s="38"/>
      <c r="AL129" s="38"/>
      <c r="AM129" s="38">
        <f t="shared" si="269"/>
        <v>29</v>
      </c>
      <c r="AN129" s="38"/>
      <c r="AO129" s="38"/>
      <c r="AP129" s="38"/>
      <c r="AQ129" s="38"/>
      <c r="AR129" s="38">
        <f t="shared" si="270"/>
        <v>0</v>
      </c>
      <c r="AS129" s="38"/>
      <c r="AT129" s="38"/>
      <c r="AU129" s="38"/>
      <c r="AV129" s="38"/>
      <c r="AW129" s="38"/>
      <c r="AX129" s="38"/>
      <c r="AY129" s="38"/>
      <c r="AZ129" s="38"/>
      <c r="BA129" s="38">
        <f t="shared" si="271"/>
        <v>0</v>
      </c>
      <c r="BB129" s="34"/>
      <c r="BC129" s="502"/>
      <c r="BD129" s="502"/>
      <c r="BE129" s="34"/>
      <c r="BF129" s="502"/>
    </row>
    <row r="130" spans="1:58" ht="12.95" customHeight="1">
      <c r="A130" s="41"/>
      <c r="B130" s="42"/>
      <c r="C130" s="443"/>
      <c r="D130" s="42"/>
      <c r="E130" s="43"/>
      <c r="F130" s="43"/>
      <c r="G130" s="44"/>
      <c r="H130" s="45"/>
      <c r="I130" s="46"/>
      <c r="J130" s="83"/>
      <c r="K130" s="83"/>
      <c r="L130" s="36"/>
      <c r="M130" s="36"/>
      <c r="N130" s="47"/>
      <c r="O130" s="48"/>
      <c r="P130" s="49"/>
      <c r="Q130" s="35"/>
      <c r="R130" s="499"/>
      <c r="S130" s="499"/>
      <c r="T130" s="38"/>
      <c r="U130" s="38"/>
      <c r="V130" s="38"/>
      <c r="W130" s="38"/>
      <c r="X130" s="39"/>
      <c r="Y130" s="212"/>
      <c r="Z130" s="38"/>
      <c r="AA130" s="38"/>
      <c r="AB130" s="38"/>
      <c r="AC130" s="38"/>
      <c r="AD130" s="38">
        <f t="shared" si="268"/>
        <v>8</v>
      </c>
      <c r="AE130" s="234" t="s">
        <v>228</v>
      </c>
      <c r="AF130" s="38"/>
      <c r="AG130" s="38"/>
      <c r="AH130" s="38"/>
      <c r="AI130" s="501">
        <v>8</v>
      </c>
      <c r="AJ130" s="38"/>
      <c r="AK130" s="38"/>
      <c r="AL130" s="38"/>
      <c r="AM130" s="38">
        <f t="shared" si="269"/>
        <v>8</v>
      </c>
      <c r="AN130" s="38"/>
      <c r="AO130" s="38"/>
      <c r="AP130" s="38"/>
      <c r="AQ130" s="38"/>
      <c r="AR130" s="38">
        <f t="shared" si="270"/>
        <v>0</v>
      </c>
      <c r="AS130" s="38"/>
      <c r="AT130" s="38"/>
      <c r="AU130" s="38"/>
      <c r="AV130" s="38"/>
      <c r="AW130" s="38"/>
      <c r="AX130" s="38"/>
      <c r="AY130" s="38"/>
      <c r="AZ130" s="38"/>
      <c r="BA130" s="38">
        <f t="shared" si="271"/>
        <v>0</v>
      </c>
      <c r="BB130" s="51"/>
      <c r="BC130" s="52"/>
      <c r="BD130" s="52"/>
      <c r="BE130" s="51"/>
      <c r="BF130" s="52"/>
    </row>
    <row r="131" spans="1:58" ht="12.95" customHeight="1">
      <c r="A131" s="41"/>
      <c r="B131" s="42"/>
      <c r="C131" s="443"/>
      <c r="D131" s="42"/>
      <c r="E131" s="43"/>
      <c r="F131" s="43"/>
      <c r="G131" s="44"/>
      <c r="H131" s="45"/>
      <c r="I131" s="46"/>
      <c r="J131" s="83"/>
      <c r="K131" s="83"/>
      <c r="L131" s="36"/>
      <c r="M131" s="36"/>
      <c r="N131" s="47"/>
      <c r="O131" s="48"/>
      <c r="P131" s="49"/>
      <c r="Q131" s="35"/>
      <c r="R131" s="499"/>
      <c r="S131" s="499"/>
      <c r="T131" s="38"/>
      <c r="U131" s="38"/>
      <c r="V131" s="38"/>
      <c r="W131" s="38"/>
      <c r="X131" s="39"/>
      <c r="Y131" s="212"/>
      <c r="Z131" s="38"/>
      <c r="AA131" s="38"/>
      <c r="AB131" s="38"/>
      <c r="AC131" s="38"/>
      <c r="AD131" s="38"/>
      <c r="AE131" s="234"/>
      <c r="AF131" s="38"/>
      <c r="AG131" s="38"/>
      <c r="AH131" s="38"/>
      <c r="AI131" s="501"/>
      <c r="AJ131" s="38"/>
      <c r="AK131" s="38"/>
      <c r="AL131" s="38"/>
      <c r="AM131" s="38"/>
      <c r="AN131" s="38"/>
      <c r="AO131" s="38"/>
      <c r="AP131" s="38"/>
      <c r="AQ131" s="38"/>
      <c r="AR131" s="38"/>
      <c r="AS131" s="38"/>
      <c r="AT131" s="38"/>
      <c r="AU131" s="38"/>
      <c r="AV131" s="38"/>
      <c r="AW131" s="38"/>
      <c r="AX131" s="38"/>
      <c r="AY131" s="38"/>
      <c r="AZ131" s="38"/>
      <c r="BA131" s="38"/>
      <c r="BB131" s="51"/>
      <c r="BC131" s="52"/>
      <c r="BD131" s="52"/>
      <c r="BE131" s="51"/>
      <c r="BF131" s="52"/>
    </row>
    <row r="132" spans="1:58" ht="12" customHeight="1">
      <c r="A132" s="41">
        <v>45986</v>
      </c>
      <c r="B132" s="42" t="s">
        <v>431</v>
      </c>
      <c r="C132" s="443">
        <f t="shared" ref="C132:C133" si="272">(M132*E132*O132*Q132)/100000000</f>
        <v>6.3218376000000003</v>
      </c>
      <c r="D132" s="42" t="s">
        <v>434</v>
      </c>
      <c r="E132" s="43">
        <v>15</v>
      </c>
      <c r="F132" s="43">
        <v>1</v>
      </c>
      <c r="G132" s="498">
        <v>1195</v>
      </c>
      <c r="H132" s="45">
        <f t="shared" ref="H132:H133" si="273">+N132</f>
        <v>0.22000000000000008</v>
      </c>
      <c r="I132" s="46">
        <v>0.88</v>
      </c>
      <c r="J132" s="83">
        <f t="shared" ref="J132:J133" si="274">E132*G132*(1-H132)*1440/1000000*2.74</f>
        <v>55.165406399999995</v>
      </c>
      <c r="K132" s="83">
        <f>(IF(G132&lt;L132,L132,G132)*(1-IF(H132&lt;N132,H132,N132))*E132*O132*Q132)/100000000</f>
        <v>6.5125826999999985</v>
      </c>
      <c r="L132" s="36">
        <v>1160</v>
      </c>
      <c r="M132" s="36">
        <v>904.8</v>
      </c>
      <c r="N132" s="47">
        <f t="shared" ref="N132:N133" si="275">1-(M132/L132)</f>
        <v>0.22000000000000008</v>
      </c>
      <c r="O132" s="48">
        <f>+'Trim Rwd'!H80</f>
        <v>274</v>
      </c>
      <c r="P132" s="49">
        <f t="shared" ref="P132:P133" si="276">O132*(Q132-R132-S132)</f>
        <v>43840</v>
      </c>
      <c r="Q132" s="48">
        <v>170</v>
      </c>
      <c r="R132" s="499">
        <v>0</v>
      </c>
      <c r="S132" s="499">
        <v>10</v>
      </c>
      <c r="T132" s="38">
        <f t="shared" ref="T132:T133" si="277">E132*M132*O132*Q132/100000000</f>
        <v>6.3218376000000003</v>
      </c>
      <c r="U132" s="38">
        <f t="shared" ref="U132:U133" si="278">E132*M132*O132*(Q132-R132-S132)/100000000</f>
        <v>5.9499648000000001</v>
      </c>
      <c r="V132" s="38">
        <f t="shared" ref="V132:V133" si="279">E132*G132*(1-N132)*O132/100*(R132+S132)/1000000</f>
        <v>0.38309309999999996</v>
      </c>
      <c r="W132" s="38">
        <f>+'25'!K9/1000</f>
        <v>9.9550000000000001</v>
      </c>
      <c r="X132" s="500">
        <f>SUM(W132:W135)/SUM(K132:K135)</f>
        <v>0.9398039942086065</v>
      </c>
      <c r="Y132" s="212">
        <f>+SUM(RBP!AG123:AG124)</f>
        <v>0</v>
      </c>
      <c r="Z132" s="38">
        <v>0</v>
      </c>
      <c r="AA132" s="50">
        <f>SUM(U132:U135)-SUM(W132:W135)-SUM(Z132:Z135)-SUM(Y132:Y135)</f>
        <v>-1.1632074887795198</v>
      </c>
      <c r="AB132" s="50">
        <f>(SUM(K132:K135)-SUM(W132:W135)-SUM(Y132:Y135)-SUM(Z132:Z135)-SUM(AC132:AC135)-SUM(V132:V135))-AA132</f>
        <v>-8.1428237893702793E-2</v>
      </c>
      <c r="AC132" s="38">
        <f>K132-T132</f>
        <v>0.19074509999999822</v>
      </c>
      <c r="AD132" s="38">
        <f>+AM132+BA132</f>
        <v>0</v>
      </c>
      <c r="AE132" s="231" t="s">
        <v>390</v>
      </c>
      <c r="AF132" s="38">
        <v>0</v>
      </c>
      <c r="AG132" s="38"/>
      <c r="AH132" s="38"/>
      <c r="AI132" s="501"/>
      <c r="AJ132" s="38"/>
      <c r="AK132" s="38"/>
      <c r="AL132" s="38"/>
      <c r="AM132" s="38">
        <f>SUM(AF132:AL132)+AT132</f>
        <v>0</v>
      </c>
      <c r="AN132" s="38"/>
      <c r="AO132" s="38"/>
      <c r="AP132" s="38"/>
      <c r="AQ132" s="38"/>
      <c r="AR132" s="38">
        <f>SUM(AN132:AQ132)</f>
        <v>0</v>
      </c>
      <c r="AS132" s="38"/>
      <c r="AT132" s="38"/>
      <c r="AU132" s="38"/>
      <c r="AV132" s="38"/>
      <c r="AW132" s="38"/>
      <c r="AX132" s="38"/>
      <c r="AY132" s="38"/>
      <c r="AZ132" s="38"/>
      <c r="BA132" s="38">
        <f>+AR132+AS132+AU132+AV132+AX132</f>
        <v>0</v>
      </c>
      <c r="BB132" s="34">
        <v>0</v>
      </c>
      <c r="BC132" s="52"/>
      <c r="BD132" s="52"/>
      <c r="BE132" s="34"/>
      <c r="BF132" s="52"/>
    </row>
    <row r="133" spans="1:58" ht="12.95" customHeight="1">
      <c r="A133" s="41"/>
      <c r="B133" s="42" t="s">
        <v>431</v>
      </c>
      <c r="C133" s="443">
        <f t="shared" si="272"/>
        <v>42.944332950000003</v>
      </c>
      <c r="D133" s="42" t="s">
        <v>434</v>
      </c>
      <c r="E133" s="43">
        <v>13.5</v>
      </c>
      <c r="F133" s="43">
        <v>1</v>
      </c>
      <c r="G133" s="498">
        <v>1250</v>
      </c>
      <c r="H133" s="45">
        <f t="shared" si="273"/>
        <v>0.17244094488188977</v>
      </c>
      <c r="I133" s="46">
        <v>0.88</v>
      </c>
      <c r="J133" s="83">
        <f t="shared" si="274"/>
        <v>55.100537007874017</v>
      </c>
      <c r="K133" s="83">
        <f>(IF(G133&lt;L133,L133,G133)*(1-IF(H133&lt;N133,H133,N133))*E133*O133*Q133)/100000000</f>
        <v>45.491878124999992</v>
      </c>
      <c r="L133" s="36">
        <v>1180</v>
      </c>
      <c r="M133" s="36">
        <v>976.51968503937007</v>
      </c>
      <c r="N133" s="47">
        <f t="shared" si="275"/>
        <v>0.17244094488188977</v>
      </c>
      <c r="O133" s="48">
        <f>+'Trim Rwd'!H81</f>
        <v>256.5</v>
      </c>
      <c r="P133" s="49">
        <f t="shared" si="276"/>
        <v>316777.5</v>
      </c>
      <c r="Q133" s="48">
        <v>1270</v>
      </c>
      <c r="R133" s="499">
        <v>0</v>
      </c>
      <c r="S133" s="499">
        <v>35</v>
      </c>
      <c r="T133" s="38">
        <f t="shared" si="277"/>
        <v>42.944332950000003</v>
      </c>
      <c r="U133" s="38">
        <f t="shared" si="278"/>
        <v>41.760827711220472</v>
      </c>
      <c r="V133" s="38">
        <f t="shared" si="279"/>
        <v>1.2537131766732283</v>
      </c>
      <c r="W133" s="38">
        <f>+'25'!K7/1000</f>
        <v>38.918999999999997</v>
      </c>
      <c r="X133" s="39"/>
      <c r="Y133" s="212"/>
      <c r="Z133" s="38">
        <v>0</v>
      </c>
      <c r="AA133" s="38"/>
      <c r="AB133" s="38"/>
      <c r="AC133" s="38">
        <f>K133-T133</f>
        <v>2.5475451749999891</v>
      </c>
      <c r="AD133" s="38">
        <f t="shared" ref="AD133:AD135" si="280">+AM133+BA133</f>
        <v>11</v>
      </c>
      <c r="AE133" s="231" t="s">
        <v>570</v>
      </c>
      <c r="AF133" s="38"/>
      <c r="AG133" s="38">
        <v>11</v>
      </c>
      <c r="AH133" s="38"/>
      <c r="AI133" s="501"/>
      <c r="AJ133" s="38"/>
      <c r="AK133" s="38"/>
      <c r="AL133" s="38"/>
      <c r="AM133" s="38">
        <f t="shared" ref="AM133:AM135" si="281">SUM(AF133:AL133)+AT133</f>
        <v>11</v>
      </c>
      <c r="AN133" s="84"/>
      <c r="AO133" s="38"/>
      <c r="AP133" s="38"/>
      <c r="AQ133" s="38"/>
      <c r="AR133" s="38">
        <f t="shared" ref="AR133:AR135" si="282">SUM(AN133:AQ133)</f>
        <v>0</v>
      </c>
      <c r="AS133" s="38"/>
      <c r="AT133" s="38"/>
      <c r="AU133" s="38"/>
      <c r="AV133" s="38"/>
      <c r="AW133" s="38"/>
      <c r="AX133" s="38"/>
      <c r="AY133" s="38"/>
      <c r="AZ133" s="38"/>
      <c r="BA133" s="38">
        <f t="shared" ref="BA133:BA135" si="283">+AR133+AS133+AU133+AV133+AX133</f>
        <v>0</v>
      </c>
      <c r="BB133" s="51"/>
      <c r="BC133" s="52">
        <v>9</v>
      </c>
      <c r="BD133" s="52"/>
      <c r="BE133" s="51"/>
      <c r="BF133" s="52"/>
    </row>
    <row r="134" spans="1:58" ht="12.95" customHeight="1">
      <c r="A134" s="41"/>
      <c r="B134" s="42"/>
      <c r="C134" s="443"/>
      <c r="D134" s="42"/>
      <c r="E134" s="43"/>
      <c r="F134" s="43"/>
      <c r="G134" s="44"/>
      <c r="H134" s="45"/>
      <c r="I134" s="46"/>
      <c r="J134" s="83"/>
      <c r="K134" s="83"/>
      <c r="L134" s="36"/>
      <c r="M134" s="36"/>
      <c r="N134" s="47"/>
      <c r="O134" s="48"/>
      <c r="P134" s="49"/>
      <c r="Q134" s="48"/>
      <c r="R134" s="499"/>
      <c r="S134" s="499"/>
      <c r="T134" s="38"/>
      <c r="U134" s="38"/>
      <c r="V134" s="38"/>
      <c r="W134" s="38"/>
      <c r="X134" s="39"/>
      <c r="Y134" s="212"/>
      <c r="Z134" s="38"/>
      <c r="AA134" s="38"/>
      <c r="AB134" s="38"/>
      <c r="AC134" s="38"/>
      <c r="AD134" s="38">
        <f t="shared" si="280"/>
        <v>24</v>
      </c>
      <c r="AE134" s="231" t="s">
        <v>594</v>
      </c>
      <c r="AF134" s="34"/>
      <c r="AG134" s="34"/>
      <c r="AH134" s="34">
        <v>24</v>
      </c>
      <c r="AJ134" s="38"/>
      <c r="AK134" s="38"/>
      <c r="AL134" s="38"/>
      <c r="AM134" s="38">
        <f t="shared" si="281"/>
        <v>24</v>
      </c>
      <c r="AN134" s="38"/>
      <c r="AO134" s="38"/>
      <c r="AP134" s="38"/>
      <c r="AQ134" s="38"/>
      <c r="AR134" s="38">
        <f t="shared" si="282"/>
        <v>0</v>
      </c>
      <c r="AS134" s="38"/>
      <c r="AT134" s="38"/>
      <c r="AU134" s="38"/>
      <c r="AV134" s="38"/>
      <c r="AW134" s="38"/>
      <c r="AX134" s="38"/>
      <c r="AY134" s="38"/>
      <c r="AZ134" s="38"/>
      <c r="BA134" s="38">
        <f t="shared" si="283"/>
        <v>0</v>
      </c>
      <c r="BB134" s="34"/>
      <c r="BC134" s="502"/>
      <c r="BD134" s="502"/>
      <c r="BE134" s="34"/>
      <c r="BF134" s="502"/>
    </row>
    <row r="135" spans="1:58" ht="12.95" customHeight="1">
      <c r="A135" s="41"/>
      <c r="B135" s="42"/>
      <c r="C135" s="443"/>
      <c r="D135" s="42"/>
      <c r="E135" s="43"/>
      <c r="F135" s="43"/>
      <c r="G135" s="44"/>
      <c r="H135" s="45"/>
      <c r="I135" s="46"/>
      <c r="J135" s="83"/>
      <c r="K135" s="83"/>
      <c r="L135" s="36"/>
      <c r="M135" s="36"/>
      <c r="N135" s="47"/>
      <c r="O135" s="48"/>
      <c r="P135" s="49"/>
      <c r="Q135" s="35"/>
      <c r="R135" s="499"/>
      <c r="S135" s="499"/>
      <c r="T135" s="38"/>
      <c r="U135" s="38"/>
      <c r="V135" s="38"/>
      <c r="W135" s="38"/>
      <c r="X135" s="39"/>
      <c r="Y135" s="212"/>
      <c r="Z135" s="38"/>
      <c r="AA135" s="38"/>
      <c r="AB135" s="38"/>
      <c r="AC135" s="38"/>
      <c r="AD135" s="38">
        <f t="shared" si="280"/>
        <v>10</v>
      </c>
      <c r="AE135" s="234" t="s">
        <v>228</v>
      </c>
      <c r="AF135" s="38"/>
      <c r="AG135" s="38"/>
      <c r="AH135" s="38"/>
      <c r="AI135" s="501">
        <v>10</v>
      </c>
      <c r="AJ135" s="38"/>
      <c r="AK135" s="38"/>
      <c r="AL135" s="38"/>
      <c r="AM135" s="38">
        <f t="shared" si="281"/>
        <v>10</v>
      </c>
      <c r="AN135" s="38"/>
      <c r="AO135" s="38"/>
      <c r="AP135" s="38"/>
      <c r="AQ135" s="38"/>
      <c r="AR135" s="38">
        <f t="shared" si="282"/>
        <v>0</v>
      </c>
      <c r="AS135" s="38"/>
      <c r="AT135" s="38"/>
      <c r="AU135" s="38"/>
      <c r="AV135" s="38"/>
      <c r="AW135" s="38"/>
      <c r="AX135" s="38"/>
      <c r="AY135" s="38"/>
      <c r="AZ135" s="38"/>
      <c r="BA135" s="38">
        <f t="shared" si="283"/>
        <v>0</v>
      </c>
      <c r="BB135" s="51"/>
      <c r="BC135" s="52"/>
      <c r="BD135" s="52"/>
      <c r="BE135" s="51"/>
      <c r="BF135" s="52"/>
    </row>
    <row r="136" spans="1:58" ht="12.95" customHeight="1">
      <c r="A136" s="41"/>
      <c r="B136" s="42"/>
      <c r="C136" s="443"/>
      <c r="D136" s="42"/>
      <c r="E136" s="43"/>
      <c r="F136" s="43"/>
      <c r="G136" s="498"/>
      <c r="H136" s="45"/>
      <c r="I136" s="46"/>
      <c r="J136" s="83"/>
      <c r="K136" s="83"/>
      <c r="L136" s="36"/>
      <c r="M136" s="36"/>
      <c r="N136" s="47"/>
      <c r="O136" s="48"/>
      <c r="P136" s="49"/>
      <c r="Q136" s="48"/>
      <c r="R136" s="499"/>
      <c r="S136" s="499"/>
      <c r="T136" s="38"/>
      <c r="U136" s="38"/>
      <c r="V136" s="38"/>
      <c r="W136" s="38"/>
      <c r="X136" s="500"/>
      <c r="Y136" s="212"/>
      <c r="Z136" s="38"/>
      <c r="AA136" s="50"/>
      <c r="AB136" s="50"/>
      <c r="AC136" s="38"/>
      <c r="AD136" s="38"/>
      <c r="AE136" s="231"/>
      <c r="AF136" s="38"/>
      <c r="AG136" s="38"/>
      <c r="AH136" s="38"/>
      <c r="AI136" s="501"/>
      <c r="AJ136" s="38"/>
      <c r="AK136" s="38"/>
      <c r="AL136" s="38"/>
      <c r="AM136" s="38"/>
      <c r="AN136" s="38"/>
      <c r="AO136" s="38"/>
      <c r="AP136" s="38"/>
      <c r="AQ136" s="38"/>
      <c r="AR136" s="38"/>
      <c r="AS136" s="38"/>
      <c r="AT136" s="38"/>
      <c r="AU136" s="38"/>
      <c r="AV136" s="38"/>
      <c r="AW136" s="38"/>
      <c r="AX136" s="38"/>
      <c r="AY136" s="38"/>
      <c r="AZ136" s="38"/>
      <c r="BA136" s="38"/>
      <c r="BB136" s="34"/>
      <c r="BC136" s="52"/>
      <c r="BD136" s="52"/>
      <c r="BE136" s="52"/>
      <c r="BF136" s="52"/>
    </row>
    <row r="137" spans="1:58" ht="12" customHeight="1">
      <c r="A137" s="41">
        <v>45987</v>
      </c>
      <c r="B137" s="42" t="s">
        <v>431</v>
      </c>
      <c r="C137" s="443">
        <f t="shared" ref="C137" si="284">(M137*E137*O137*Q137)/100000000</f>
        <v>48.974365800000001</v>
      </c>
      <c r="D137" s="42" t="s">
        <v>434</v>
      </c>
      <c r="E137" s="43">
        <v>13.5</v>
      </c>
      <c r="F137" s="43">
        <v>1</v>
      </c>
      <c r="G137" s="498">
        <v>1245</v>
      </c>
      <c r="H137" s="45">
        <f t="shared" ref="H137" si="285">+N137</f>
        <v>0.16999999999999993</v>
      </c>
      <c r="I137" s="46">
        <v>0.88</v>
      </c>
      <c r="J137" s="83">
        <f t="shared" ref="J137" si="286">E137*G137*(1-H137)*1440/1000000*2.74</f>
        <v>55.042007760000004</v>
      </c>
      <c r="K137" s="83">
        <f>(IF(G137&lt;L137,L137,G137)*(1-IF(H137&lt;N137,H137,N137))*E137*O137*Q137)/100000000</f>
        <v>51.52655106000001</v>
      </c>
      <c r="L137" s="36">
        <v>1183.3333333333333</v>
      </c>
      <c r="M137" s="36">
        <v>982.16666666666663</v>
      </c>
      <c r="N137" s="47">
        <f t="shared" ref="N137" si="287">1-(M137/L137)</f>
        <v>0.16999999999999993</v>
      </c>
      <c r="O137" s="48">
        <f>+'Trim Rwd'!H83</f>
        <v>256.5</v>
      </c>
      <c r="P137" s="49">
        <f t="shared" ref="P137" si="288">O137*(Q137-R137-S137)</f>
        <v>361152</v>
      </c>
      <c r="Q137" s="48">
        <v>1440</v>
      </c>
      <c r="R137" s="499">
        <v>0</v>
      </c>
      <c r="S137" s="499">
        <v>32</v>
      </c>
      <c r="T137" s="38">
        <f t="shared" ref="T137" si="289">E137*M137*O137*Q137/100000000</f>
        <v>48.974365800000001</v>
      </c>
      <c r="U137" s="38">
        <f t="shared" ref="U137" si="290">E137*M137*O137*(Q137-R137-S137)/100000000</f>
        <v>47.886046559999997</v>
      </c>
      <c r="V137" s="38">
        <f t="shared" ref="V137" si="291">E137*G137*(1-N137)*O137/100*(R137+S137)/1000000</f>
        <v>1.145034468</v>
      </c>
      <c r="W137" s="38">
        <f>+'26'!K7/1000</f>
        <v>48.337000000000003</v>
      </c>
      <c r="X137" s="500">
        <f>SUM(W137:W140)/SUM(K137:K140)</f>
        <v>0.93809888311201073</v>
      </c>
      <c r="Y137" s="212">
        <v>0</v>
      </c>
      <c r="Z137" s="38">
        <v>0</v>
      </c>
      <c r="AA137" s="50">
        <f>SUM(U137:U140)-SUM(W137:W140)-SUM(Z137:Z140)-SUM(Y137:Y140)</f>
        <v>-0.45095344000000637</v>
      </c>
      <c r="AB137" s="50">
        <f>(SUM(K137:K140)-SUM(W137:W140)-SUM(Y137:Y140)-SUM(Z137:Z140)-SUM(AC137:AC140)-SUM(V137:V140))-AA137</f>
        <v>-5.6715227999995843E-2</v>
      </c>
      <c r="AC137" s="38">
        <f>K137-T137</f>
        <v>2.5521852600000088</v>
      </c>
      <c r="AD137" s="38">
        <f>+AM137+BA137</f>
        <v>0</v>
      </c>
      <c r="AE137" s="231" t="s">
        <v>390</v>
      </c>
      <c r="AF137" s="38">
        <v>0</v>
      </c>
      <c r="AG137" s="38"/>
      <c r="AH137" s="38"/>
      <c r="AI137" s="501"/>
      <c r="AJ137" s="38"/>
      <c r="AK137" s="38"/>
      <c r="AL137" s="38"/>
      <c r="AM137" s="38">
        <f>SUM(AF137:AL137)+AT137</f>
        <v>0</v>
      </c>
      <c r="AN137" s="38"/>
      <c r="AO137" s="38"/>
      <c r="AP137" s="38"/>
      <c r="AQ137" s="38"/>
      <c r="AR137" s="38">
        <f>SUM(AN137:AQ137)</f>
        <v>0</v>
      </c>
      <c r="AS137" s="38"/>
      <c r="AT137" s="38"/>
      <c r="AU137" s="38"/>
      <c r="AV137" s="38"/>
      <c r="AW137" s="38"/>
      <c r="AX137" s="38"/>
      <c r="AY137" s="38"/>
      <c r="AZ137" s="38"/>
      <c r="BA137" s="38">
        <f>+AR137+AS137+AU137+AV137+AX137</f>
        <v>0</v>
      </c>
      <c r="BB137" s="34">
        <v>0</v>
      </c>
      <c r="BC137" s="52"/>
      <c r="BD137" s="52"/>
      <c r="BE137" s="34"/>
      <c r="BF137" s="52"/>
    </row>
    <row r="138" spans="1:58" ht="12.95" customHeight="1">
      <c r="A138" s="41"/>
      <c r="B138" s="42"/>
      <c r="C138" s="443"/>
      <c r="D138" s="42"/>
      <c r="E138" s="43"/>
      <c r="F138" s="43"/>
      <c r="G138" s="44"/>
      <c r="H138" s="45"/>
      <c r="I138" s="46"/>
      <c r="J138" s="83"/>
      <c r="K138" s="83"/>
      <c r="L138" s="36"/>
      <c r="M138" s="36"/>
      <c r="N138" s="47"/>
      <c r="O138" s="48"/>
      <c r="P138" s="49"/>
      <c r="Q138" s="48"/>
      <c r="R138" s="499"/>
      <c r="S138" s="499"/>
      <c r="T138" s="38"/>
      <c r="U138" s="38"/>
      <c r="V138" s="38"/>
      <c r="W138" s="38"/>
      <c r="X138" s="39"/>
      <c r="Y138" s="212"/>
      <c r="Z138" s="38">
        <f>+'21'!D43/1000</f>
        <v>0</v>
      </c>
      <c r="AA138" s="38"/>
      <c r="AB138" s="38"/>
      <c r="AC138" s="38">
        <f>K138-T138</f>
        <v>0</v>
      </c>
      <c r="AD138" s="38">
        <f t="shared" ref="AD138:AD140" si="292">+AM138+BA138</f>
        <v>8</v>
      </c>
      <c r="AE138" s="231" t="s">
        <v>617</v>
      </c>
      <c r="AF138" s="38"/>
      <c r="AG138" s="38">
        <v>8</v>
      </c>
      <c r="AH138" s="38"/>
      <c r="AI138" s="501"/>
      <c r="AJ138" s="38"/>
      <c r="AK138" s="38"/>
      <c r="AL138" s="38"/>
      <c r="AM138" s="38">
        <f t="shared" ref="AM138:AM140" si="293">SUM(AF138:AL138)+AT138</f>
        <v>8</v>
      </c>
      <c r="AN138" s="84"/>
      <c r="AO138" s="38"/>
      <c r="AP138" s="38"/>
      <c r="AQ138" s="38"/>
      <c r="AR138" s="38">
        <f t="shared" ref="AR138:AR140" si="294">SUM(AN138:AQ138)</f>
        <v>0</v>
      </c>
      <c r="AS138" s="38"/>
      <c r="AT138" s="38"/>
      <c r="AU138" s="38"/>
      <c r="AV138" s="38"/>
      <c r="AW138" s="38"/>
      <c r="AX138" s="38"/>
      <c r="AY138" s="38"/>
      <c r="AZ138" s="38"/>
      <c r="BA138" s="38">
        <f t="shared" ref="BA138:BA140" si="295">+AR138+AS138+AU138+AV138+AX138</f>
        <v>0</v>
      </c>
      <c r="BB138" s="51"/>
      <c r="BC138" s="52">
        <v>8</v>
      </c>
      <c r="BD138" s="52"/>
      <c r="BE138" s="51"/>
      <c r="BF138" s="52"/>
    </row>
    <row r="139" spans="1:58" ht="12.95" customHeight="1">
      <c r="A139" s="41"/>
      <c r="B139" s="42"/>
      <c r="C139" s="443"/>
      <c r="D139" s="42"/>
      <c r="E139" s="43"/>
      <c r="F139" s="43"/>
      <c r="G139" s="44"/>
      <c r="H139" s="45"/>
      <c r="I139" s="46"/>
      <c r="J139" s="83"/>
      <c r="K139" s="83"/>
      <c r="L139" s="36"/>
      <c r="M139" s="36"/>
      <c r="N139" s="47"/>
      <c r="O139" s="48"/>
      <c r="P139" s="49"/>
      <c r="Q139" s="48"/>
      <c r="R139" s="499"/>
      <c r="S139" s="499"/>
      <c r="T139" s="38"/>
      <c r="U139" s="38"/>
      <c r="V139" s="38"/>
      <c r="W139" s="38"/>
      <c r="X139" s="39"/>
      <c r="Y139" s="212"/>
      <c r="Z139" s="38"/>
      <c r="AA139" s="38"/>
      <c r="AB139" s="38"/>
      <c r="AC139" s="38"/>
      <c r="AD139" s="38">
        <f t="shared" si="292"/>
        <v>14</v>
      </c>
      <c r="AE139" s="231" t="s">
        <v>513</v>
      </c>
      <c r="AF139" s="34"/>
      <c r="AG139" s="34"/>
      <c r="AH139" s="34">
        <v>14</v>
      </c>
      <c r="AJ139" s="38"/>
      <c r="AK139" s="38"/>
      <c r="AL139" s="38"/>
      <c r="AM139" s="38">
        <f t="shared" si="293"/>
        <v>14</v>
      </c>
      <c r="AN139" s="38"/>
      <c r="AO139" s="38"/>
      <c r="AP139" s="38"/>
      <c r="AQ139" s="38"/>
      <c r="AR139" s="38">
        <f t="shared" si="294"/>
        <v>0</v>
      </c>
      <c r="AS139" s="38"/>
      <c r="AT139" s="38"/>
      <c r="AU139" s="38"/>
      <c r="AV139" s="38"/>
      <c r="AW139" s="38"/>
      <c r="AX139" s="38"/>
      <c r="AY139" s="38"/>
      <c r="AZ139" s="38"/>
      <c r="BA139" s="38">
        <f t="shared" si="295"/>
        <v>0</v>
      </c>
      <c r="BB139" s="34"/>
      <c r="BC139" s="502"/>
      <c r="BD139" s="502"/>
      <c r="BE139" s="34"/>
      <c r="BF139" s="502"/>
    </row>
    <row r="140" spans="1:58" ht="12.95" customHeight="1">
      <c r="A140" s="41"/>
      <c r="B140" s="42"/>
      <c r="C140" s="443"/>
      <c r="D140" s="42"/>
      <c r="E140" s="43"/>
      <c r="F140" s="43"/>
      <c r="G140" s="44"/>
      <c r="H140" s="45"/>
      <c r="I140" s="46"/>
      <c r="J140" s="83"/>
      <c r="K140" s="83"/>
      <c r="L140" s="36"/>
      <c r="M140" s="36"/>
      <c r="N140" s="47"/>
      <c r="O140" s="48"/>
      <c r="P140" s="49"/>
      <c r="Q140" s="35"/>
      <c r="R140" s="499"/>
      <c r="S140" s="499"/>
      <c r="T140" s="38"/>
      <c r="U140" s="38"/>
      <c r="V140" s="38"/>
      <c r="W140" s="38"/>
      <c r="X140" s="39"/>
      <c r="Y140" s="212"/>
      <c r="Z140" s="38"/>
      <c r="AA140" s="38"/>
      <c r="AB140" s="38"/>
      <c r="AC140" s="38"/>
      <c r="AD140" s="38">
        <f t="shared" si="292"/>
        <v>10</v>
      </c>
      <c r="AE140" s="234" t="s">
        <v>228</v>
      </c>
      <c r="AF140" s="38"/>
      <c r="AG140" s="38"/>
      <c r="AH140" s="38"/>
      <c r="AI140" s="501">
        <v>10</v>
      </c>
      <c r="AJ140" s="38"/>
      <c r="AK140" s="38"/>
      <c r="AL140" s="38"/>
      <c r="AM140" s="38">
        <f t="shared" si="293"/>
        <v>10</v>
      </c>
      <c r="AN140" s="38"/>
      <c r="AO140" s="38"/>
      <c r="AP140" s="38"/>
      <c r="AQ140" s="38"/>
      <c r="AR140" s="38">
        <f t="shared" si="294"/>
        <v>0</v>
      </c>
      <c r="AS140" s="38"/>
      <c r="AT140" s="38"/>
      <c r="AU140" s="38"/>
      <c r="AV140" s="38"/>
      <c r="AW140" s="38"/>
      <c r="AX140" s="38"/>
      <c r="AY140" s="38"/>
      <c r="AZ140" s="38"/>
      <c r="BA140" s="38">
        <f t="shared" si="295"/>
        <v>0</v>
      </c>
      <c r="BB140" s="51"/>
      <c r="BC140" s="52"/>
      <c r="BD140" s="52"/>
      <c r="BE140" s="51"/>
      <c r="BF140" s="52"/>
    </row>
    <row r="141" spans="1:58" ht="12.95" customHeight="1">
      <c r="A141" s="41"/>
      <c r="B141" s="42"/>
      <c r="C141" s="443"/>
      <c r="D141" s="42"/>
      <c r="E141" s="43"/>
      <c r="F141" s="43"/>
      <c r="G141" s="498"/>
      <c r="H141" s="45"/>
      <c r="I141" s="46"/>
      <c r="J141" s="83"/>
      <c r="K141" s="83"/>
      <c r="L141" s="36"/>
      <c r="M141" s="36"/>
      <c r="N141" s="47"/>
      <c r="O141" s="48"/>
      <c r="P141" s="49"/>
      <c r="Q141" s="48"/>
      <c r="R141" s="499"/>
      <c r="S141" s="499"/>
      <c r="T141" s="38"/>
      <c r="U141" s="38"/>
      <c r="V141" s="38"/>
      <c r="W141" s="38"/>
      <c r="X141" s="500"/>
      <c r="Y141" s="212"/>
      <c r="Z141" s="38"/>
      <c r="AA141" s="50"/>
      <c r="AB141" s="50"/>
      <c r="AC141" s="38"/>
      <c r="AD141" s="38"/>
      <c r="AE141" s="231"/>
      <c r="AF141" s="38"/>
      <c r="AG141" s="38"/>
      <c r="AH141" s="38"/>
      <c r="AI141" s="501"/>
      <c r="AJ141" s="38"/>
      <c r="AK141" s="38"/>
      <c r="AL141" s="38"/>
      <c r="AM141" s="38"/>
      <c r="AN141" s="38"/>
      <c r="AO141" s="38"/>
      <c r="AP141" s="38"/>
      <c r="AQ141" s="38"/>
      <c r="AR141" s="38"/>
      <c r="AS141" s="38"/>
      <c r="AT141" s="38"/>
      <c r="AU141" s="38"/>
      <c r="AV141" s="38"/>
      <c r="AW141" s="38"/>
      <c r="AX141" s="38"/>
      <c r="AY141" s="38"/>
      <c r="AZ141" s="38"/>
      <c r="BA141" s="38"/>
      <c r="BB141" s="34"/>
      <c r="BC141" s="52"/>
      <c r="BD141" s="52"/>
      <c r="BE141" s="52"/>
      <c r="BF141" s="52"/>
    </row>
    <row r="142" spans="1:58" ht="12" customHeight="1">
      <c r="A142" s="41">
        <v>45988</v>
      </c>
      <c r="B142" s="42" t="s">
        <v>431</v>
      </c>
      <c r="C142" s="443">
        <f t="shared" ref="C142" si="296">(M142*E142*O142*Q142)/100000000</f>
        <v>50.878602849767447</v>
      </c>
      <c r="D142" s="42" t="s">
        <v>434</v>
      </c>
      <c r="E142" s="43">
        <v>13.5</v>
      </c>
      <c r="F142" s="43">
        <v>1</v>
      </c>
      <c r="G142" s="498">
        <v>1305</v>
      </c>
      <c r="H142" s="45">
        <f t="shared" ref="H142" si="297">+N142</f>
        <v>0.20775603309945567</v>
      </c>
      <c r="I142" s="46">
        <v>0.88</v>
      </c>
      <c r="J142" s="83">
        <f t="shared" ref="J142" si="298">E142*G142*(1-H142)*1440/1000000*2.74</f>
        <v>55.070152067555611</v>
      </c>
      <c r="K142" s="83">
        <f>(IF(G142&lt;L142,L142,G142)*(1-IF(H142&lt;N142,H142,N142))*E142*O142*Q142)/100000000</f>
        <v>53.897733988258501</v>
      </c>
      <c r="L142" s="36">
        <v>1231.8992248062016</v>
      </c>
      <c r="M142" s="36">
        <v>975.96472868217052</v>
      </c>
      <c r="N142" s="47">
        <f t="shared" ref="N142" si="299">1-(M142/L142)</f>
        <v>0.20775603309945567</v>
      </c>
      <c r="O142" s="48">
        <f>+'Trim Rwd'!H85</f>
        <v>268.16666666666669</v>
      </c>
      <c r="P142" s="49">
        <f t="shared" ref="P142" si="300">O142*(Q142-R142-S142)</f>
        <v>335744.66666666669</v>
      </c>
      <c r="Q142" s="48">
        <v>1440</v>
      </c>
      <c r="R142" s="499">
        <v>150</v>
      </c>
      <c r="S142" s="499">
        <v>38</v>
      </c>
      <c r="T142" s="38">
        <f t="shared" ref="T142" si="301">E142*M142*O142*Q142/100000000</f>
        <v>50.878602849767447</v>
      </c>
      <c r="U142" s="38">
        <f t="shared" ref="U142" si="302">E142*M142*O142*(Q142-R142-S142)/100000000</f>
        <v>44.23611858882559</v>
      </c>
      <c r="V142" s="38">
        <f t="shared" ref="V142" si="303">E142*G142*(1-N142)*O142/100*(R142+S142)/1000000</f>
        <v>7.0366486040226377</v>
      </c>
      <c r="W142" s="38">
        <f>+'27'!K7/1000</f>
        <v>40.588000000000001</v>
      </c>
      <c r="X142" s="500">
        <f>SUM(W142:W145)/SUM(K142:K145)</f>
        <v>0.75305577798209489</v>
      </c>
      <c r="Y142" s="212">
        <f>+SUM(RBP!AG8:AG9)</f>
        <v>0</v>
      </c>
      <c r="Z142" s="38">
        <v>0</v>
      </c>
      <c r="AA142" s="50">
        <f>SUM(U142:U145)-SUM(W142:W145)-SUM(Z142:Z145)-SUM(Y142:Y145)</f>
        <v>3.6481185888255894</v>
      </c>
      <c r="AB142" s="50">
        <f>(SUM(K142:K145)-SUM(W142:W145)-SUM(Y142:Y145)-SUM(Z142:Z145)-SUM(AC142:AC145)-SUM(V142:V145))-AA142</f>
        <v>-0.39416434308078152</v>
      </c>
      <c r="AC142" s="38">
        <f>K142-T142</f>
        <v>3.0191311384910549</v>
      </c>
      <c r="AD142" s="38">
        <f>+AM142+BA142</f>
        <v>0</v>
      </c>
      <c r="AE142" s="231" t="s">
        <v>390</v>
      </c>
      <c r="AF142" s="38">
        <v>0</v>
      </c>
      <c r="AG142" s="38"/>
      <c r="AH142" s="38"/>
      <c r="AI142" s="501"/>
      <c r="AJ142" s="38"/>
      <c r="AK142" s="38"/>
      <c r="AL142" s="38"/>
      <c r="AM142" s="38">
        <f>SUM(AF142:AL142)+AT142</f>
        <v>0</v>
      </c>
      <c r="AN142" s="38"/>
      <c r="AO142" s="38"/>
      <c r="AP142" s="38"/>
      <c r="AQ142" s="38"/>
      <c r="AR142" s="38">
        <f>SUM(AN142:AQ142)</f>
        <v>0</v>
      </c>
      <c r="AS142" s="38"/>
      <c r="AT142" s="38"/>
      <c r="AU142" s="38"/>
      <c r="AV142" s="38"/>
      <c r="AW142" s="38"/>
      <c r="AX142" s="38"/>
      <c r="AY142" s="38"/>
      <c r="AZ142" s="38"/>
      <c r="BA142" s="38">
        <f>+AR142+AS142+AU142+AV142+AX142</f>
        <v>0</v>
      </c>
      <c r="BB142" s="34">
        <v>0</v>
      </c>
      <c r="BC142" s="52"/>
      <c r="BD142" s="52"/>
      <c r="BE142" s="34"/>
      <c r="BF142" s="52">
        <v>1</v>
      </c>
    </row>
    <row r="143" spans="1:58" ht="12.95" customHeight="1">
      <c r="A143" s="41"/>
      <c r="B143" s="42"/>
      <c r="C143" s="443"/>
      <c r="D143" s="42"/>
      <c r="E143" s="43"/>
      <c r="F143" s="43"/>
      <c r="G143" s="44"/>
      <c r="H143" s="45"/>
      <c r="I143" s="46"/>
      <c r="J143" s="83"/>
      <c r="K143" s="83"/>
      <c r="L143" s="36"/>
      <c r="M143" s="36"/>
      <c r="N143" s="47"/>
      <c r="O143" s="48"/>
      <c r="P143" s="49"/>
      <c r="Q143" s="48"/>
      <c r="R143" s="499"/>
      <c r="S143" s="499"/>
      <c r="T143" s="38"/>
      <c r="U143" s="38"/>
      <c r="V143" s="38"/>
      <c r="W143" s="38"/>
      <c r="X143" s="39"/>
      <c r="Y143" s="212"/>
      <c r="Z143" s="38">
        <f>+'21'!D48/1000</f>
        <v>0</v>
      </c>
      <c r="AA143" s="38"/>
      <c r="AB143" s="38"/>
      <c r="AC143" s="38">
        <f>K143-T143</f>
        <v>0</v>
      </c>
      <c r="AD143" s="38">
        <f t="shared" ref="AD143:AD146" si="304">+AM143+BA143</f>
        <v>10</v>
      </c>
      <c r="AE143" s="231" t="s">
        <v>617</v>
      </c>
      <c r="AF143" s="38"/>
      <c r="AG143" s="38">
        <v>10</v>
      </c>
      <c r="AH143" s="38"/>
      <c r="AI143" s="501"/>
      <c r="AJ143" s="38"/>
      <c r="AK143" s="38"/>
      <c r="AL143" s="38"/>
      <c r="AM143" s="38">
        <f t="shared" ref="AM143:AM145" si="305">SUM(AF143:AL143)+AT143</f>
        <v>10</v>
      </c>
      <c r="AN143" s="84"/>
      <c r="AO143" s="38"/>
      <c r="AP143" s="38"/>
      <c r="AQ143" s="38"/>
      <c r="AR143" s="38">
        <f t="shared" ref="AR143:AR145" si="306">SUM(AN143:AQ143)</f>
        <v>0</v>
      </c>
      <c r="AS143" s="38"/>
      <c r="AT143" s="38"/>
      <c r="AU143" s="38"/>
      <c r="AV143" s="38"/>
      <c r="AW143" s="38"/>
      <c r="AX143" s="38"/>
      <c r="AY143" s="38"/>
      <c r="AZ143" s="38"/>
      <c r="BA143" s="38">
        <f t="shared" ref="BA143:BA146" si="307">+AR143+AS143+AU143+AV143+AX143</f>
        <v>0</v>
      </c>
      <c r="BB143" s="51"/>
      <c r="BC143" s="52">
        <v>8</v>
      </c>
      <c r="BD143" s="52"/>
      <c r="BE143" s="51"/>
      <c r="BF143" s="52"/>
    </row>
    <row r="144" spans="1:58" ht="12.95" customHeight="1">
      <c r="A144" s="41"/>
      <c r="B144" s="42"/>
      <c r="C144" s="443"/>
      <c r="D144" s="42"/>
      <c r="E144" s="43"/>
      <c r="F144" s="43"/>
      <c r="G144" s="44"/>
      <c r="H144" s="45"/>
      <c r="I144" s="46"/>
      <c r="J144" s="83"/>
      <c r="K144" s="83"/>
      <c r="L144" s="36"/>
      <c r="M144" s="36"/>
      <c r="N144" s="47"/>
      <c r="O144" s="48"/>
      <c r="P144" s="49"/>
      <c r="Q144" s="48"/>
      <c r="R144" s="499"/>
      <c r="S144" s="499"/>
      <c r="T144" s="38"/>
      <c r="U144" s="38"/>
      <c r="V144" s="38"/>
      <c r="W144" s="38"/>
      <c r="X144" s="39"/>
      <c r="Y144" s="212"/>
      <c r="Z144" s="38"/>
      <c r="AA144" s="38"/>
      <c r="AB144" s="38"/>
      <c r="AC144" s="38"/>
      <c r="AD144" s="38">
        <f t="shared" si="304"/>
        <v>20</v>
      </c>
      <c r="AE144" s="231" t="s">
        <v>715</v>
      </c>
      <c r="AF144" s="34"/>
      <c r="AG144" s="34"/>
      <c r="AH144" s="34">
        <v>20</v>
      </c>
      <c r="AJ144" s="38"/>
      <c r="AK144" s="38"/>
      <c r="AL144" s="38"/>
      <c r="AM144" s="38">
        <f t="shared" si="305"/>
        <v>20</v>
      </c>
      <c r="AN144" s="38"/>
      <c r="AO144" s="38"/>
      <c r="AP144" s="38"/>
      <c r="AQ144" s="38"/>
      <c r="AR144" s="38">
        <f t="shared" si="306"/>
        <v>0</v>
      </c>
      <c r="AS144" s="38"/>
      <c r="AT144" s="38"/>
      <c r="AU144" s="38"/>
      <c r="AV144" s="38"/>
      <c r="AW144" s="38"/>
      <c r="AX144" s="38"/>
      <c r="AY144" s="38"/>
      <c r="AZ144" s="38"/>
      <c r="BA144" s="38">
        <f t="shared" si="307"/>
        <v>0</v>
      </c>
      <c r="BB144" s="34"/>
      <c r="BC144" s="502"/>
      <c r="BD144" s="502"/>
      <c r="BE144" s="34"/>
      <c r="BF144" s="502"/>
    </row>
    <row r="145" spans="1:58" ht="12.95" customHeight="1">
      <c r="A145" s="41"/>
      <c r="B145" s="42"/>
      <c r="C145" s="443"/>
      <c r="D145" s="42"/>
      <c r="E145" s="43"/>
      <c r="F145" s="43"/>
      <c r="G145" s="44"/>
      <c r="H145" s="45"/>
      <c r="I145" s="46"/>
      <c r="J145" s="83"/>
      <c r="K145" s="83"/>
      <c r="L145" s="36"/>
      <c r="M145" s="36"/>
      <c r="N145" s="47"/>
      <c r="O145" s="48"/>
      <c r="P145" s="49"/>
      <c r="Q145" s="35"/>
      <c r="R145" s="499"/>
      <c r="S145" s="499"/>
      <c r="T145" s="38"/>
      <c r="U145" s="38"/>
      <c r="V145" s="38"/>
      <c r="W145" s="38"/>
      <c r="X145" s="39"/>
      <c r="Y145" s="212"/>
      <c r="Z145" s="38"/>
      <c r="AA145" s="38"/>
      <c r="AB145" s="38"/>
      <c r="AC145" s="38"/>
      <c r="AD145" s="38">
        <f t="shared" si="304"/>
        <v>8</v>
      </c>
      <c r="AE145" s="234" t="s">
        <v>228</v>
      </c>
      <c r="AF145" s="38"/>
      <c r="AG145" s="38"/>
      <c r="AH145" s="38"/>
      <c r="AI145" s="501">
        <v>8</v>
      </c>
      <c r="AJ145" s="38"/>
      <c r="AK145" s="38"/>
      <c r="AL145" s="38"/>
      <c r="AM145" s="38">
        <f t="shared" si="305"/>
        <v>8</v>
      </c>
      <c r="AN145" s="38"/>
      <c r="AO145" s="38"/>
      <c r="AP145" s="38"/>
      <c r="AQ145" s="38"/>
      <c r="AR145" s="38">
        <f t="shared" si="306"/>
        <v>0</v>
      </c>
      <c r="AS145" s="38"/>
      <c r="AT145" s="38"/>
      <c r="AU145" s="38"/>
      <c r="AV145" s="38"/>
      <c r="AW145" s="38"/>
      <c r="AX145" s="38"/>
      <c r="AY145" s="38"/>
      <c r="AZ145" s="38"/>
      <c r="BA145" s="38">
        <f t="shared" si="307"/>
        <v>0</v>
      </c>
      <c r="BB145" s="51"/>
      <c r="BC145" s="52"/>
      <c r="BD145" s="52"/>
      <c r="BE145" s="51"/>
      <c r="BF145" s="52"/>
    </row>
    <row r="146" spans="1:58" ht="12.95" customHeight="1">
      <c r="A146" s="41"/>
      <c r="B146" s="42"/>
      <c r="C146" s="443"/>
      <c r="D146" s="42"/>
      <c r="E146" s="43"/>
      <c r="F146" s="43"/>
      <c r="G146" s="44"/>
      <c r="H146" s="45"/>
      <c r="I146" s="46"/>
      <c r="J146" s="83"/>
      <c r="K146" s="83"/>
      <c r="L146" s="36"/>
      <c r="M146" s="36"/>
      <c r="N146" s="47"/>
      <c r="O146" s="48"/>
      <c r="P146" s="49"/>
      <c r="Q146" s="35"/>
      <c r="R146" s="499"/>
      <c r="S146" s="499"/>
      <c r="T146" s="38"/>
      <c r="U146" s="38"/>
      <c r="V146" s="38"/>
      <c r="W146" s="38"/>
      <c r="X146" s="39"/>
      <c r="Y146" s="212"/>
      <c r="Z146" s="38"/>
      <c r="AA146" s="38"/>
      <c r="AB146" s="38"/>
      <c r="AC146" s="38"/>
      <c r="AD146" s="38">
        <f t="shared" si="304"/>
        <v>150</v>
      </c>
      <c r="AE146" s="234" t="s">
        <v>716</v>
      </c>
      <c r="AF146" s="38"/>
      <c r="AG146" s="38"/>
      <c r="AH146" s="38"/>
      <c r="AI146" s="501"/>
      <c r="AJ146" s="38"/>
      <c r="AK146" s="38"/>
      <c r="AL146" s="38"/>
      <c r="AM146" s="38">
        <f t="shared" ref="AM146" si="308">SUM(AF146:AL146)+AT146</f>
        <v>0</v>
      </c>
      <c r="AN146" s="38">
        <v>150</v>
      </c>
      <c r="AO146" s="38"/>
      <c r="AP146" s="38"/>
      <c r="AQ146" s="38"/>
      <c r="AR146" s="38">
        <f t="shared" ref="AR146" si="309">SUM(AN146:AQ146)</f>
        <v>150</v>
      </c>
      <c r="AS146" s="38"/>
      <c r="AT146" s="38"/>
      <c r="AU146" s="38"/>
      <c r="AV146" s="38"/>
      <c r="AW146" s="38"/>
      <c r="AX146" s="38"/>
      <c r="AY146" s="38"/>
      <c r="AZ146" s="38"/>
      <c r="BA146" s="38">
        <f t="shared" si="307"/>
        <v>150</v>
      </c>
      <c r="BB146" s="51"/>
      <c r="BC146" s="52"/>
      <c r="BD146" s="52"/>
      <c r="BE146" s="51"/>
      <c r="BF146" s="52"/>
    </row>
    <row r="147" spans="1:58" ht="12.95" customHeight="1">
      <c r="A147" s="41"/>
      <c r="B147" s="42"/>
      <c r="C147" s="443"/>
      <c r="D147" s="42"/>
      <c r="E147" s="43"/>
      <c r="F147" s="43"/>
      <c r="G147" s="498"/>
      <c r="H147" s="45"/>
      <c r="I147" s="46"/>
      <c r="J147" s="83"/>
      <c r="K147" s="83"/>
      <c r="L147" s="36"/>
      <c r="M147" s="36"/>
      <c r="N147" s="47"/>
      <c r="O147" s="48"/>
      <c r="P147" s="49"/>
      <c r="Q147" s="48"/>
      <c r="R147" s="499"/>
      <c r="S147" s="499"/>
      <c r="T147" s="38"/>
      <c r="U147" s="38"/>
      <c r="V147" s="38"/>
      <c r="W147" s="38"/>
      <c r="X147" s="39"/>
      <c r="Y147" s="212"/>
      <c r="Z147" s="38"/>
      <c r="AA147" s="38"/>
      <c r="AB147" s="38"/>
      <c r="AC147" s="38"/>
      <c r="AD147" s="38"/>
      <c r="AE147" s="231"/>
      <c r="AF147" s="38"/>
      <c r="AG147" s="38"/>
      <c r="AH147" s="38"/>
      <c r="AI147" s="501"/>
      <c r="AJ147" s="38"/>
      <c r="AK147" s="38"/>
      <c r="AL147" s="38"/>
      <c r="AM147" s="38"/>
      <c r="AN147" s="84"/>
      <c r="AO147" s="38"/>
      <c r="AP147" s="38"/>
      <c r="AQ147" s="38"/>
      <c r="AR147" s="38"/>
      <c r="AS147" s="38"/>
      <c r="AT147" s="38"/>
      <c r="AU147" s="38"/>
      <c r="AV147" s="38"/>
      <c r="AW147" s="38"/>
      <c r="AX147" s="38"/>
      <c r="AY147" s="38"/>
      <c r="AZ147" s="38"/>
      <c r="BA147" s="38"/>
      <c r="BB147" s="51"/>
      <c r="BC147" s="52"/>
      <c r="BD147" s="52"/>
      <c r="BE147" s="52"/>
      <c r="BF147" s="52"/>
    </row>
    <row r="148" spans="1:58" ht="12" customHeight="1">
      <c r="A148" s="41">
        <v>45989</v>
      </c>
      <c r="B148" s="42" t="s">
        <v>431</v>
      </c>
      <c r="C148" s="443">
        <f t="shared" ref="C148" si="310">(M148*E148*O148*Q148)/100000000</f>
        <v>52.764903359999998</v>
      </c>
      <c r="D148" s="42" t="s">
        <v>434</v>
      </c>
      <c r="E148" s="43">
        <v>13.5</v>
      </c>
      <c r="F148" s="43">
        <v>1</v>
      </c>
      <c r="G148" s="498">
        <v>1325</v>
      </c>
      <c r="H148" s="45">
        <f t="shared" ref="H148" si="311">+N148</f>
        <v>0.21999999999999997</v>
      </c>
      <c r="I148" s="46">
        <v>0.88</v>
      </c>
      <c r="J148" s="83">
        <f t="shared" ref="J148" si="312">E148*G148*(1-H148)*1440/1000000*2.74</f>
        <v>55.049997600000005</v>
      </c>
      <c r="K148" s="83">
        <f>(IF(G148&lt;L148,L148,G148)*(1-IF(H148&lt;N148,H148,N148))*E148*O148*Q148)/100000000</f>
        <v>55.049997599999998</v>
      </c>
      <c r="L148" s="36">
        <v>1270</v>
      </c>
      <c r="M148" s="36">
        <v>990.6</v>
      </c>
      <c r="N148" s="47">
        <f t="shared" ref="N148" si="313">1-(M148/L148)</f>
        <v>0.21999999999999997</v>
      </c>
      <c r="O148" s="48">
        <f>+'Trim Rwd'!H88</f>
        <v>274</v>
      </c>
      <c r="P148" s="49">
        <f t="shared" ref="P148" si="314">O148*(Q148-R148-S148)</f>
        <v>383052</v>
      </c>
      <c r="Q148" s="48">
        <v>1440</v>
      </c>
      <c r="R148" s="499">
        <v>0</v>
      </c>
      <c r="S148" s="499">
        <v>42</v>
      </c>
      <c r="T148" s="38">
        <f t="shared" ref="T148" si="315">E148*M148*O148*Q148/100000000</f>
        <v>52.764903359999998</v>
      </c>
      <c r="U148" s="38">
        <f t="shared" ref="U148" si="316">E148*M148*O148*(Q148-R148-S148)/100000000</f>
        <v>51.225927012</v>
      </c>
      <c r="V148" s="38">
        <f t="shared" ref="V148" si="317">E148*G148*(1-N148)*O148/100*(R148+S148)/1000000</f>
        <v>1.6056249299999998</v>
      </c>
      <c r="W148" s="38">
        <f>+'28'!K7/1000</f>
        <v>55.177</v>
      </c>
      <c r="X148" s="500">
        <f>SUM(W148:W151)/SUM(K148:K151)</f>
        <v>1.0023070373394531</v>
      </c>
      <c r="Y148" s="212">
        <v>0</v>
      </c>
      <c r="Z148" s="38">
        <v>0</v>
      </c>
      <c r="AA148" s="50">
        <f>SUM(U148:U151)-SUM(W148:W151)-SUM(Z148:Z151)-SUM(Y148:Y151)</f>
        <v>-3.951072988</v>
      </c>
      <c r="AB148" s="50">
        <f>(SUM(K148:K151)-SUM(W148:W151)-SUM(Y148:Y151)-SUM(Z148:Z151)-SUM(AC148:AC151)-SUM(V148:V151))-AA148</f>
        <v>-6.66485820000009E-2</v>
      </c>
      <c r="AC148" s="38">
        <f>K148-T148</f>
        <v>2.2850942399999994</v>
      </c>
      <c r="AD148" s="38">
        <f>+AM148+BA148</f>
        <v>0</v>
      </c>
      <c r="AE148" s="231" t="s">
        <v>390</v>
      </c>
      <c r="AF148" s="38">
        <v>0</v>
      </c>
      <c r="AG148" s="38"/>
      <c r="AH148" s="38"/>
      <c r="AI148" s="501"/>
      <c r="AJ148" s="38"/>
      <c r="AK148" s="38"/>
      <c r="AL148" s="38"/>
      <c r="AM148" s="38">
        <f>SUM(AF148:AL148)+AT148</f>
        <v>0</v>
      </c>
      <c r="AN148" s="38"/>
      <c r="AO148" s="38"/>
      <c r="AP148" s="38"/>
      <c r="AQ148" s="38"/>
      <c r="AR148" s="38">
        <f>SUM(AN148:AQ148)</f>
        <v>0</v>
      </c>
      <c r="AS148" s="38"/>
      <c r="AT148" s="38"/>
      <c r="AU148" s="38"/>
      <c r="AV148" s="38"/>
      <c r="AW148" s="38"/>
      <c r="AX148" s="38"/>
      <c r="AY148" s="38"/>
      <c r="AZ148" s="38"/>
      <c r="BA148" s="38">
        <f>+AR148+AS148+AU148+AV148+AX148</f>
        <v>0</v>
      </c>
      <c r="BB148" s="34">
        <v>0</v>
      </c>
      <c r="BC148" s="52"/>
      <c r="BD148" s="52"/>
      <c r="BE148" s="34"/>
      <c r="BF148" s="52"/>
    </row>
    <row r="149" spans="1:58" ht="12.95" customHeight="1">
      <c r="A149" s="41"/>
      <c r="B149" s="42"/>
      <c r="C149" s="443"/>
      <c r="D149" s="42"/>
      <c r="E149" s="43"/>
      <c r="F149" s="43"/>
      <c r="G149" s="44"/>
      <c r="H149" s="45"/>
      <c r="I149" s="46"/>
      <c r="J149" s="83"/>
      <c r="K149" s="83"/>
      <c r="L149" s="36"/>
      <c r="M149" s="36"/>
      <c r="N149" s="47"/>
      <c r="O149" s="48"/>
      <c r="P149" s="49"/>
      <c r="Q149" s="48"/>
      <c r="R149" s="499"/>
      <c r="S149" s="499"/>
      <c r="T149" s="38"/>
      <c r="U149" s="38"/>
      <c r="V149" s="38"/>
      <c r="W149" s="38"/>
      <c r="X149" s="39"/>
      <c r="Y149" s="212"/>
      <c r="Z149" s="38">
        <f>+'21'!D54/1000</f>
        <v>0</v>
      </c>
      <c r="AA149" s="38"/>
      <c r="AB149" s="38"/>
      <c r="AC149" s="38">
        <f>K149-T149</f>
        <v>0</v>
      </c>
      <c r="AD149" s="38">
        <f t="shared" ref="AD149:AD151" si="318">+AM149+BA149</f>
        <v>9</v>
      </c>
      <c r="AE149" s="231" t="s">
        <v>617</v>
      </c>
      <c r="AF149" s="38"/>
      <c r="AG149" s="38">
        <v>9</v>
      </c>
      <c r="AH149" s="38"/>
      <c r="AI149" s="501"/>
      <c r="AJ149" s="38"/>
      <c r="AK149" s="38"/>
      <c r="AL149" s="38"/>
      <c r="AM149" s="38">
        <f t="shared" ref="AM149:AM151" si="319">SUM(AF149:AL149)+AT149</f>
        <v>9</v>
      </c>
      <c r="AN149" s="84"/>
      <c r="AO149" s="38"/>
      <c r="AP149" s="38"/>
      <c r="AQ149" s="38"/>
      <c r="AR149" s="38">
        <f t="shared" ref="AR149:AR151" si="320">SUM(AN149:AQ149)</f>
        <v>0</v>
      </c>
      <c r="AS149" s="38"/>
      <c r="AT149" s="38"/>
      <c r="AU149" s="38"/>
      <c r="AV149" s="38"/>
      <c r="AW149" s="38"/>
      <c r="AX149" s="38"/>
      <c r="AY149" s="38"/>
      <c r="AZ149" s="38"/>
      <c r="BA149" s="38">
        <f t="shared" ref="BA149:BA151" si="321">+AR149+AS149+AU149+AV149+AX149</f>
        <v>0</v>
      </c>
      <c r="BB149" s="51"/>
      <c r="BC149" s="52">
        <v>8</v>
      </c>
      <c r="BD149" s="52"/>
      <c r="BE149" s="51"/>
      <c r="BF149" s="52"/>
    </row>
    <row r="150" spans="1:58" ht="12.95" customHeight="1">
      <c r="A150" s="41"/>
      <c r="B150" s="42"/>
      <c r="C150" s="443"/>
      <c r="D150" s="42"/>
      <c r="E150" s="43"/>
      <c r="F150" s="43"/>
      <c r="G150" s="44"/>
      <c r="H150" s="45"/>
      <c r="I150" s="46"/>
      <c r="J150" s="83"/>
      <c r="K150" s="83"/>
      <c r="L150" s="36"/>
      <c r="M150" s="36"/>
      <c r="N150" s="47"/>
      <c r="O150" s="48"/>
      <c r="P150" s="49"/>
      <c r="Q150" s="48"/>
      <c r="R150" s="499"/>
      <c r="S150" s="499"/>
      <c r="T150" s="38"/>
      <c r="U150" s="38"/>
      <c r="V150" s="38"/>
      <c r="W150" s="38"/>
      <c r="X150" s="39"/>
      <c r="Y150" s="212"/>
      <c r="Z150" s="38"/>
      <c r="AA150" s="38"/>
      <c r="AB150" s="38"/>
      <c r="AC150" s="38"/>
      <c r="AD150" s="38">
        <f t="shared" si="318"/>
        <v>25</v>
      </c>
      <c r="AE150" s="231" t="s">
        <v>513</v>
      </c>
      <c r="AF150" s="34"/>
      <c r="AG150" s="34"/>
      <c r="AH150" s="34">
        <v>25</v>
      </c>
      <c r="AJ150" s="38"/>
      <c r="AK150" s="38"/>
      <c r="AL150" s="38"/>
      <c r="AM150" s="38">
        <f t="shared" si="319"/>
        <v>25</v>
      </c>
      <c r="AN150" s="38"/>
      <c r="AO150" s="38"/>
      <c r="AP150" s="38"/>
      <c r="AQ150" s="38"/>
      <c r="AR150" s="38">
        <f t="shared" si="320"/>
        <v>0</v>
      </c>
      <c r="AS150" s="38"/>
      <c r="AT150" s="38"/>
      <c r="AU150" s="38"/>
      <c r="AV150" s="38"/>
      <c r="AW150" s="38"/>
      <c r="AX150" s="38"/>
      <c r="AY150" s="38"/>
      <c r="AZ150" s="38"/>
      <c r="BA150" s="38">
        <f t="shared" si="321"/>
        <v>0</v>
      </c>
      <c r="BB150" s="34"/>
      <c r="BC150" s="502"/>
      <c r="BD150" s="502"/>
      <c r="BE150" s="34"/>
      <c r="BF150" s="502"/>
    </row>
    <row r="151" spans="1:58" ht="12.95" customHeight="1">
      <c r="A151" s="41"/>
      <c r="B151" s="42"/>
      <c r="C151" s="443"/>
      <c r="D151" s="42"/>
      <c r="E151" s="43"/>
      <c r="F151" s="43"/>
      <c r="G151" s="44"/>
      <c r="H151" s="45"/>
      <c r="I151" s="46"/>
      <c r="J151" s="83"/>
      <c r="K151" s="83"/>
      <c r="L151" s="36"/>
      <c r="M151" s="36"/>
      <c r="N151" s="47"/>
      <c r="O151" s="48"/>
      <c r="P151" s="49"/>
      <c r="Q151" s="35"/>
      <c r="R151" s="499"/>
      <c r="S151" s="499"/>
      <c r="T151" s="38"/>
      <c r="U151" s="38"/>
      <c r="V151" s="38"/>
      <c r="W151" s="38"/>
      <c r="X151" s="39"/>
      <c r="Y151" s="212"/>
      <c r="Z151" s="38"/>
      <c r="AA151" s="38"/>
      <c r="AB151" s="38"/>
      <c r="AC151" s="38"/>
      <c r="AD151" s="38">
        <f t="shared" si="318"/>
        <v>8</v>
      </c>
      <c r="AE151" s="234" t="s">
        <v>228</v>
      </c>
      <c r="AF151" s="38"/>
      <c r="AG151" s="38"/>
      <c r="AH151" s="38"/>
      <c r="AI151" s="501">
        <v>8</v>
      </c>
      <c r="AJ151" s="38"/>
      <c r="AK151" s="38"/>
      <c r="AL151" s="38"/>
      <c r="AM151" s="38">
        <f t="shared" si="319"/>
        <v>8</v>
      </c>
      <c r="AN151" s="38"/>
      <c r="AO151" s="38"/>
      <c r="AP151" s="38"/>
      <c r="AQ151" s="38"/>
      <c r="AR151" s="38">
        <f t="shared" si="320"/>
        <v>0</v>
      </c>
      <c r="AS151" s="38"/>
      <c r="AT151" s="38"/>
      <c r="AU151" s="38"/>
      <c r="AV151" s="38"/>
      <c r="AW151" s="38"/>
      <c r="AX151" s="38"/>
      <c r="AY151" s="38"/>
      <c r="AZ151" s="38"/>
      <c r="BA151" s="38">
        <f t="shared" si="321"/>
        <v>0</v>
      </c>
      <c r="BB151" s="51"/>
      <c r="BC151" s="52"/>
      <c r="BD151" s="52"/>
      <c r="BE151" s="51"/>
      <c r="BF151" s="52"/>
    </row>
    <row r="152" spans="1:58" ht="12.95" customHeight="1">
      <c r="A152" s="41"/>
      <c r="B152" s="42"/>
      <c r="C152" s="443"/>
      <c r="D152" s="42"/>
      <c r="E152" s="43"/>
      <c r="F152" s="43"/>
      <c r="G152" s="498"/>
      <c r="H152" s="45"/>
      <c r="I152" s="46"/>
      <c r="J152" s="83"/>
      <c r="K152" s="83"/>
      <c r="L152" s="36"/>
      <c r="M152" s="36"/>
      <c r="N152" s="47"/>
      <c r="O152" s="48"/>
      <c r="P152" s="49"/>
      <c r="Q152" s="48"/>
      <c r="R152" s="499"/>
      <c r="S152" s="499"/>
      <c r="T152" s="38"/>
      <c r="U152" s="38"/>
      <c r="V152" s="38"/>
      <c r="W152" s="38"/>
      <c r="X152" s="39"/>
      <c r="Y152" s="212"/>
      <c r="Z152" s="38"/>
      <c r="AA152" s="38"/>
      <c r="AB152" s="38"/>
      <c r="AC152" s="38"/>
      <c r="AD152" s="38"/>
      <c r="AE152" s="231"/>
      <c r="AF152" s="34"/>
      <c r="AG152" s="34"/>
      <c r="AH152" s="34"/>
      <c r="AJ152" s="38"/>
      <c r="AK152" s="38"/>
      <c r="AL152" s="38"/>
      <c r="AM152" s="38"/>
      <c r="AN152" s="38"/>
      <c r="AO152" s="38"/>
      <c r="AP152" s="38"/>
      <c r="AQ152" s="38"/>
      <c r="AR152" s="38"/>
      <c r="AS152" s="38"/>
      <c r="AT152" s="38"/>
      <c r="AU152" s="38"/>
      <c r="AV152" s="38"/>
      <c r="AW152" s="38"/>
      <c r="AX152" s="38"/>
      <c r="AY152" s="38"/>
      <c r="AZ152" s="38"/>
      <c r="BA152" s="38"/>
      <c r="BB152" s="34"/>
      <c r="BC152" s="502"/>
      <c r="BD152" s="502"/>
      <c r="BE152" s="34"/>
      <c r="BF152" s="502"/>
    </row>
    <row r="153" spans="1:58" ht="12" customHeight="1">
      <c r="A153" s="41">
        <v>45990</v>
      </c>
      <c r="B153" s="42" t="s">
        <v>431</v>
      </c>
      <c r="C153" s="443">
        <f t="shared" ref="C153" si="322">(M153*E153*O153*Q153)/100000000</f>
        <v>53.180375040000001</v>
      </c>
      <c r="D153" s="42" t="s">
        <v>434</v>
      </c>
      <c r="E153" s="43">
        <v>13.5</v>
      </c>
      <c r="F153" s="43">
        <v>1</v>
      </c>
      <c r="G153" s="498">
        <v>1325</v>
      </c>
      <c r="H153" s="45">
        <f t="shared" ref="H153" si="323">+N153</f>
        <v>0.21999999999999997</v>
      </c>
      <c r="I153" s="46">
        <v>0.88</v>
      </c>
      <c r="J153" s="83">
        <f t="shared" ref="J153" si="324">E153*G153*(1-H153)*1440/1000000*2.74</f>
        <v>55.049997600000005</v>
      </c>
      <c r="K153" s="83">
        <f>(IF(G153&lt;L153,L153,G153)*(1-IF(H153&lt;N153,H153,N153))*E153*O153*Q153)/100000000</f>
        <v>55.049997599999998</v>
      </c>
      <c r="L153" s="36">
        <v>1280</v>
      </c>
      <c r="M153" s="36">
        <v>998.4</v>
      </c>
      <c r="N153" s="47">
        <f t="shared" ref="N153" si="325">1-(M153/L153)</f>
        <v>0.21999999999999997</v>
      </c>
      <c r="O153" s="48">
        <f>+'Trim Rwd'!H90</f>
        <v>274</v>
      </c>
      <c r="P153" s="49">
        <f t="shared" ref="P153" si="326">O153*(Q153-R153-S153)</f>
        <v>378942</v>
      </c>
      <c r="Q153" s="48">
        <v>1440</v>
      </c>
      <c r="R153" s="499">
        <v>0</v>
      </c>
      <c r="S153" s="499">
        <v>57</v>
      </c>
      <c r="T153" s="38">
        <f t="shared" ref="T153" si="327">E153*M153*O153*Q153/100000000</f>
        <v>53.180375040000001</v>
      </c>
      <c r="U153" s="38">
        <f t="shared" ref="U153" si="328">E153*M153*O153*(Q153-R153-S153)/100000000</f>
        <v>51.075318528000004</v>
      </c>
      <c r="V153" s="38">
        <f t="shared" ref="V153" si="329">E153*G153*(1-N153)*O153/100*(R153+S153)/1000000</f>
        <v>2.1790624050000003</v>
      </c>
      <c r="W153" s="38">
        <f>+'29'!K7/1000</f>
        <v>50.954999999999998</v>
      </c>
      <c r="X153" s="500">
        <f>SUM(W153:W156)/SUM(K153:K156)</f>
        <v>0.92561311937277901</v>
      </c>
      <c r="Y153" s="212">
        <f>+SUM(RBP!AG19:AG20)</f>
        <v>0</v>
      </c>
      <c r="Z153" s="38">
        <v>0</v>
      </c>
      <c r="AA153" s="50">
        <f>SUM(U153:U156)-SUM(W153:W156)-SUM(Z153:Z156)-SUM(Y153:Y156)</f>
        <v>0.12031852800000564</v>
      </c>
      <c r="AB153" s="50">
        <f>(SUM(K153:K156)-SUM(W153:W156)-SUM(Y153:Y156)-SUM(Z153:Z156)-SUM(AC153:AC156)-SUM(V153:V156))-AA153</f>
        <v>-7.4005893000002931E-2</v>
      </c>
      <c r="AC153" s="38">
        <f>K153-T153</f>
        <v>1.8696225599999963</v>
      </c>
      <c r="AD153" s="38">
        <f>+AM153+BA153</f>
        <v>0</v>
      </c>
      <c r="AE153" s="231" t="s">
        <v>390</v>
      </c>
      <c r="AF153" s="38">
        <v>0</v>
      </c>
      <c r="AG153" s="38"/>
      <c r="AH153" s="38"/>
      <c r="AI153" s="501"/>
      <c r="AJ153" s="38"/>
      <c r="AK153" s="38"/>
      <c r="AL153" s="38"/>
      <c r="AM153" s="38">
        <f>SUM(AF153:AL153)+AT153</f>
        <v>0</v>
      </c>
      <c r="AN153" s="38"/>
      <c r="AO153" s="38"/>
      <c r="AP153" s="38"/>
      <c r="AQ153" s="38"/>
      <c r="AR153" s="38">
        <f>SUM(AN153:AQ153)</f>
        <v>0</v>
      </c>
      <c r="AS153" s="38"/>
      <c r="AT153" s="38"/>
      <c r="AU153" s="38"/>
      <c r="AV153" s="38"/>
      <c r="AW153" s="38"/>
      <c r="AX153" s="38"/>
      <c r="AY153" s="38"/>
      <c r="AZ153" s="38"/>
      <c r="BA153" s="38">
        <f>+AR153+AS153+AU153+AV153+AX153</f>
        <v>0</v>
      </c>
      <c r="BB153" s="34">
        <v>0</v>
      </c>
      <c r="BC153" s="52"/>
      <c r="BD153" s="52"/>
      <c r="BE153" s="34"/>
      <c r="BF153" s="52"/>
    </row>
    <row r="154" spans="1:58" ht="12.95" customHeight="1">
      <c r="A154" s="41"/>
      <c r="B154" s="42"/>
      <c r="C154" s="443"/>
      <c r="D154" s="42"/>
      <c r="E154" s="43"/>
      <c r="F154" s="43"/>
      <c r="G154" s="44"/>
      <c r="H154" s="45"/>
      <c r="I154" s="46"/>
      <c r="J154" s="83"/>
      <c r="K154" s="83"/>
      <c r="L154" s="36"/>
      <c r="M154" s="36"/>
      <c r="N154" s="47"/>
      <c r="O154" s="48"/>
      <c r="P154" s="49"/>
      <c r="Q154" s="48"/>
      <c r="R154" s="499"/>
      <c r="S154" s="499"/>
      <c r="T154" s="38"/>
      <c r="U154" s="38"/>
      <c r="V154" s="38"/>
      <c r="W154" s="38"/>
      <c r="X154" s="39"/>
      <c r="Y154" s="212"/>
      <c r="Z154" s="38">
        <f>+'21'!D59/1000</f>
        <v>0</v>
      </c>
      <c r="AA154" s="38"/>
      <c r="AB154" s="38"/>
      <c r="AC154" s="38">
        <f>K154-T154</f>
        <v>0</v>
      </c>
      <c r="AD154" s="38">
        <f t="shared" ref="AD154:AD156" si="330">+AM154+BA154</f>
        <v>12</v>
      </c>
      <c r="AE154" s="231" t="s">
        <v>570</v>
      </c>
      <c r="AF154" s="38"/>
      <c r="AG154" s="38">
        <v>12</v>
      </c>
      <c r="AH154" s="38"/>
      <c r="AI154" s="501"/>
      <c r="AJ154" s="38"/>
      <c r="AK154" s="38"/>
      <c r="AL154" s="38"/>
      <c r="AM154" s="38">
        <f t="shared" ref="AM154:AM156" si="331">SUM(AF154:AL154)+AT154</f>
        <v>12</v>
      </c>
      <c r="AN154" s="84"/>
      <c r="AO154" s="38"/>
      <c r="AP154" s="38"/>
      <c r="AQ154" s="38"/>
      <c r="AR154" s="38">
        <f t="shared" ref="AR154:AR156" si="332">SUM(AN154:AQ154)</f>
        <v>0</v>
      </c>
      <c r="AS154" s="38"/>
      <c r="AT154" s="38"/>
      <c r="AU154" s="38"/>
      <c r="AV154" s="38"/>
      <c r="AW154" s="38"/>
      <c r="AX154" s="38"/>
      <c r="AY154" s="38"/>
      <c r="AZ154" s="38"/>
      <c r="BA154" s="38">
        <f t="shared" ref="BA154:BA156" si="333">+AR154+AS154+AU154+AV154+AX154</f>
        <v>0</v>
      </c>
      <c r="BB154" s="51"/>
      <c r="BC154" s="52">
        <v>9</v>
      </c>
      <c r="BD154" s="52"/>
      <c r="BE154" s="51"/>
      <c r="BF154" s="52"/>
    </row>
    <row r="155" spans="1:58" ht="12.95" customHeight="1">
      <c r="A155" s="41"/>
      <c r="B155" s="42"/>
      <c r="C155" s="443"/>
      <c r="D155" s="42"/>
      <c r="E155" s="43"/>
      <c r="F155" s="43"/>
      <c r="G155" s="44"/>
      <c r="H155" s="45"/>
      <c r="I155" s="46"/>
      <c r="J155" s="83"/>
      <c r="K155" s="83"/>
      <c r="L155" s="36"/>
      <c r="M155" s="36"/>
      <c r="N155" s="47"/>
      <c r="O155" s="48"/>
      <c r="P155" s="49"/>
      <c r="Q155" s="48"/>
      <c r="R155" s="499"/>
      <c r="S155" s="499"/>
      <c r="T155" s="38"/>
      <c r="U155" s="38"/>
      <c r="V155" s="38"/>
      <c r="W155" s="38"/>
      <c r="X155" s="39"/>
      <c r="Y155" s="212"/>
      <c r="Z155" s="38"/>
      <c r="AA155" s="38"/>
      <c r="AB155" s="38"/>
      <c r="AC155" s="38"/>
      <c r="AD155" s="38">
        <f t="shared" si="330"/>
        <v>17</v>
      </c>
      <c r="AE155" s="231" t="s">
        <v>513</v>
      </c>
      <c r="AF155" s="34"/>
      <c r="AG155" s="34"/>
      <c r="AH155" s="34">
        <v>17</v>
      </c>
      <c r="AJ155" s="38"/>
      <c r="AK155" s="38"/>
      <c r="AL155" s="38"/>
      <c r="AM155" s="38">
        <f t="shared" si="331"/>
        <v>17</v>
      </c>
      <c r="AN155" s="38"/>
      <c r="AO155" s="38"/>
      <c r="AP155" s="38"/>
      <c r="AQ155" s="38"/>
      <c r="AR155" s="38">
        <f t="shared" si="332"/>
        <v>0</v>
      </c>
      <c r="AS155" s="38"/>
      <c r="AT155" s="38"/>
      <c r="AU155" s="38"/>
      <c r="AV155" s="38"/>
      <c r="AW155" s="38"/>
      <c r="AX155" s="38"/>
      <c r="AY155" s="38"/>
      <c r="AZ155" s="38"/>
      <c r="BA155" s="38">
        <f t="shared" si="333"/>
        <v>0</v>
      </c>
      <c r="BB155" s="34"/>
      <c r="BC155" s="502"/>
      <c r="BD155" s="502"/>
      <c r="BE155" s="34"/>
      <c r="BF155" s="502"/>
    </row>
    <row r="156" spans="1:58" ht="12.95" customHeight="1">
      <c r="A156" s="41"/>
      <c r="B156" s="42"/>
      <c r="C156" s="443"/>
      <c r="D156" s="42"/>
      <c r="E156" s="43"/>
      <c r="F156" s="43"/>
      <c r="G156" s="44"/>
      <c r="H156" s="45"/>
      <c r="I156" s="46"/>
      <c r="J156" s="83"/>
      <c r="K156" s="83"/>
      <c r="L156" s="36"/>
      <c r="M156" s="36"/>
      <c r="N156" s="47"/>
      <c r="O156" s="48"/>
      <c r="P156" s="49"/>
      <c r="Q156" s="35"/>
      <c r="R156" s="499"/>
      <c r="S156" s="499"/>
      <c r="T156" s="38"/>
      <c r="U156" s="38"/>
      <c r="V156" s="38"/>
      <c r="W156" s="38"/>
      <c r="X156" s="39"/>
      <c r="Y156" s="212"/>
      <c r="Z156" s="38"/>
      <c r="AA156" s="38"/>
      <c r="AB156" s="38"/>
      <c r="AC156" s="38"/>
      <c r="AD156" s="38">
        <f t="shared" si="330"/>
        <v>28</v>
      </c>
      <c r="AE156" s="234" t="s">
        <v>228</v>
      </c>
      <c r="AF156" s="38"/>
      <c r="AG156" s="38"/>
      <c r="AH156" s="38"/>
      <c r="AI156" s="501">
        <v>28</v>
      </c>
      <c r="AJ156" s="38"/>
      <c r="AK156" s="38"/>
      <c r="AL156" s="38"/>
      <c r="AM156" s="38">
        <f t="shared" si="331"/>
        <v>28</v>
      </c>
      <c r="AN156" s="38"/>
      <c r="AO156" s="38"/>
      <c r="AP156" s="38"/>
      <c r="AQ156" s="38"/>
      <c r="AR156" s="38">
        <f t="shared" si="332"/>
        <v>0</v>
      </c>
      <c r="AS156" s="38"/>
      <c r="AT156" s="38"/>
      <c r="AU156" s="38"/>
      <c r="AV156" s="38"/>
      <c r="AW156" s="38"/>
      <c r="AX156" s="38"/>
      <c r="AY156" s="38"/>
      <c r="AZ156" s="38"/>
      <c r="BA156" s="38">
        <f t="shared" si="333"/>
        <v>0</v>
      </c>
      <c r="BB156" s="51"/>
      <c r="BC156" s="52"/>
      <c r="BD156" s="52"/>
      <c r="BE156" s="51"/>
      <c r="BF156" s="52"/>
    </row>
    <row r="157" spans="1:58" ht="12.95" customHeight="1">
      <c r="A157" s="41"/>
      <c r="B157" s="42"/>
      <c r="C157" s="443"/>
      <c r="D157" s="42"/>
      <c r="E157" s="43"/>
      <c r="F157" s="43"/>
      <c r="G157" s="498"/>
      <c r="H157" s="45"/>
      <c r="I157" s="46"/>
      <c r="J157" s="83"/>
      <c r="K157" s="83"/>
      <c r="L157" s="36"/>
      <c r="M157" s="36"/>
      <c r="N157" s="47"/>
      <c r="O157" s="48"/>
      <c r="P157" s="49"/>
      <c r="Q157" s="48"/>
      <c r="R157" s="499"/>
      <c r="S157" s="499"/>
      <c r="T157" s="38"/>
      <c r="U157" s="38"/>
      <c r="V157" s="38"/>
      <c r="W157" s="38"/>
      <c r="X157" s="39"/>
      <c r="Y157" s="212"/>
      <c r="Z157" s="38"/>
      <c r="AA157" s="38"/>
      <c r="AB157" s="38"/>
      <c r="AC157" s="38"/>
      <c r="AD157" s="38"/>
      <c r="AE157" s="231"/>
      <c r="AF157" s="34"/>
      <c r="AG157" s="34"/>
      <c r="AH157" s="34"/>
      <c r="AJ157" s="38"/>
      <c r="AK157" s="38"/>
      <c r="AL157" s="38"/>
      <c r="AM157" s="38"/>
      <c r="AN157" s="38"/>
      <c r="AO157" s="38"/>
      <c r="AP157" s="38"/>
      <c r="AQ157" s="38"/>
      <c r="AR157" s="38"/>
      <c r="AS157" s="38"/>
      <c r="AT157" s="38"/>
      <c r="AU157" s="38"/>
      <c r="AV157" s="38"/>
      <c r="AW157" s="38"/>
      <c r="AX157" s="38"/>
      <c r="AY157" s="38"/>
      <c r="AZ157" s="38"/>
      <c r="BA157" s="38"/>
      <c r="BB157" s="34"/>
      <c r="BC157" s="502"/>
      <c r="BD157" s="502"/>
      <c r="BE157" s="34"/>
      <c r="BF157" s="502"/>
    </row>
    <row r="158" spans="1:58" ht="12" customHeight="1">
      <c r="A158" s="41">
        <v>45991</v>
      </c>
      <c r="B158" s="42" t="s">
        <v>431</v>
      </c>
      <c r="C158" s="443">
        <f t="shared" ref="C158:C159" si="334">(M158*E158*O158*Q158)/100000000</f>
        <v>50.895280800000002</v>
      </c>
      <c r="D158" s="42" t="s">
        <v>434</v>
      </c>
      <c r="E158" s="43">
        <v>13.5</v>
      </c>
      <c r="F158" s="43">
        <v>1</v>
      </c>
      <c r="G158" s="498">
        <v>1325</v>
      </c>
      <c r="H158" s="45">
        <f t="shared" ref="H158:H159" si="335">+N158</f>
        <v>0.21999999999999997</v>
      </c>
      <c r="I158" s="46">
        <v>0.88</v>
      </c>
      <c r="J158" s="83">
        <f t="shared" ref="J158:J159" si="336">E158*G158*(1-H158)*1440/1000000*2.74</f>
        <v>55.049997600000005</v>
      </c>
      <c r="K158" s="83">
        <f>(IF(G158&lt;L158,L158,G158)*(1-IF(H158&lt;N158,H158,N158))*E158*O158*Q158)/100000000</f>
        <v>52.947393525000003</v>
      </c>
      <c r="L158" s="36">
        <v>1273.6462093862815</v>
      </c>
      <c r="M158" s="36">
        <v>993.44404332129966</v>
      </c>
      <c r="N158" s="47">
        <f t="shared" ref="N158:N159" si="337">1-(M158/L158)</f>
        <v>0.21999999999999997</v>
      </c>
      <c r="O158" s="48">
        <f>+'Trim Rwd'!H92</f>
        <v>274</v>
      </c>
      <c r="P158" s="49">
        <f t="shared" ref="P158:P159" si="338">O158*(Q158-R158-S158)</f>
        <v>367160</v>
      </c>
      <c r="Q158" s="48">
        <v>1385</v>
      </c>
      <c r="R158" s="499">
        <v>0</v>
      </c>
      <c r="S158" s="499">
        <v>45</v>
      </c>
      <c r="T158" s="38">
        <f t="shared" ref="T158:T159" si="339">E158*M158*O158*Q158/100000000</f>
        <v>50.895280800000002</v>
      </c>
      <c r="U158" s="38">
        <f t="shared" ref="U158:U159" si="340">E158*M158*O158*(Q158-R158-S158)/100000000</f>
        <v>49.241643517689525</v>
      </c>
      <c r="V158" s="38">
        <f t="shared" ref="V158:V159" si="341">E158*G158*(1-N158)*O158/100*(R158+S158)/1000000</f>
        <v>1.7203124250000001</v>
      </c>
      <c r="W158" s="38">
        <f>+'30'!K7/1000</f>
        <v>38.478999999999999</v>
      </c>
      <c r="X158" s="500">
        <f>SUM(W158:W161)/SUM(K158:K161)</f>
        <v>0.90387639014321897</v>
      </c>
      <c r="Y158" s="212">
        <f>+SUM(RBP!AG3:AG4)</f>
        <v>3.2389999999999999</v>
      </c>
      <c r="Z158" s="38">
        <v>0</v>
      </c>
      <c r="AA158" s="50">
        <f>SUM(U158:U161)-SUM(W158:W161)-SUM(Z158:Z161)-SUM(Y158:Y161)</f>
        <v>-1.8739848823104763</v>
      </c>
      <c r="AB158" s="50">
        <f>(SUM(K158:K161)-SUM(W158:W161)-SUM(Y158:Y161)-SUM(Z158:Z161)-SUM(AC158:AC161)-SUM(V158:V161))-AA158</f>
        <v>-6.9634462689522891E-2</v>
      </c>
      <c r="AC158" s="38">
        <f>K158-T158</f>
        <v>2.0521127250000006</v>
      </c>
      <c r="AD158" s="38">
        <f>+AM158+BA158</f>
        <v>0</v>
      </c>
      <c r="AE158" s="231" t="s">
        <v>390</v>
      </c>
      <c r="AF158" s="38">
        <v>0</v>
      </c>
      <c r="AG158" s="38"/>
      <c r="AH158" s="38"/>
      <c r="AI158" s="501"/>
      <c r="AJ158" s="38"/>
      <c r="AK158" s="38"/>
      <c r="AL158" s="38"/>
      <c r="AM158" s="38">
        <f>SUM(AF158:AL158)+AT158</f>
        <v>0</v>
      </c>
      <c r="AN158" s="38"/>
      <c r="AO158" s="38"/>
      <c r="AP158" s="38"/>
      <c r="AQ158" s="38"/>
      <c r="AR158" s="38">
        <f>SUM(AN158:AQ158)</f>
        <v>0</v>
      </c>
      <c r="AS158" s="38"/>
      <c r="AT158" s="38"/>
      <c r="AU158" s="38"/>
      <c r="AV158" s="38"/>
      <c r="AW158" s="38"/>
      <c r="AX158" s="38"/>
      <c r="AY158" s="38"/>
      <c r="AZ158" s="38"/>
      <c r="BA158" s="38">
        <f>+AR158+AS158+AU158+AV158+AX158</f>
        <v>0</v>
      </c>
      <c r="BB158" s="34">
        <v>0</v>
      </c>
      <c r="BC158" s="52"/>
      <c r="BD158" s="52"/>
      <c r="BE158" s="34"/>
      <c r="BF158" s="52"/>
    </row>
    <row r="159" spans="1:58" ht="12.95" customHeight="1">
      <c r="A159" s="41"/>
      <c r="B159" s="42" t="s">
        <v>431</v>
      </c>
      <c r="C159" s="443">
        <f t="shared" si="334"/>
        <v>2.0508087599999998</v>
      </c>
      <c r="D159" s="42" t="s">
        <v>434</v>
      </c>
      <c r="E159" s="43">
        <v>14</v>
      </c>
      <c r="F159" s="43">
        <v>1</v>
      </c>
      <c r="G159" s="498">
        <v>1280</v>
      </c>
      <c r="H159" s="45">
        <f t="shared" si="335"/>
        <v>0.22000000000000008</v>
      </c>
      <c r="I159" s="46">
        <v>0.88</v>
      </c>
      <c r="J159" s="83">
        <f t="shared" si="336"/>
        <v>55.150018559999992</v>
      </c>
      <c r="K159" s="83">
        <f>(IF(G159&lt;L159,L159,G159)*(1-IF(H159&lt;N159,H159,N159))*E159*O159*Q159)/100000000</f>
        <v>2.0833612799999996</v>
      </c>
      <c r="L159" s="36">
        <v>1260</v>
      </c>
      <c r="M159" s="36">
        <v>982.8</v>
      </c>
      <c r="N159" s="47">
        <f t="shared" si="337"/>
        <v>0.22000000000000008</v>
      </c>
      <c r="O159" s="48">
        <f>+'Trim Rwd'!H93</f>
        <v>271</v>
      </c>
      <c r="P159" s="49">
        <f t="shared" si="338"/>
        <v>13550</v>
      </c>
      <c r="Q159" s="48">
        <v>55</v>
      </c>
      <c r="R159" s="499">
        <v>0</v>
      </c>
      <c r="S159" s="499">
        <v>5</v>
      </c>
      <c r="T159" s="38">
        <f t="shared" si="339"/>
        <v>2.0508087599999998</v>
      </c>
      <c r="U159" s="38">
        <f t="shared" si="340"/>
        <v>1.8643715999999999</v>
      </c>
      <c r="V159" s="38">
        <f t="shared" si="341"/>
        <v>0.18939647999999998</v>
      </c>
      <c r="W159" s="38">
        <f>+'30'!K8/1000</f>
        <v>11.262</v>
      </c>
      <c r="X159" s="39"/>
      <c r="Y159" s="212"/>
      <c r="Z159" s="38">
        <f>+'21'!D64/1000</f>
        <v>0</v>
      </c>
      <c r="AA159" s="38"/>
      <c r="AB159" s="38"/>
      <c r="AC159" s="38">
        <f>K159-T159</f>
        <v>3.2552519999999863E-2</v>
      </c>
      <c r="AD159" s="38">
        <f t="shared" ref="AD159:AD161" si="342">+AM159+BA159</f>
        <v>10</v>
      </c>
      <c r="AE159" s="231" t="s">
        <v>723</v>
      </c>
      <c r="AF159" s="38"/>
      <c r="AG159" s="38">
        <v>10</v>
      </c>
      <c r="AH159" s="38"/>
      <c r="AI159" s="501"/>
      <c r="AJ159" s="38"/>
      <c r="AK159" s="38"/>
      <c r="AL159" s="38"/>
      <c r="AM159" s="38">
        <f t="shared" ref="AM159:AM161" si="343">SUM(AF159:AL159)+AT159</f>
        <v>10</v>
      </c>
      <c r="AN159" s="84"/>
      <c r="AO159" s="38"/>
      <c r="AP159" s="38"/>
      <c r="AQ159" s="38"/>
      <c r="AR159" s="38">
        <f t="shared" ref="AR159:AR161" si="344">SUM(AN159:AQ159)</f>
        <v>0</v>
      </c>
      <c r="AS159" s="38"/>
      <c r="AT159" s="38"/>
      <c r="AU159" s="38"/>
      <c r="AV159" s="38"/>
      <c r="AW159" s="38"/>
      <c r="AX159" s="38"/>
      <c r="AY159" s="38"/>
      <c r="AZ159" s="38"/>
      <c r="BA159" s="38">
        <f t="shared" ref="BA159:BA161" si="345">+AR159+AS159+AU159+AV159+AX159</f>
        <v>0</v>
      </c>
      <c r="BB159" s="51"/>
      <c r="BC159" s="52">
        <v>12</v>
      </c>
      <c r="BD159" s="52"/>
      <c r="BE159" s="51"/>
      <c r="BF159" s="52"/>
    </row>
    <row r="160" spans="1:58" ht="12.95" customHeight="1">
      <c r="A160" s="41"/>
      <c r="B160" s="42"/>
      <c r="C160" s="443"/>
      <c r="D160" s="42"/>
      <c r="E160" s="43"/>
      <c r="F160" s="43"/>
      <c r="G160" s="44"/>
      <c r="H160" s="45"/>
      <c r="I160" s="46"/>
      <c r="J160" s="83"/>
      <c r="K160" s="83"/>
      <c r="L160" s="36"/>
      <c r="M160" s="36"/>
      <c r="N160" s="47"/>
      <c r="O160" s="48"/>
      <c r="P160" s="49"/>
      <c r="Q160" s="48"/>
      <c r="R160" s="499"/>
      <c r="S160" s="499"/>
      <c r="T160" s="38"/>
      <c r="U160" s="38"/>
      <c r="V160" s="38"/>
      <c r="W160" s="38"/>
      <c r="X160" s="39"/>
      <c r="Y160" s="212"/>
      <c r="Z160" s="38"/>
      <c r="AA160" s="38"/>
      <c r="AB160" s="38"/>
      <c r="AC160" s="38"/>
      <c r="AD160" s="38">
        <f t="shared" si="342"/>
        <v>22</v>
      </c>
      <c r="AE160" s="231" t="s">
        <v>607</v>
      </c>
      <c r="AF160" s="34"/>
      <c r="AG160" s="34"/>
      <c r="AH160" s="34">
        <v>22</v>
      </c>
      <c r="AJ160" s="38"/>
      <c r="AK160" s="38"/>
      <c r="AL160" s="38"/>
      <c r="AM160" s="38">
        <f t="shared" si="343"/>
        <v>22</v>
      </c>
      <c r="AN160" s="38"/>
      <c r="AO160" s="38"/>
      <c r="AP160" s="38"/>
      <c r="AQ160" s="38"/>
      <c r="AR160" s="38">
        <f t="shared" si="344"/>
        <v>0</v>
      </c>
      <c r="AS160" s="38"/>
      <c r="AT160" s="38"/>
      <c r="AU160" s="38"/>
      <c r="AV160" s="38"/>
      <c r="AW160" s="38"/>
      <c r="AX160" s="38"/>
      <c r="AY160" s="38"/>
      <c r="AZ160" s="38"/>
      <c r="BA160" s="38">
        <f t="shared" si="345"/>
        <v>0</v>
      </c>
      <c r="BB160" s="34"/>
      <c r="BC160" s="502"/>
      <c r="BD160" s="502"/>
      <c r="BE160" s="34"/>
      <c r="BF160" s="502"/>
    </row>
    <row r="161" spans="1:97" ht="12.95" customHeight="1">
      <c r="A161" s="41"/>
      <c r="B161" s="42"/>
      <c r="C161" s="443"/>
      <c r="D161" s="42"/>
      <c r="E161" s="43"/>
      <c r="F161" s="43"/>
      <c r="G161" s="44"/>
      <c r="H161" s="45"/>
      <c r="I161" s="46"/>
      <c r="J161" s="83"/>
      <c r="K161" s="83"/>
      <c r="L161" s="36"/>
      <c r="M161" s="36"/>
      <c r="N161" s="47"/>
      <c r="O161" s="48"/>
      <c r="P161" s="49"/>
      <c r="Q161" s="35"/>
      <c r="R161" s="499"/>
      <c r="S161" s="499"/>
      <c r="T161" s="38"/>
      <c r="U161" s="38"/>
      <c r="V161" s="38"/>
      <c r="W161" s="38"/>
      <c r="X161" s="39"/>
      <c r="Y161" s="212"/>
      <c r="Z161" s="38"/>
      <c r="AA161" s="38"/>
      <c r="AB161" s="38"/>
      <c r="AC161" s="38"/>
      <c r="AD161" s="38">
        <f t="shared" si="342"/>
        <v>18</v>
      </c>
      <c r="AE161" s="234" t="s">
        <v>228</v>
      </c>
      <c r="AF161" s="38"/>
      <c r="AG161" s="38"/>
      <c r="AH161" s="38"/>
      <c r="AI161" s="501">
        <v>18</v>
      </c>
      <c r="AJ161" s="38"/>
      <c r="AK161" s="38"/>
      <c r="AL161" s="38"/>
      <c r="AM161" s="38">
        <f t="shared" si="343"/>
        <v>18</v>
      </c>
      <c r="AN161" s="38"/>
      <c r="AO161" s="38"/>
      <c r="AP161" s="38"/>
      <c r="AQ161" s="38"/>
      <c r="AR161" s="38">
        <f t="shared" si="344"/>
        <v>0</v>
      </c>
      <c r="AS161" s="38"/>
      <c r="AT161" s="38"/>
      <c r="AU161" s="38"/>
      <c r="AV161" s="38"/>
      <c r="AW161" s="38"/>
      <c r="AX161" s="38"/>
      <c r="AY161" s="38"/>
      <c r="AZ161" s="38"/>
      <c r="BA161" s="38">
        <f t="shared" si="345"/>
        <v>0</v>
      </c>
      <c r="BB161" s="51"/>
      <c r="BC161" s="52"/>
      <c r="BD161" s="52"/>
      <c r="BE161" s="51"/>
      <c r="BF161" s="52"/>
    </row>
    <row r="162" spans="1:97" ht="12.95" customHeight="1">
      <c r="A162" s="41"/>
      <c r="B162" s="558"/>
      <c r="C162" s="443"/>
      <c r="D162" s="42"/>
      <c r="E162" s="43"/>
      <c r="F162" s="43"/>
      <c r="G162" s="44"/>
      <c r="H162" s="45"/>
      <c r="I162" s="46"/>
      <c r="J162" s="83"/>
      <c r="K162" s="83"/>
      <c r="L162" s="36"/>
      <c r="M162" s="36"/>
      <c r="N162" s="47"/>
      <c r="O162" s="48"/>
      <c r="P162" s="49"/>
      <c r="Q162" s="35"/>
      <c r="R162" s="499"/>
      <c r="S162" s="499"/>
      <c r="T162" s="38"/>
      <c r="U162" s="38"/>
      <c r="V162" s="38"/>
      <c r="W162" s="38"/>
      <c r="X162" s="39"/>
      <c r="Y162" s="39"/>
      <c r="Z162" s="38"/>
      <c r="AA162" s="50"/>
      <c r="AB162" s="50"/>
      <c r="AC162" s="38"/>
      <c r="AD162" s="38"/>
      <c r="AE162" s="231"/>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4"/>
      <c r="BC162" s="52"/>
      <c r="BD162" s="502"/>
      <c r="BE162" s="34"/>
      <c r="BF162" s="502"/>
    </row>
    <row r="163" spans="1:97" ht="12.75" customHeight="1">
      <c r="R163" s="503"/>
      <c r="S163" s="503"/>
      <c r="AA163" s="248">
        <f>U163-W163-Z163</f>
        <v>0</v>
      </c>
      <c r="AB163" s="248"/>
      <c r="AC163" s="249">
        <f>K163-T163</f>
        <v>0</v>
      </c>
      <c r="AD163" s="38"/>
      <c r="AF163" s="53"/>
      <c r="AG163" s="53"/>
      <c r="AH163" s="53"/>
      <c r="AI163" s="53"/>
      <c r="AJ163" s="53"/>
      <c r="AK163" s="53"/>
      <c r="AL163" s="53"/>
      <c r="AM163" s="38">
        <f t="shared" ref="AM163" si="346">SUM(AF163:AL163)</f>
        <v>0</v>
      </c>
      <c r="AN163" s="53"/>
      <c r="AO163" s="53"/>
      <c r="AP163" s="53"/>
      <c r="AQ163" s="53"/>
      <c r="AR163" s="38">
        <f t="shared" ref="AR163" si="347">SUM(AN163:AQ163)</f>
        <v>0</v>
      </c>
      <c r="AS163" s="53"/>
      <c r="AT163" s="53"/>
      <c r="AU163" s="53"/>
      <c r="AV163" s="53"/>
      <c r="AW163" s="53"/>
      <c r="AX163" s="53"/>
      <c r="AY163" s="53"/>
      <c r="AZ163" s="53"/>
      <c r="BA163" s="38"/>
      <c r="BB163" s="64"/>
      <c r="BC163" s="64"/>
      <c r="BD163" s="502"/>
      <c r="BE163" s="34"/>
      <c r="BF163" s="502"/>
    </row>
    <row r="164" spans="1:97" ht="12.75" customHeight="1">
      <c r="A164" s="57"/>
      <c r="B164" s="58"/>
      <c r="C164" s="445">
        <f>SUM(C6:C162)</f>
        <v>1584.3519694527799</v>
      </c>
      <c r="D164" s="58"/>
      <c r="E164" s="59"/>
      <c r="F164" s="59"/>
      <c r="G164" s="60"/>
      <c r="H164" s="60"/>
      <c r="I164" s="61">
        <v>0.85</v>
      </c>
      <c r="J164" s="83"/>
      <c r="K164" s="85">
        <f>SUM(K6:K162)</f>
        <v>1637.3880088063934</v>
      </c>
      <c r="L164" s="63"/>
      <c r="M164" s="63"/>
      <c r="N164" s="64"/>
      <c r="O164" s="65">
        <f>P164/(Q164-R164-S164)</f>
        <v>268.89839225849261</v>
      </c>
      <c r="P164" s="62">
        <f>SUM(P6:P162)</f>
        <v>10861612.758497292</v>
      </c>
      <c r="Q164" s="373">
        <f>SUM(Q6:Q163)</f>
        <v>43200</v>
      </c>
      <c r="R164" s="62">
        <f t="shared" ref="R164:W164" si="348">SUM(R6:R162)</f>
        <v>1376</v>
      </c>
      <c r="S164" s="62">
        <f t="shared" si="348"/>
        <v>1431</v>
      </c>
      <c r="T164" s="62">
        <f t="shared" si="348"/>
        <v>1584.3519694527799</v>
      </c>
      <c r="U164" s="62">
        <f t="shared" si="348"/>
        <v>1483.9851412016044</v>
      </c>
      <c r="V164" s="397">
        <f t="shared" si="348"/>
        <v>105.53951342152212</v>
      </c>
      <c r="W164" s="448">
        <f t="shared" si="348"/>
        <v>1468.2629999999999</v>
      </c>
      <c r="X164" s="504">
        <f>W164/K164</f>
        <v>0.89671048774219342</v>
      </c>
      <c r="Y164" s="398">
        <f>SUM(Y6:Y162)</f>
        <v>3.2389999999999999</v>
      </c>
      <c r="Z164" s="448">
        <f>SUM(Z6:Z162)</f>
        <v>3.992016282460769</v>
      </c>
      <c r="AA164" s="62">
        <f>SUM(AA6:AA162)</f>
        <v>8.4911249191432994</v>
      </c>
      <c r="AB164" s="62">
        <f>SUM(AB6:AB162)</f>
        <v>-5.1726851703462717</v>
      </c>
      <c r="AC164" s="62">
        <f>SUM(AC6:AC162)</f>
        <v>53.036039353612985</v>
      </c>
      <c r="AD164" s="38">
        <f>SUM(AD6:AD163)</f>
        <v>2807</v>
      </c>
      <c r="AE164" s="66"/>
      <c r="AF164" s="62">
        <f t="shared" ref="AF164:BF164" si="349">SUM(AF6:AF163)</f>
        <v>9</v>
      </c>
      <c r="AG164" s="62">
        <f t="shared" si="349"/>
        <v>326</v>
      </c>
      <c r="AH164" s="62">
        <f t="shared" si="349"/>
        <v>680</v>
      </c>
      <c r="AI164" s="62">
        <f t="shared" si="349"/>
        <v>383</v>
      </c>
      <c r="AJ164" s="62">
        <f t="shared" si="349"/>
        <v>0</v>
      </c>
      <c r="AK164" s="62">
        <f t="shared" si="349"/>
        <v>33</v>
      </c>
      <c r="AL164" s="62">
        <f t="shared" si="349"/>
        <v>0</v>
      </c>
      <c r="AM164" s="62">
        <f t="shared" si="349"/>
        <v>1431</v>
      </c>
      <c r="AN164" s="53">
        <f t="shared" si="349"/>
        <v>597</v>
      </c>
      <c r="AO164" s="53">
        <f t="shared" si="349"/>
        <v>0</v>
      </c>
      <c r="AP164" s="53">
        <f t="shared" si="349"/>
        <v>170</v>
      </c>
      <c r="AQ164" s="53">
        <f t="shared" si="349"/>
        <v>0</v>
      </c>
      <c r="AR164" s="62">
        <f t="shared" si="349"/>
        <v>767</v>
      </c>
      <c r="AS164" s="62">
        <f t="shared" si="349"/>
        <v>609</v>
      </c>
      <c r="AT164" s="62">
        <f t="shared" si="349"/>
        <v>0</v>
      </c>
      <c r="AU164" s="62">
        <f t="shared" si="349"/>
        <v>0</v>
      </c>
      <c r="AV164" s="62">
        <f t="shared" si="349"/>
        <v>0</v>
      </c>
      <c r="AW164" s="62">
        <f t="shared" si="349"/>
        <v>0</v>
      </c>
      <c r="AX164" s="62">
        <f t="shared" si="349"/>
        <v>0</v>
      </c>
      <c r="AY164" s="62">
        <f t="shared" si="349"/>
        <v>0</v>
      </c>
      <c r="AZ164" s="62">
        <f t="shared" si="349"/>
        <v>0</v>
      </c>
      <c r="BA164" s="62">
        <f t="shared" si="349"/>
        <v>1376</v>
      </c>
      <c r="BB164" s="53">
        <f t="shared" si="349"/>
        <v>3</v>
      </c>
      <c r="BC164" s="53">
        <f t="shared" si="349"/>
        <v>274</v>
      </c>
      <c r="BD164" s="53">
        <f t="shared" si="349"/>
        <v>0</v>
      </c>
      <c r="BE164" s="53">
        <f t="shared" si="349"/>
        <v>0</v>
      </c>
      <c r="BF164" s="53">
        <f t="shared" si="349"/>
        <v>12</v>
      </c>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row>
    <row r="165" spans="1:97" ht="12.75" customHeight="1">
      <c r="A165" s="57"/>
      <c r="B165" s="58"/>
      <c r="C165" s="58"/>
      <c r="D165" s="58"/>
      <c r="E165" s="59"/>
      <c r="F165" s="59"/>
      <c r="G165" s="60"/>
      <c r="H165" s="60"/>
      <c r="I165" s="60"/>
      <c r="J165" s="86"/>
      <c r="K165" s="86"/>
      <c r="L165" s="63"/>
      <c r="M165" s="63"/>
      <c r="N165" s="64"/>
      <c r="O165" s="683"/>
      <c r="P165" s="684"/>
      <c r="Q165" s="60">
        <f>30*1440-Q164</f>
        <v>0</v>
      </c>
      <c r="R165" s="67">
        <f>R164/Q164</f>
        <v>3.1851851851851853E-2</v>
      </c>
      <c r="S165" s="67">
        <f>S164/Q164</f>
        <v>3.3125000000000002E-2</v>
      </c>
      <c r="T165" s="384"/>
      <c r="U165" s="384"/>
      <c r="V165" s="386">
        <f>V164/K164</f>
        <v>6.4456019498064634E-2</v>
      </c>
      <c r="W165" s="402" t="s">
        <v>181</v>
      </c>
      <c r="X165" s="505">
        <v>0.85</v>
      </c>
      <c r="Y165" s="399">
        <f>Y164/K164</f>
        <v>1.9781505559950531E-3</v>
      </c>
      <c r="Z165" s="68">
        <f>Z164/K164</f>
        <v>2.4380392802380597E-3</v>
      </c>
      <c r="AA165" s="68">
        <f>AA164/K164</f>
        <v>5.1857744611999903E-3</v>
      </c>
      <c r="AB165" s="68">
        <f>AB164/K164</f>
        <v>-3.1591077634170557E-3</v>
      </c>
      <c r="AC165" s="506">
        <f>AC164/K164</f>
        <v>3.2390636225725543E-2</v>
      </c>
      <c r="AD165" s="387"/>
      <c r="AE165" s="40"/>
      <c r="AF165" s="68">
        <f>AF164/$AD$164*$V$165</f>
        <v>2.0666340416194574E-4</v>
      </c>
      <c r="AG165" s="68">
        <f>AG164/$AD$164*$V$165</f>
        <v>7.4858077507549232E-3</v>
      </c>
      <c r="AH165" s="68">
        <f>AH164/$AD$164*$V$165</f>
        <v>1.5614568314458122E-2</v>
      </c>
      <c r="AI165" s="68">
        <f>AI164/$AD$164*$V$165</f>
        <v>8.7946759771139124E-3</v>
      </c>
      <c r="AJ165" s="68">
        <f t="shared" ref="AJ165:BA165" si="350">AJ164/$AD$164*$V$165</f>
        <v>0</v>
      </c>
      <c r="AK165" s="68">
        <f t="shared" si="350"/>
        <v>7.5776581526046773E-4</v>
      </c>
      <c r="AL165" s="68">
        <f t="shared" si="350"/>
        <v>0</v>
      </c>
      <c r="AM165" s="68">
        <f t="shared" si="350"/>
        <v>3.2859481261749375E-2</v>
      </c>
      <c r="AN165" s="68">
        <f t="shared" si="350"/>
        <v>1.3708672476075734E-2</v>
      </c>
      <c r="AO165" s="68">
        <f t="shared" si="350"/>
        <v>0</v>
      </c>
      <c r="AP165" s="68">
        <f t="shared" si="350"/>
        <v>3.9036420786145304E-3</v>
      </c>
      <c r="AQ165" s="68">
        <f t="shared" si="350"/>
        <v>0</v>
      </c>
      <c r="AR165" s="68">
        <f t="shared" si="350"/>
        <v>1.7612314554690263E-2</v>
      </c>
      <c r="AS165" s="68">
        <f t="shared" si="350"/>
        <v>1.3984223681624997E-2</v>
      </c>
      <c r="AT165" s="68">
        <f t="shared" si="350"/>
        <v>0</v>
      </c>
      <c r="AU165" s="68">
        <f t="shared" si="350"/>
        <v>0</v>
      </c>
      <c r="AV165" s="68">
        <f>AV164/$AD$164*$V$165</f>
        <v>0</v>
      </c>
      <c r="AW165" s="68">
        <f t="shared" ref="AW165:AZ165" si="351">AW164/$AD$164*$V$165</f>
        <v>0</v>
      </c>
      <c r="AX165" s="68">
        <f t="shared" si="351"/>
        <v>0</v>
      </c>
      <c r="AY165" s="68">
        <f t="shared" si="351"/>
        <v>0</v>
      </c>
      <c r="AZ165" s="68">
        <f t="shared" si="351"/>
        <v>0</v>
      </c>
      <c r="BA165" s="68">
        <f t="shared" si="350"/>
        <v>3.1596538236315259E-2</v>
      </c>
      <c r="BB165" s="35" t="s">
        <v>180</v>
      </c>
      <c r="BC165" s="35" t="s">
        <v>180</v>
      </c>
      <c r="BD165" s="35" t="s">
        <v>375</v>
      </c>
      <c r="BE165" s="35" t="s">
        <v>375</v>
      </c>
      <c r="BF165" s="35" t="s">
        <v>375</v>
      </c>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row>
    <row r="166" spans="1:97" ht="12.75" customHeight="1">
      <c r="A166" s="57"/>
      <c r="B166" s="58"/>
      <c r="C166" s="58"/>
      <c r="D166" s="58"/>
      <c r="E166" s="59"/>
      <c r="F166" s="59"/>
      <c r="G166" s="35"/>
      <c r="H166" s="35"/>
      <c r="I166" s="35"/>
      <c r="J166" s="83"/>
      <c r="K166" s="83"/>
      <c r="L166" s="36"/>
      <c r="M166" s="36"/>
      <c r="N166" s="34"/>
      <c r="O166" s="37"/>
      <c r="P166" s="29"/>
      <c r="Q166" s="35"/>
      <c r="R166" s="38">
        <f>R164-(BA164)</f>
        <v>0</v>
      </c>
      <c r="S166" s="38">
        <f>+S164-AM164</f>
        <v>0</v>
      </c>
      <c r="T166" s="34"/>
      <c r="U166" s="34"/>
      <c r="V166" s="34"/>
      <c r="W166" s="400"/>
      <c r="X166" s="401"/>
      <c r="Y166" s="69">
        <f>+Y164-(SUM(RBP!AG3:AG4))</f>
        <v>0</v>
      </c>
      <c r="Z166" s="38">
        <f>+Z164-'31'!J56/1000</f>
        <v>1.628246076901263E-5</v>
      </c>
      <c r="AA166" s="34"/>
      <c r="AB166" s="34"/>
      <c r="AC166" s="34"/>
      <c r="AD166" s="34"/>
      <c r="AE166" s="40"/>
      <c r="AF166" s="374"/>
      <c r="AG166" s="374"/>
      <c r="AH166" s="374"/>
      <c r="AI166" s="374"/>
      <c r="AJ166" s="78"/>
      <c r="AK166" s="78"/>
      <c r="AL166" s="78"/>
      <c r="AM166" s="78"/>
      <c r="AN166" s="78"/>
      <c r="AO166" s="78"/>
      <c r="AP166" s="78"/>
      <c r="AQ166" s="78"/>
      <c r="AR166" s="78"/>
      <c r="AS166" s="78"/>
      <c r="AT166" s="78"/>
      <c r="AU166" s="78"/>
      <c r="AV166" s="78"/>
      <c r="AW166" s="78"/>
      <c r="AX166" s="554">
        <f>0.5%*1440*31</f>
        <v>223.20000000000002</v>
      </c>
      <c r="AY166" s="78"/>
      <c r="AZ166" s="78"/>
      <c r="BA166" s="78"/>
      <c r="BB166" s="507">
        <f>BB164/($Q$164/1440)/2</f>
        <v>0.05</v>
      </c>
      <c r="BC166" s="507">
        <f>BC164/($Q$164/1440)/2</f>
        <v>4.5666666666666664</v>
      </c>
      <c r="BD166" s="507">
        <f>BD164/($Q$164/1440)</f>
        <v>0</v>
      </c>
      <c r="BE166" s="507">
        <f t="shared" ref="BE166:BF166" si="352">BE164/($Q$164/1440)</f>
        <v>0</v>
      </c>
      <c r="BF166" s="507">
        <f t="shared" si="352"/>
        <v>0.4</v>
      </c>
    </row>
    <row r="167" spans="1:97" ht="12.75" customHeight="1">
      <c r="A167" s="70"/>
      <c r="B167" s="71"/>
      <c r="C167" s="71"/>
      <c r="D167" s="71"/>
      <c r="E167" s="72"/>
      <c r="F167" s="72"/>
      <c r="G167" s="73"/>
      <c r="H167" s="73"/>
      <c r="I167" s="73"/>
      <c r="J167" s="87"/>
      <c r="K167" s="87"/>
      <c r="O167" s="74"/>
      <c r="P167" s="75"/>
      <c r="Q167" s="73"/>
      <c r="R167" s="54"/>
      <c r="S167" s="54"/>
      <c r="U167" s="76"/>
      <c r="V167" s="76"/>
      <c r="W167" s="77" t="s">
        <v>133</v>
      </c>
      <c r="X167" s="508">
        <f>W164/U164</f>
        <v>0.98940545914841571</v>
      </c>
      <c r="Y167" s="508"/>
      <c r="Z167" s="54"/>
      <c r="AD167" s="84"/>
      <c r="AE167" s="79"/>
      <c r="AF167" s="80"/>
      <c r="AG167" s="80"/>
      <c r="AH167" s="80"/>
      <c r="AI167" s="80"/>
      <c r="AJ167" s="80"/>
      <c r="AK167" s="80"/>
      <c r="AL167" s="80"/>
      <c r="AM167" s="80"/>
      <c r="AN167" s="78"/>
      <c r="AO167" s="78"/>
      <c r="AP167" s="78"/>
      <c r="AQ167" s="78"/>
      <c r="AR167" s="78"/>
      <c r="AS167" s="80"/>
      <c r="AT167" s="80"/>
      <c r="AU167" s="80"/>
      <c r="AV167" s="80"/>
      <c r="AW167" s="80"/>
      <c r="AX167" s="80"/>
      <c r="AY167" s="80"/>
      <c r="AZ167" s="80"/>
      <c r="BA167" s="78"/>
      <c r="BB167" s="28"/>
      <c r="BC167" s="78"/>
      <c r="BD167" s="78"/>
      <c r="BE167" s="28"/>
      <c r="BF167" s="78"/>
    </row>
    <row r="168" spans="1:97" ht="12.75" customHeight="1">
      <c r="A168" s="70"/>
      <c r="B168" s="71"/>
      <c r="C168" s="71"/>
      <c r="D168" s="71"/>
      <c r="E168" s="72"/>
      <c r="F168" s="72"/>
      <c r="G168" s="73"/>
      <c r="H168" s="73"/>
      <c r="I168" s="73"/>
      <c r="J168" s="87"/>
      <c r="K168" s="87"/>
      <c r="O168" s="74"/>
      <c r="P168" s="75"/>
      <c r="Q168" s="73"/>
      <c r="R168" s="54"/>
      <c r="S168" s="54"/>
      <c r="U168" s="76"/>
      <c r="V168" s="76"/>
      <c r="W168" s="77"/>
      <c r="X168" s="78"/>
      <c r="Y168" s="78"/>
      <c r="Z168" s="54"/>
      <c r="AA168" s="90"/>
      <c r="AB168" s="90"/>
      <c r="AD168" s="84"/>
      <c r="AE168" s="79"/>
      <c r="AF168" s="80"/>
      <c r="AG168" s="80"/>
      <c r="AH168" s="80"/>
      <c r="AI168" s="80"/>
      <c r="AJ168" s="80"/>
      <c r="AK168" s="80"/>
      <c r="AL168" s="80"/>
      <c r="AM168" s="80"/>
      <c r="AN168" s="80"/>
      <c r="AO168" s="78"/>
      <c r="AP168" s="78"/>
      <c r="AQ168" s="78"/>
      <c r="AR168" s="80"/>
      <c r="AS168" s="78"/>
      <c r="AT168" s="78"/>
      <c r="AU168" s="78"/>
      <c r="AV168" s="78"/>
      <c r="AW168" s="78"/>
      <c r="AX168" s="78"/>
      <c r="AY168" s="78"/>
      <c r="AZ168" s="78"/>
      <c r="BA168" s="78"/>
      <c r="BB168" s="28"/>
      <c r="BC168" s="78"/>
      <c r="BD168" s="78"/>
      <c r="BE168" s="28"/>
      <c r="BF168" s="78"/>
    </row>
    <row r="169" spans="1:97" ht="12.75" customHeight="1">
      <c r="A169" s="70"/>
      <c r="B169" s="71"/>
      <c r="C169" s="71"/>
      <c r="D169" s="71"/>
      <c r="E169" s="72"/>
      <c r="F169" s="72"/>
      <c r="G169" s="73"/>
      <c r="H169" s="73"/>
      <c r="I169" s="73"/>
      <c r="J169" s="87"/>
      <c r="K169" s="87"/>
      <c r="O169" s="74"/>
      <c r="P169" s="75"/>
      <c r="Q169" s="73"/>
      <c r="R169" s="385"/>
      <c r="S169" s="54"/>
      <c r="U169" s="76"/>
      <c r="V169" s="76"/>
      <c r="W169" s="77" t="s">
        <v>156</v>
      </c>
      <c r="X169" s="374">
        <f>+W164+Y164</f>
        <v>1471.502</v>
      </c>
      <c r="Y169" s="78"/>
      <c r="Z169" s="54"/>
      <c r="AD169" s="84"/>
      <c r="AE169" s="79"/>
      <c r="AF169" s="84"/>
      <c r="AG169" s="84"/>
      <c r="AH169" s="84"/>
      <c r="AI169" s="84"/>
      <c r="AJ169" s="78"/>
      <c r="AK169" s="78"/>
      <c r="AL169" s="78"/>
      <c r="AM169" s="80"/>
      <c r="AN169" s="78"/>
      <c r="AO169" s="78"/>
      <c r="AP169" s="78"/>
      <c r="AQ169" s="78"/>
      <c r="AR169" s="80"/>
      <c r="AS169" s="78"/>
      <c r="AT169" s="78"/>
      <c r="AU169" s="78"/>
      <c r="AV169" s="78"/>
      <c r="AW169" s="78"/>
      <c r="AX169" s="78"/>
      <c r="AY169" s="78"/>
      <c r="AZ169" s="78"/>
      <c r="BA169" s="78"/>
      <c r="BB169" s="28"/>
      <c r="BC169" s="78"/>
      <c r="BD169" s="78"/>
      <c r="BE169" s="28"/>
      <c r="BF169" s="78"/>
    </row>
    <row r="170" spans="1:97" ht="12.75" customHeight="1">
      <c r="A170" s="70"/>
      <c r="C170" s="71" t="s">
        <v>296</v>
      </c>
      <c r="D170" s="71"/>
      <c r="E170" s="72"/>
      <c r="F170" s="72"/>
      <c r="G170" s="73"/>
      <c r="H170" s="73"/>
      <c r="I170" s="73"/>
      <c r="J170" s="87"/>
      <c r="K170" s="87"/>
      <c r="O170" s="74"/>
      <c r="P170" s="75"/>
      <c r="Q170" s="73"/>
      <c r="R170" s="385"/>
      <c r="S170" s="54"/>
      <c r="U170" s="76"/>
      <c r="V170" s="395"/>
      <c r="W170" s="396"/>
      <c r="X170" s="390"/>
      <c r="Y170" s="396"/>
      <c r="Z170" s="390"/>
      <c r="AD170" s="383"/>
      <c r="AE170" s="79"/>
      <c r="AF170" s="383"/>
      <c r="AG170" s="383"/>
      <c r="AH170" s="383"/>
      <c r="AI170" s="383"/>
      <c r="AJ170" s="78"/>
      <c r="AK170" s="78"/>
      <c r="AL170" s="78"/>
      <c r="AM170" s="78"/>
      <c r="AN170" s="78"/>
      <c r="AO170" s="78"/>
      <c r="AP170" s="78"/>
      <c r="AQ170" s="78"/>
      <c r="AR170" s="78"/>
      <c r="AS170" s="78"/>
      <c r="AT170" s="78"/>
      <c r="AU170" s="78"/>
      <c r="AV170" s="78"/>
      <c r="AW170" s="78"/>
      <c r="AX170" s="78"/>
      <c r="AY170" s="78"/>
      <c r="AZ170" s="78"/>
      <c r="BA170" s="78"/>
      <c r="BB170" s="28"/>
      <c r="BC170" s="78"/>
      <c r="BD170" s="78"/>
      <c r="BE170" s="28"/>
      <c r="BF170" s="78"/>
    </row>
    <row r="171" spans="1:97" ht="12.75" customHeight="1">
      <c r="A171" s="70"/>
      <c r="B171" s="71"/>
      <c r="C171" s="71" t="s">
        <v>297</v>
      </c>
      <c r="D171" s="71"/>
      <c r="E171" s="72"/>
      <c r="F171" s="72"/>
      <c r="G171" s="73"/>
      <c r="H171" s="73"/>
      <c r="I171" s="73"/>
      <c r="J171" s="87"/>
      <c r="K171" s="87"/>
      <c r="O171" s="74"/>
      <c r="P171" s="75"/>
      <c r="Q171" s="73"/>
      <c r="R171" s="385"/>
      <c r="S171" s="54"/>
      <c r="V171" s="388"/>
      <c r="W171" s="389" t="s">
        <v>385</v>
      </c>
      <c r="X171" s="388"/>
      <c r="Y171" s="388"/>
      <c r="Z171" s="390"/>
      <c r="AE171" s="79"/>
      <c r="AF171" s="54"/>
      <c r="AG171" s="54"/>
      <c r="AH171" s="54"/>
      <c r="AI171" s="54"/>
      <c r="AJ171" s="54"/>
      <c r="AK171" s="54"/>
      <c r="AL171" s="54"/>
      <c r="AM171" s="54"/>
      <c r="AN171" s="54"/>
      <c r="AO171" s="54"/>
      <c r="AP171" s="54"/>
      <c r="AQ171" s="54"/>
      <c r="AS171" s="54"/>
      <c r="AT171" s="54"/>
      <c r="AU171" s="54"/>
      <c r="AV171" s="54"/>
      <c r="AW171" s="54"/>
      <c r="AX171" s="54"/>
      <c r="AY171" s="54"/>
      <c r="AZ171" s="54"/>
      <c r="BA171" s="54"/>
      <c r="BB171" s="28"/>
      <c r="BE171" s="28"/>
    </row>
    <row r="172" spans="1:97" ht="12.75" customHeight="1">
      <c r="A172" s="70"/>
      <c r="B172" s="71"/>
      <c r="C172" s="71"/>
      <c r="D172" s="71"/>
      <c r="E172" s="72"/>
      <c r="F172" s="72"/>
      <c r="G172" s="73"/>
      <c r="H172" s="73"/>
      <c r="I172" s="73"/>
      <c r="J172" s="87"/>
      <c r="K172" s="87"/>
      <c r="O172" s="74"/>
      <c r="P172" s="75"/>
      <c r="Q172" s="73"/>
      <c r="R172" s="385"/>
      <c r="S172" s="54"/>
      <c r="V172" s="388"/>
      <c r="W172" s="391" t="s">
        <v>292</v>
      </c>
      <c r="X172" s="509">
        <f>Y165</f>
        <v>1.9781505559950531E-3</v>
      </c>
      <c r="Y172" s="392"/>
      <c r="Z172" s="390"/>
      <c r="AE172" s="79"/>
      <c r="AF172" s="54"/>
      <c r="AG172" s="54"/>
      <c r="AH172" s="54"/>
      <c r="AI172" s="54"/>
      <c r="AJ172" s="54"/>
      <c r="AK172" s="54"/>
      <c r="AL172" s="54"/>
      <c r="AM172" s="54"/>
      <c r="AN172" s="54"/>
      <c r="AO172" s="54"/>
      <c r="AP172" s="54"/>
      <c r="AQ172" s="54"/>
      <c r="AS172" s="54"/>
      <c r="AT172" s="54"/>
      <c r="AU172" s="54"/>
      <c r="AV172" s="54"/>
      <c r="AW172" s="54"/>
      <c r="AX172" s="54"/>
      <c r="AY172" s="54"/>
      <c r="AZ172" s="54"/>
      <c r="BA172" s="54"/>
      <c r="BB172" s="28"/>
      <c r="BE172" s="28"/>
    </row>
    <row r="173" spans="1:97" ht="12.75" customHeight="1">
      <c r="R173" s="90"/>
      <c r="V173" s="388"/>
      <c r="W173" s="391" t="s">
        <v>160</v>
      </c>
      <c r="X173" s="394">
        <f>Z165</f>
        <v>2.4380392802380597E-3</v>
      </c>
      <c r="Y173" s="393"/>
      <c r="Z173" s="388"/>
    </row>
    <row r="174" spans="1:97" ht="12.75" customHeight="1">
      <c r="R174" s="90"/>
      <c r="V174" s="388"/>
      <c r="W174" s="391" t="s">
        <v>161</v>
      </c>
      <c r="X174" s="394">
        <f>AC165</f>
        <v>3.2390636225725543E-2</v>
      </c>
      <c r="Y174" s="394"/>
      <c r="Z174" s="388"/>
    </row>
    <row r="175" spans="1:97" ht="12.75" customHeight="1">
      <c r="R175" s="90"/>
      <c r="V175" s="388"/>
      <c r="W175" s="391" t="s">
        <v>162</v>
      </c>
      <c r="X175" s="394">
        <f>AA165</f>
        <v>5.1857744611999903E-3</v>
      </c>
      <c r="Y175" s="393"/>
      <c r="Z175" s="388"/>
    </row>
    <row r="176" spans="1:97" ht="12.75" customHeight="1">
      <c r="V176" s="388"/>
      <c r="W176" s="391" t="s">
        <v>178</v>
      </c>
      <c r="X176" s="394">
        <f>AB165</f>
        <v>-3.1591077634170557E-3</v>
      </c>
      <c r="Y176" s="393" t="s">
        <v>176</v>
      </c>
      <c r="Z176" s="388"/>
    </row>
    <row r="177" spans="22:26" s="30" customFormat="1" ht="12.75" customHeight="1">
      <c r="V177" s="388"/>
      <c r="W177" s="391" t="s">
        <v>203</v>
      </c>
      <c r="X177" s="394">
        <f>AF165</f>
        <v>2.0666340416194574E-4</v>
      </c>
      <c r="Y177" s="393"/>
      <c r="Z177" s="388"/>
    </row>
    <row r="178" spans="22:26" s="30" customFormat="1" ht="12.75" customHeight="1">
      <c r="V178" s="388"/>
      <c r="W178" s="391" t="s">
        <v>204</v>
      </c>
      <c r="X178" s="394">
        <f>+AG165</f>
        <v>7.4858077507549232E-3</v>
      </c>
      <c r="Y178" s="393"/>
      <c r="Z178" s="388"/>
    </row>
    <row r="179" spans="22:26" s="30" customFormat="1" ht="12.75" customHeight="1">
      <c r="V179" s="388"/>
      <c r="W179" s="391" t="s">
        <v>298</v>
      </c>
      <c r="X179" s="394">
        <f>+AH165</f>
        <v>1.5614568314458122E-2</v>
      </c>
      <c r="Y179" s="393"/>
      <c r="Z179" s="388"/>
    </row>
    <row r="180" spans="22:26" s="30" customFormat="1" ht="12.75" customHeight="1">
      <c r="V180" s="388"/>
      <c r="W180" s="391" t="s">
        <v>229</v>
      </c>
      <c r="X180" s="394">
        <f>+AI165</f>
        <v>8.7946759771139124E-3</v>
      </c>
      <c r="Y180" s="393"/>
      <c r="Z180" s="388"/>
    </row>
    <row r="181" spans="22:26" s="30" customFormat="1" ht="12.75" customHeight="1">
      <c r="V181" s="388"/>
      <c r="W181" s="391" t="s">
        <v>169</v>
      </c>
      <c r="X181" s="394">
        <f>+AJ165</f>
        <v>0</v>
      </c>
      <c r="Y181" s="393"/>
      <c r="Z181" s="388"/>
    </row>
    <row r="182" spans="22:26" s="30" customFormat="1" ht="12.75" customHeight="1">
      <c r="V182" s="388"/>
      <c r="W182" s="391" t="s">
        <v>171</v>
      </c>
      <c r="X182" s="394">
        <f>+AK165</f>
        <v>7.5776581526046773E-4</v>
      </c>
      <c r="Y182" s="393"/>
      <c r="Z182" s="388"/>
    </row>
    <row r="183" spans="22:26" s="30" customFormat="1" ht="12.75" customHeight="1">
      <c r="V183" s="388"/>
      <c r="W183" s="391" t="s">
        <v>170</v>
      </c>
      <c r="X183" s="394">
        <f>+AL165</f>
        <v>0</v>
      </c>
      <c r="Y183" s="393"/>
      <c r="Z183" s="388"/>
    </row>
    <row r="184" spans="22:26" s="30" customFormat="1" ht="12.75" customHeight="1">
      <c r="V184" s="388"/>
      <c r="W184" s="391" t="s">
        <v>163</v>
      </c>
      <c r="X184" s="394">
        <f>+AN165</f>
        <v>1.3708672476075734E-2</v>
      </c>
      <c r="Y184" s="393"/>
      <c r="Z184" s="388"/>
    </row>
    <row r="185" spans="22:26" s="30" customFormat="1" ht="12.75" customHeight="1">
      <c r="V185" s="388"/>
      <c r="W185" s="391" t="s">
        <v>173</v>
      </c>
      <c r="X185" s="394">
        <f>+AO165</f>
        <v>0</v>
      </c>
      <c r="Y185" s="393"/>
      <c r="Z185" s="388"/>
    </row>
    <row r="186" spans="22:26" s="30" customFormat="1" ht="12.75" customHeight="1">
      <c r="V186" s="388"/>
      <c r="W186" s="391" t="s">
        <v>164</v>
      </c>
      <c r="X186" s="394">
        <f>+AP165</f>
        <v>3.9036420786145304E-3</v>
      </c>
      <c r="Y186" s="393"/>
      <c r="Z186" s="388"/>
    </row>
    <row r="187" spans="22:26" s="30" customFormat="1" ht="12.75" customHeight="1">
      <c r="V187" s="388"/>
      <c r="W187" s="391" t="s">
        <v>172</v>
      </c>
      <c r="X187" s="394">
        <f>+AQ165</f>
        <v>0</v>
      </c>
      <c r="Y187" s="393"/>
      <c r="Z187" s="388"/>
    </row>
    <row r="188" spans="22:26" s="30" customFormat="1" ht="12.75" customHeight="1">
      <c r="V188" s="388"/>
      <c r="W188" s="391" t="s">
        <v>175</v>
      </c>
      <c r="X188" s="394">
        <f>+AS165</f>
        <v>1.3984223681624997E-2</v>
      </c>
      <c r="Y188" s="393"/>
      <c r="Z188" s="388"/>
    </row>
    <row r="189" spans="22:26" s="30" customFormat="1" ht="12.75" customHeight="1">
      <c r="V189" s="388"/>
      <c r="W189" s="391" t="s">
        <v>299</v>
      </c>
      <c r="X189" s="394">
        <f>+AT165</f>
        <v>0</v>
      </c>
      <c r="Y189" s="393"/>
      <c r="Z189" s="388"/>
    </row>
    <row r="190" spans="22:26" s="30" customFormat="1" ht="12.75" customHeight="1">
      <c r="V190" s="388"/>
      <c r="W190" s="391" t="s">
        <v>242</v>
      </c>
      <c r="X190" s="394">
        <f>+AU165</f>
        <v>0</v>
      </c>
      <c r="Y190" s="393"/>
      <c r="Z190" s="388"/>
    </row>
    <row r="191" spans="22:26" s="30" customFormat="1" ht="12.75" customHeight="1">
      <c r="V191" s="388"/>
      <c r="W191" s="391" t="s">
        <v>302</v>
      </c>
      <c r="X191" s="394">
        <f>+AW165</f>
        <v>0</v>
      </c>
      <c r="Y191" s="393"/>
      <c r="Z191" s="388"/>
    </row>
    <row r="192" spans="22:26" s="30" customFormat="1" ht="12.75" customHeight="1">
      <c r="V192" s="388"/>
      <c r="W192" s="391" t="s">
        <v>303</v>
      </c>
      <c r="X192" s="394">
        <f>+AV165</f>
        <v>0</v>
      </c>
      <c r="Y192" s="393"/>
      <c r="Z192" s="388"/>
    </row>
    <row r="193" spans="22:26" s="30" customFormat="1" ht="12.75" customHeight="1">
      <c r="V193" s="388"/>
      <c r="W193" s="388" t="s">
        <v>174</v>
      </c>
      <c r="X193" s="394">
        <f>+AX165+AY165</f>
        <v>0</v>
      </c>
      <c r="Y193" s="394"/>
      <c r="Z193" s="388"/>
    </row>
    <row r="194" spans="22:26" s="30" customFormat="1" ht="12.75" customHeight="1">
      <c r="V194" s="388"/>
      <c r="W194" s="388" t="s">
        <v>301</v>
      </c>
      <c r="X194" s="394">
        <f>+AZ166</f>
        <v>0</v>
      </c>
      <c r="Y194" s="388"/>
      <c r="Z194" s="388"/>
    </row>
    <row r="195" spans="22:26" s="30" customFormat="1" ht="12.75" customHeight="1">
      <c r="V195" s="388"/>
      <c r="W195" s="388"/>
      <c r="X195" s="517">
        <f>SUM(X172:X194)</f>
        <v>0.10328951225780622</v>
      </c>
      <c r="Y195" s="388"/>
      <c r="Z195" s="388"/>
    </row>
    <row r="196" spans="22:26" s="30" customFormat="1" ht="12.75" customHeight="1"/>
    <row r="197" spans="22:26" s="30" customFormat="1" ht="12.75" customHeight="1">
      <c r="X197" s="90">
        <f>+X195+X164</f>
        <v>0.99999999999999967</v>
      </c>
    </row>
    <row r="198" spans="22:26" s="30" customFormat="1" ht="12.75" customHeight="1"/>
    <row r="199" spans="22:26" s="30" customFormat="1" ht="12.75" customHeight="1"/>
    <row r="200" spans="22:26" s="30" customFormat="1" ht="12.75" customHeight="1"/>
    <row r="201" spans="22:26" s="30" customFormat="1" ht="12.75" customHeight="1"/>
    <row r="202" spans="22:26" s="30" customFormat="1" ht="12.75" customHeight="1"/>
    <row r="203" spans="22:26" s="30" customFormat="1" ht="12.75" customHeight="1"/>
    <row r="204" spans="22:26" s="30" customFormat="1" ht="12.75" customHeight="1"/>
    <row r="205" spans="22:26" s="30" customFormat="1" ht="12.75" customHeight="1"/>
    <row r="206" spans="22:26" s="30" customFormat="1" ht="12.75" customHeight="1"/>
    <row r="207" spans="22:26" s="30" customFormat="1" ht="12.75" customHeight="1"/>
    <row r="208" spans="22:26" s="30" customFormat="1" ht="12.75" customHeight="1"/>
    <row r="209" s="30" customFormat="1" ht="12.75" customHeight="1"/>
    <row r="210" s="30" customFormat="1" ht="12.75" customHeight="1"/>
    <row r="211" s="30" customFormat="1" ht="12.75" customHeight="1"/>
    <row r="212" s="30" customFormat="1" ht="12.75" customHeight="1"/>
    <row r="213" s="30" customFormat="1" ht="12.75" customHeight="1"/>
    <row r="214" s="30" customFormat="1" ht="12.75" customHeight="1"/>
    <row r="215" s="30" customFormat="1" ht="12.75" customHeight="1"/>
    <row r="216" s="30" customFormat="1" ht="12.75" customHeight="1"/>
    <row r="217" s="30" customFormat="1" ht="12.75" customHeight="1"/>
    <row r="218" s="30" customFormat="1" ht="12.75" customHeight="1"/>
    <row r="219" s="30" customFormat="1" ht="12.75" customHeight="1"/>
    <row r="220" s="30" customFormat="1" ht="12.75" customHeight="1"/>
    <row r="221" s="30" customFormat="1" ht="12.75" customHeight="1"/>
    <row r="222" s="30" customFormat="1" ht="12.75" customHeight="1"/>
    <row r="223" s="30" customFormat="1" ht="12.75" customHeight="1"/>
    <row r="224" s="30" customFormat="1" ht="12.75" customHeight="1"/>
    <row r="225" s="30" customFormat="1" ht="12.75" customHeight="1"/>
    <row r="226" s="30" customFormat="1" ht="12.75" customHeight="1"/>
    <row r="227" s="30" customFormat="1" ht="12.75" customHeight="1"/>
    <row r="228" s="30" customFormat="1" ht="12.75" customHeight="1"/>
    <row r="229" s="30" customFormat="1" ht="12.75" customHeight="1"/>
    <row r="230" s="30" customFormat="1" ht="12.75" customHeight="1"/>
    <row r="231" s="30" customFormat="1" ht="12.75" customHeight="1"/>
    <row r="232" s="30" customFormat="1" ht="12.75" customHeight="1"/>
    <row r="233" s="30" customFormat="1" ht="12.75" customHeight="1"/>
    <row r="234" s="30" customFormat="1" ht="12.75" customHeight="1"/>
    <row r="235" s="30" customFormat="1" ht="12.75" customHeight="1"/>
    <row r="236" s="30" customFormat="1" ht="12.75" customHeight="1"/>
    <row r="237" s="30" customFormat="1" ht="12.75" customHeight="1"/>
    <row r="238" s="30" customFormat="1" ht="12.75" customHeight="1"/>
    <row r="239" s="30" customFormat="1" ht="12.75" customHeight="1"/>
    <row r="240" s="30" customFormat="1" ht="12.75" customHeight="1"/>
    <row r="241" s="30" customFormat="1" ht="12.75" customHeight="1"/>
    <row r="242" s="30" customFormat="1" ht="12.75" customHeight="1"/>
    <row r="243" s="30" customFormat="1"/>
    <row r="244" s="30" customFormat="1"/>
    <row r="245" s="30" customFormat="1"/>
    <row r="246" s="30" customFormat="1"/>
    <row r="247" s="30" customFormat="1"/>
    <row r="248" s="30" customFormat="1"/>
    <row r="249" s="30" customFormat="1"/>
    <row r="250" s="30" customFormat="1"/>
    <row r="251" s="30" customFormat="1"/>
    <row r="252" s="30" customFormat="1"/>
    <row r="253" s="30" customFormat="1"/>
    <row r="254" s="30" customFormat="1"/>
    <row r="255" s="30" customFormat="1"/>
    <row r="256" s="30" customFormat="1"/>
    <row r="257" s="30" customFormat="1"/>
    <row r="258" s="30" customFormat="1"/>
    <row r="259" s="30" customFormat="1"/>
    <row r="260" s="30" customFormat="1"/>
    <row r="261" s="30" customFormat="1"/>
    <row r="262" s="30" customFormat="1"/>
    <row r="263" s="30" customFormat="1"/>
    <row r="264" s="30" customFormat="1"/>
    <row r="265" s="30" customFormat="1"/>
    <row r="266" s="30" customFormat="1"/>
    <row r="267" s="30" customFormat="1"/>
    <row r="268" s="30" customFormat="1"/>
    <row r="269" s="30" customFormat="1"/>
    <row r="270" s="30" customFormat="1"/>
    <row r="271" s="30" customFormat="1"/>
    <row r="272" s="30" customForma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65:P165"/>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65 B163:B165 C163">
    <cfRule type="cellIs" dxfId="1757" priority="16761" stopIfTrue="1" operator="equal">
      <formula>"Towel"</formula>
    </cfRule>
    <cfRule type="cellIs" dxfId="1756" priority="16762" stopIfTrue="1" operator="equal">
      <formula>"Napkin Hs"</formula>
    </cfRule>
  </conditionalFormatting>
  <conditionalFormatting sqref="C11">
    <cfRule type="cellIs" dxfId="1755" priority="1737" stopIfTrue="1" operator="equal">
      <formula>"Towel"</formula>
    </cfRule>
    <cfRule type="cellIs" dxfId="1754" priority="1738" stopIfTrue="1" operator="equal">
      <formula>"Napkin Hs"</formula>
    </cfRule>
  </conditionalFormatting>
  <conditionalFormatting sqref="B57:C57">
    <cfRule type="cellIs" dxfId="1753" priority="1747" stopIfTrue="1" operator="equal">
      <formula>"Towel"</formula>
    </cfRule>
    <cfRule type="cellIs" dxfId="1752" priority="1748" stopIfTrue="1" operator="equal">
      <formula>"Napkin Hs"</formula>
    </cfRule>
  </conditionalFormatting>
  <conditionalFormatting sqref="C11">
    <cfRule type="cellIs" dxfId="1751" priority="1741" stopIfTrue="1" operator="equal">
      <formula>"Towel"</formula>
    </cfRule>
    <cfRule type="cellIs" dxfId="1750" priority="1742" stopIfTrue="1" operator="equal">
      <formula>"Napkin Hs"</formula>
    </cfRule>
  </conditionalFormatting>
  <conditionalFormatting sqref="B11">
    <cfRule type="cellIs" dxfId="1749" priority="1715" stopIfTrue="1" operator="equal">
      <formula>"Towel"</formula>
    </cfRule>
    <cfRule type="cellIs" dxfId="1748" priority="1716" stopIfTrue="1" operator="equal">
      <formula>"Napkin Hs"</formula>
    </cfRule>
  </conditionalFormatting>
  <conditionalFormatting sqref="C11">
    <cfRule type="cellIs" dxfId="1747" priority="1739" stopIfTrue="1" operator="equal">
      <formula>"Towel"</formula>
    </cfRule>
    <cfRule type="cellIs" dxfId="1746" priority="1740" stopIfTrue="1" operator="equal">
      <formula>"Napkin Hs"</formula>
    </cfRule>
  </conditionalFormatting>
  <conditionalFormatting sqref="C57">
    <cfRule type="cellIs" dxfId="1745" priority="1745" stopIfTrue="1" operator="equal">
      <formula>"Towel"</formula>
    </cfRule>
    <cfRule type="cellIs" dxfId="1744" priority="1746" stopIfTrue="1" operator="equal">
      <formula>"Napkin Hs"</formula>
    </cfRule>
  </conditionalFormatting>
  <conditionalFormatting sqref="C57">
    <cfRule type="cellIs" dxfId="1743" priority="1743" stopIfTrue="1" operator="equal">
      <formula>"Towel"</formula>
    </cfRule>
    <cfRule type="cellIs" dxfId="1742" priority="1744" stopIfTrue="1" operator="equal">
      <formula>"Napkin Hs"</formula>
    </cfRule>
  </conditionalFormatting>
  <conditionalFormatting sqref="C10">
    <cfRule type="cellIs" dxfId="1741" priority="1727" stopIfTrue="1" operator="equal">
      <formula>"Towel"</formula>
    </cfRule>
    <cfRule type="cellIs" dxfId="1740" priority="1728" stopIfTrue="1" operator="equal">
      <formula>"Napkin Hs"</formula>
    </cfRule>
  </conditionalFormatting>
  <conditionalFormatting sqref="C10">
    <cfRule type="cellIs" dxfId="1739" priority="1729" stopIfTrue="1" operator="equal">
      <formula>"Towel"</formula>
    </cfRule>
    <cfRule type="cellIs" dxfId="1738" priority="1730" stopIfTrue="1" operator="equal">
      <formula>"Napkin Hs"</formula>
    </cfRule>
  </conditionalFormatting>
  <conditionalFormatting sqref="C11">
    <cfRule type="cellIs" dxfId="1737" priority="1731" stopIfTrue="1" operator="equal">
      <formula>"Towel"</formula>
    </cfRule>
    <cfRule type="cellIs" dxfId="1736" priority="1732" stopIfTrue="1" operator="equal">
      <formula>"Napkin Hs"</formula>
    </cfRule>
  </conditionalFormatting>
  <conditionalFormatting sqref="C11">
    <cfRule type="cellIs" dxfId="1735" priority="1733" stopIfTrue="1" operator="equal">
      <formula>"Towel"</formula>
    </cfRule>
    <cfRule type="cellIs" dxfId="1734" priority="1734" stopIfTrue="1" operator="equal">
      <formula>"Napkin Hs"</formula>
    </cfRule>
  </conditionalFormatting>
  <conditionalFormatting sqref="C11">
    <cfRule type="cellIs" dxfId="1733" priority="1735" stopIfTrue="1" operator="equal">
      <formula>"Towel"</formula>
    </cfRule>
    <cfRule type="cellIs" dxfId="1732" priority="1736" stopIfTrue="1" operator="equal">
      <formula>"Napkin Hs"</formula>
    </cfRule>
  </conditionalFormatting>
  <conditionalFormatting sqref="B10:C10">
    <cfRule type="cellIs" dxfId="1731" priority="1725" stopIfTrue="1" operator="equal">
      <formula>"Towel"</formula>
    </cfRule>
    <cfRule type="cellIs" dxfId="1730" priority="1726" stopIfTrue="1" operator="equal">
      <formula>"Napkin Hs"</formula>
    </cfRule>
  </conditionalFormatting>
  <conditionalFormatting sqref="B10:C10">
    <cfRule type="cellIs" dxfId="1729" priority="1719" stopIfTrue="1" operator="equal">
      <formula>"Towel"</formula>
    </cfRule>
    <cfRule type="cellIs" dxfId="1728" priority="1720" stopIfTrue="1" operator="equal">
      <formula>"Napkin Hs"</formula>
    </cfRule>
  </conditionalFormatting>
  <conditionalFormatting sqref="C10">
    <cfRule type="cellIs" dxfId="1727" priority="1721" stopIfTrue="1" operator="equal">
      <formula>"Towel"</formula>
    </cfRule>
    <cfRule type="cellIs" dxfId="1726" priority="1722" stopIfTrue="1" operator="equal">
      <formula>"Napkin Hs"</formula>
    </cfRule>
  </conditionalFormatting>
  <conditionalFormatting sqref="C10">
    <cfRule type="cellIs" dxfId="1725" priority="1723" stopIfTrue="1" operator="equal">
      <formula>"Towel"</formula>
    </cfRule>
    <cfRule type="cellIs" dxfId="1724" priority="1724" stopIfTrue="1" operator="equal">
      <formula>"Napkin Hs"</formula>
    </cfRule>
  </conditionalFormatting>
  <conditionalFormatting sqref="B11">
    <cfRule type="cellIs" dxfId="1723" priority="1717" stopIfTrue="1" operator="equal">
      <formula>"Towel"</formula>
    </cfRule>
    <cfRule type="cellIs" dxfId="1722" priority="1718" stopIfTrue="1" operator="equal">
      <formula>"Napkin Hs"</formula>
    </cfRule>
  </conditionalFormatting>
  <conditionalFormatting sqref="B45:C45">
    <cfRule type="cellIs" dxfId="1721" priority="1713" stopIfTrue="1" operator="equal">
      <formula>"Towel"</formula>
    </cfRule>
    <cfRule type="cellIs" dxfId="1720" priority="1714" stopIfTrue="1" operator="equal">
      <formula>"Napkin Hs"</formula>
    </cfRule>
  </conditionalFormatting>
  <conditionalFormatting sqref="C45">
    <cfRule type="cellIs" dxfId="1719" priority="1709" stopIfTrue="1" operator="equal">
      <formula>"Towel"</formula>
    </cfRule>
    <cfRule type="cellIs" dxfId="1718" priority="1710" stopIfTrue="1" operator="equal">
      <formula>"Napkin Hs"</formula>
    </cfRule>
  </conditionalFormatting>
  <conditionalFormatting sqref="C45">
    <cfRule type="cellIs" dxfId="1717" priority="1711" stopIfTrue="1" operator="equal">
      <formula>"Towel"</formula>
    </cfRule>
    <cfRule type="cellIs" dxfId="1716" priority="1712" stopIfTrue="1" operator="equal">
      <formula>"Napkin Hs"</formula>
    </cfRule>
  </conditionalFormatting>
  <conditionalFormatting sqref="C43">
    <cfRule type="cellIs" dxfId="1715" priority="1701" stopIfTrue="1" operator="equal">
      <formula>"Towel"</formula>
    </cfRule>
    <cfRule type="cellIs" dxfId="1714" priority="1702" stopIfTrue="1" operator="equal">
      <formula>"Napkin Hs"</formula>
    </cfRule>
  </conditionalFormatting>
  <conditionalFormatting sqref="B43:C43">
    <cfRule type="cellIs" dxfId="1713" priority="1703" stopIfTrue="1" operator="equal">
      <formula>"Towel"</formula>
    </cfRule>
    <cfRule type="cellIs" dxfId="1712" priority="1704" stopIfTrue="1" operator="equal">
      <formula>"Napkin Hs"</formula>
    </cfRule>
  </conditionalFormatting>
  <conditionalFormatting sqref="C43">
    <cfRule type="cellIs" dxfId="1711" priority="1699" stopIfTrue="1" operator="equal">
      <formula>"Towel"</formula>
    </cfRule>
    <cfRule type="cellIs" dxfId="1710" priority="1700" stopIfTrue="1" operator="equal">
      <formula>"Napkin Hs"</formula>
    </cfRule>
  </conditionalFormatting>
  <conditionalFormatting sqref="B43:C43">
    <cfRule type="cellIs" dxfId="1709" priority="1697" stopIfTrue="1" operator="equal">
      <formula>"Towel"</formula>
    </cfRule>
    <cfRule type="cellIs" dxfId="1708" priority="1698" stopIfTrue="1" operator="equal">
      <formula>"Napkin Hs"</formula>
    </cfRule>
  </conditionalFormatting>
  <conditionalFormatting sqref="C43">
    <cfRule type="cellIs" dxfId="1707" priority="1705" stopIfTrue="1" operator="equal">
      <formula>"Towel"</formula>
    </cfRule>
    <cfRule type="cellIs" dxfId="1706" priority="1706" stopIfTrue="1" operator="equal">
      <formula>"Napkin Hs"</formula>
    </cfRule>
  </conditionalFormatting>
  <conditionalFormatting sqref="C43">
    <cfRule type="cellIs" dxfId="1705" priority="1707" stopIfTrue="1" operator="equal">
      <formula>"Towel"</formula>
    </cfRule>
    <cfRule type="cellIs" dxfId="1704" priority="1708" stopIfTrue="1" operator="equal">
      <formula>"Napkin Hs"</formula>
    </cfRule>
  </conditionalFormatting>
  <conditionalFormatting sqref="C46">
    <cfRule type="cellIs" dxfId="1703" priority="1689" stopIfTrue="1" operator="equal">
      <formula>"Towel"</formula>
    </cfRule>
    <cfRule type="cellIs" dxfId="1702" priority="1690" stopIfTrue="1" operator="equal">
      <formula>"Napkin Hs"</formula>
    </cfRule>
  </conditionalFormatting>
  <conditionalFormatting sqref="B46:C46">
    <cfRule type="cellIs" dxfId="1701" priority="1691" stopIfTrue="1" operator="equal">
      <formula>"Towel"</formula>
    </cfRule>
    <cfRule type="cellIs" dxfId="1700" priority="1692" stopIfTrue="1" operator="equal">
      <formula>"Napkin Hs"</formula>
    </cfRule>
  </conditionalFormatting>
  <conditionalFormatting sqref="C46">
    <cfRule type="cellIs" dxfId="1699" priority="1687" stopIfTrue="1" operator="equal">
      <formula>"Towel"</formula>
    </cfRule>
    <cfRule type="cellIs" dxfId="1698" priority="1688" stopIfTrue="1" operator="equal">
      <formula>"Napkin Hs"</formula>
    </cfRule>
  </conditionalFormatting>
  <conditionalFormatting sqref="B46:C46">
    <cfRule type="cellIs" dxfId="1697" priority="1685" stopIfTrue="1" operator="equal">
      <formula>"Towel"</formula>
    </cfRule>
    <cfRule type="cellIs" dxfId="1696" priority="1686" stopIfTrue="1" operator="equal">
      <formula>"Napkin Hs"</formula>
    </cfRule>
  </conditionalFormatting>
  <conditionalFormatting sqref="C46">
    <cfRule type="cellIs" dxfId="1695" priority="1693" stopIfTrue="1" operator="equal">
      <formula>"Towel"</formula>
    </cfRule>
    <cfRule type="cellIs" dxfId="1694" priority="1694" stopIfTrue="1" operator="equal">
      <formula>"Napkin Hs"</formula>
    </cfRule>
  </conditionalFormatting>
  <conditionalFormatting sqref="C46">
    <cfRule type="cellIs" dxfId="1693" priority="1695" stopIfTrue="1" operator="equal">
      <formula>"Towel"</formula>
    </cfRule>
    <cfRule type="cellIs" dxfId="1692" priority="1696" stopIfTrue="1" operator="equal">
      <formula>"Napkin Hs"</formula>
    </cfRule>
  </conditionalFormatting>
  <conditionalFormatting sqref="C47">
    <cfRule type="cellIs" dxfId="1691" priority="1677" stopIfTrue="1" operator="equal">
      <formula>"Towel"</formula>
    </cfRule>
    <cfRule type="cellIs" dxfId="1690" priority="1678" stopIfTrue="1" operator="equal">
      <formula>"Napkin Hs"</formula>
    </cfRule>
  </conditionalFormatting>
  <conditionalFormatting sqref="B47:C47">
    <cfRule type="cellIs" dxfId="1689" priority="1679" stopIfTrue="1" operator="equal">
      <formula>"Towel"</formula>
    </cfRule>
    <cfRule type="cellIs" dxfId="1688" priority="1680" stopIfTrue="1" operator="equal">
      <formula>"Napkin Hs"</formula>
    </cfRule>
  </conditionalFormatting>
  <conditionalFormatting sqref="C47">
    <cfRule type="cellIs" dxfId="1687" priority="1675" stopIfTrue="1" operator="equal">
      <formula>"Towel"</formula>
    </cfRule>
    <cfRule type="cellIs" dxfId="1686" priority="1676" stopIfTrue="1" operator="equal">
      <formula>"Napkin Hs"</formula>
    </cfRule>
  </conditionalFormatting>
  <conditionalFormatting sqref="B47:C47">
    <cfRule type="cellIs" dxfId="1685" priority="1673" stopIfTrue="1" operator="equal">
      <formula>"Towel"</formula>
    </cfRule>
    <cfRule type="cellIs" dxfId="1684" priority="1674" stopIfTrue="1" operator="equal">
      <formula>"Napkin Hs"</formula>
    </cfRule>
  </conditionalFormatting>
  <conditionalFormatting sqref="C47">
    <cfRule type="cellIs" dxfId="1683" priority="1681" stopIfTrue="1" operator="equal">
      <formula>"Towel"</formula>
    </cfRule>
    <cfRule type="cellIs" dxfId="1682" priority="1682" stopIfTrue="1" operator="equal">
      <formula>"Napkin Hs"</formula>
    </cfRule>
  </conditionalFormatting>
  <conditionalFormatting sqref="C47">
    <cfRule type="cellIs" dxfId="1681" priority="1683" stopIfTrue="1" operator="equal">
      <formula>"Towel"</formula>
    </cfRule>
    <cfRule type="cellIs" dxfId="1680" priority="1684" stopIfTrue="1" operator="equal">
      <formula>"Napkin Hs"</formula>
    </cfRule>
  </conditionalFormatting>
  <conditionalFormatting sqref="C44">
    <cfRule type="cellIs" dxfId="1679" priority="1665" stopIfTrue="1" operator="equal">
      <formula>"Towel"</formula>
    </cfRule>
    <cfRule type="cellIs" dxfId="1678" priority="1666" stopIfTrue="1" operator="equal">
      <formula>"Napkin Hs"</formula>
    </cfRule>
  </conditionalFormatting>
  <conditionalFormatting sqref="B44:C44">
    <cfRule type="cellIs" dxfId="1677" priority="1667" stopIfTrue="1" operator="equal">
      <formula>"Towel"</formula>
    </cfRule>
    <cfRule type="cellIs" dxfId="1676" priority="1668" stopIfTrue="1" operator="equal">
      <formula>"Napkin Hs"</formula>
    </cfRule>
  </conditionalFormatting>
  <conditionalFormatting sqref="C44">
    <cfRule type="cellIs" dxfId="1675" priority="1663" stopIfTrue="1" operator="equal">
      <formula>"Towel"</formula>
    </cfRule>
    <cfRule type="cellIs" dxfId="1674" priority="1664" stopIfTrue="1" operator="equal">
      <formula>"Napkin Hs"</formula>
    </cfRule>
  </conditionalFormatting>
  <conditionalFormatting sqref="B44:C44">
    <cfRule type="cellIs" dxfId="1673" priority="1661" stopIfTrue="1" operator="equal">
      <formula>"Towel"</formula>
    </cfRule>
    <cfRule type="cellIs" dxfId="1672" priority="1662" stopIfTrue="1" operator="equal">
      <formula>"Napkin Hs"</formula>
    </cfRule>
  </conditionalFormatting>
  <conditionalFormatting sqref="C44">
    <cfRule type="cellIs" dxfId="1671" priority="1669" stopIfTrue="1" operator="equal">
      <formula>"Towel"</formula>
    </cfRule>
    <cfRule type="cellIs" dxfId="1670" priority="1670" stopIfTrue="1" operator="equal">
      <formula>"Napkin Hs"</formula>
    </cfRule>
  </conditionalFormatting>
  <conditionalFormatting sqref="C44">
    <cfRule type="cellIs" dxfId="1669" priority="1671" stopIfTrue="1" operator="equal">
      <formula>"Towel"</formula>
    </cfRule>
    <cfRule type="cellIs" dxfId="1668" priority="1672" stopIfTrue="1" operator="equal">
      <formula>"Napkin Hs"</formula>
    </cfRule>
  </conditionalFormatting>
  <conditionalFormatting sqref="C43">
    <cfRule type="cellIs" dxfId="1667" priority="1653" stopIfTrue="1" operator="equal">
      <formula>"Towel"</formula>
    </cfRule>
    <cfRule type="cellIs" dxfId="1666" priority="1654" stopIfTrue="1" operator="equal">
      <formula>"Napkin Hs"</formula>
    </cfRule>
  </conditionalFormatting>
  <conditionalFormatting sqref="B43:C43">
    <cfRule type="cellIs" dxfId="1665" priority="1655" stopIfTrue="1" operator="equal">
      <formula>"Towel"</formula>
    </cfRule>
    <cfRule type="cellIs" dxfId="1664" priority="1656" stopIfTrue="1" operator="equal">
      <formula>"Napkin Hs"</formula>
    </cfRule>
  </conditionalFormatting>
  <conditionalFormatting sqref="C43">
    <cfRule type="cellIs" dxfId="1663" priority="1651" stopIfTrue="1" operator="equal">
      <formula>"Towel"</formula>
    </cfRule>
    <cfRule type="cellIs" dxfId="1662" priority="1652" stopIfTrue="1" operator="equal">
      <formula>"Napkin Hs"</formula>
    </cfRule>
  </conditionalFormatting>
  <conditionalFormatting sqref="B43:C43">
    <cfRule type="cellIs" dxfId="1661" priority="1649" stopIfTrue="1" operator="equal">
      <formula>"Towel"</formula>
    </cfRule>
    <cfRule type="cellIs" dxfId="1660" priority="1650" stopIfTrue="1" operator="equal">
      <formula>"Napkin Hs"</formula>
    </cfRule>
  </conditionalFormatting>
  <conditionalFormatting sqref="C43">
    <cfRule type="cellIs" dxfId="1659" priority="1657" stopIfTrue="1" operator="equal">
      <formula>"Towel"</formula>
    </cfRule>
    <cfRule type="cellIs" dxfId="1658" priority="1658" stopIfTrue="1" operator="equal">
      <formula>"Napkin Hs"</formula>
    </cfRule>
  </conditionalFormatting>
  <conditionalFormatting sqref="C43">
    <cfRule type="cellIs" dxfId="1657" priority="1659" stopIfTrue="1" operator="equal">
      <formula>"Towel"</formula>
    </cfRule>
    <cfRule type="cellIs" dxfId="1656" priority="1660" stopIfTrue="1" operator="equal">
      <formula>"Napkin Hs"</formula>
    </cfRule>
  </conditionalFormatting>
  <conditionalFormatting sqref="C52">
    <cfRule type="cellIs" dxfId="1655" priority="1641" stopIfTrue="1" operator="equal">
      <formula>"Towel"</formula>
    </cfRule>
    <cfRule type="cellIs" dxfId="1654" priority="1642" stopIfTrue="1" operator="equal">
      <formula>"Napkin Hs"</formula>
    </cfRule>
  </conditionalFormatting>
  <conditionalFormatting sqref="B52:C52">
    <cfRule type="cellIs" dxfId="1653" priority="1643" stopIfTrue="1" operator="equal">
      <formula>"Towel"</formula>
    </cfRule>
    <cfRule type="cellIs" dxfId="1652" priority="1644" stopIfTrue="1" operator="equal">
      <formula>"Napkin Hs"</formula>
    </cfRule>
  </conditionalFormatting>
  <conditionalFormatting sqref="C52">
    <cfRule type="cellIs" dxfId="1651" priority="1639" stopIfTrue="1" operator="equal">
      <formula>"Towel"</formula>
    </cfRule>
    <cfRule type="cellIs" dxfId="1650" priority="1640" stopIfTrue="1" operator="equal">
      <formula>"Napkin Hs"</formula>
    </cfRule>
  </conditionalFormatting>
  <conditionalFormatting sqref="B52:C52">
    <cfRule type="cellIs" dxfId="1649" priority="1637" stopIfTrue="1" operator="equal">
      <formula>"Towel"</formula>
    </cfRule>
    <cfRule type="cellIs" dxfId="1648" priority="1638" stopIfTrue="1" operator="equal">
      <formula>"Napkin Hs"</formula>
    </cfRule>
  </conditionalFormatting>
  <conditionalFormatting sqref="C52">
    <cfRule type="cellIs" dxfId="1647" priority="1645" stopIfTrue="1" operator="equal">
      <formula>"Towel"</formula>
    </cfRule>
    <cfRule type="cellIs" dxfId="1646" priority="1646" stopIfTrue="1" operator="equal">
      <formula>"Napkin Hs"</formula>
    </cfRule>
  </conditionalFormatting>
  <conditionalFormatting sqref="C52">
    <cfRule type="cellIs" dxfId="1645" priority="1647" stopIfTrue="1" operator="equal">
      <formula>"Towel"</formula>
    </cfRule>
    <cfRule type="cellIs" dxfId="1644" priority="1648" stopIfTrue="1" operator="equal">
      <formula>"Napkin Hs"</formula>
    </cfRule>
  </conditionalFormatting>
  <conditionalFormatting sqref="C52">
    <cfRule type="cellIs" dxfId="1643" priority="1629" stopIfTrue="1" operator="equal">
      <formula>"Towel"</formula>
    </cfRule>
    <cfRule type="cellIs" dxfId="1642" priority="1630" stopIfTrue="1" operator="equal">
      <formula>"Napkin Hs"</formula>
    </cfRule>
  </conditionalFormatting>
  <conditionalFormatting sqref="B52:C52">
    <cfRule type="cellIs" dxfId="1641" priority="1631" stopIfTrue="1" operator="equal">
      <formula>"Towel"</formula>
    </cfRule>
    <cfRule type="cellIs" dxfId="1640" priority="1632" stopIfTrue="1" operator="equal">
      <formula>"Napkin Hs"</formula>
    </cfRule>
  </conditionalFormatting>
  <conditionalFormatting sqref="C52">
    <cfRule type="cellIs" dxfId="1639" priority="1627" stopIfTrue="1" operator="equal">
      <formula>"Towel"</formula>
    </cfRule>
    <cfRule type="cellIs" dxfId="1638" priority="1628" stopIfTrue="1" operator="equal">
      <formula>"Napkin Hs"</formula>
    </cfRule>
  </conditionalFormatting>
  <conditionalFormatting sqref="B52:C52">
    <cfRule type="cellIs" dxfId="1637" priority="1625" stopIfTrue="1" operator="equal">
      <formula>"Towel"</formula>
    </cfRule>
    <cfRule type="cellIs" dxfId="1636" priority="1626" stopIfTrue="1" operator="equal">
      <formula>"Napkin Hs"</formula>
    </cfRule>
  </conditionalFormatting>
  <conditionalFormatting sqref="C52">
    <cfRule type="cellIs" dxfId="1635" priority="1633" stopIfTrue="1" operator="equal">
      <formula>"Towel"</formula>
    </cfRule>
    <cfRule type="cellIs" dxfId="1634" priority="1634" stopIfTrue="1" operator="equal">
      <formula>"Napkin Hs"</formula>
    </cfRule>
  </conditionalFormatting>
  <conditionalFormatting sqref="C52">
    <cfRule type="cellIs" dxfId="1633" priority="1635" stopIfTrue="1" operator="equal">
      <formula>"Towel"</formula>
    </cfRule>
    <cfRule type="cellIs" dxfId="1632" priority="1636" stopIfTrue="1" operator="equal">
      <formula>"Napkin Hs"</formula>
    </cfRule>
  </conditionalFormatting>
  <conditionalFormatting sqref="C74">
    <cfRule type="cellIs" dxfId="1631" priority="1617" stopIfTrue="1" operator="equal">
      <formula>"Towel"</formula>
    </cfRule>
    <cfRule type="cellIs" dxfId="1630" priority="1618" stopIfTrue="1" operator="equal">
      <formula>"Napkin Hs"</formula>
    </cfRule>
  </conditionalFormatting>
  <conditionalFormatting sqref="B74:C74">
    <cfRule type="cellIs" dxfId="1629" priority="1619" stopIfTrue="1" operator="equal">
      <formula>"Towel"</formula>
    </cfRule>
    <cfRule type="cellIs" dxfId="1628" priority="1620" stopIfTrue="1" operator="equal">
      <formula>"Napkin Hs"</formula>
    </cfRule>
  </conditionalFormatting>
  <conditionalFormatting sqref="C74">
    <cfRule type="cellIs" dxfId="1627" priority="1615" stopIfTrue="1" operator="equal">
      <formula>"Towel"</formula>
    </cfRule>
    <cfRule type="cellIs" dxfId="1626" priority="1616" stopIfTrue="1" operator="equal">
      <formula>"Napkin Hs"</formula>
    </cfRule>
  </conditionalFormatting>
  <conditionalFormatting sqref="B74:C74">
    <cfRule type="cellIs" dxfId="1625" priority="1613" stopIfTrue="1" operator="equal">
      <formula>"Towel"</formula>
    </cfRule>
    <cfRule type="cellIs" dxfId="1624" priority="1614" stopIfTrue="1" operator="equal">
      <formula>"Napkin Hs"</formula>
    </cfRule>
  </conditionalFormatting>
  <conditionalFormatting sqref="C74">
    <cfRule type="cellIs" dxfId="1623" priority="1621" stopIfTrue="1" operator="equal">
      <formula>"Towel"</formula>
    </cfRule>
    <cfRule type="cellIs" dxfId="1622" priority="1622" stopIfTrue="1" operator="equal">
      <formula>"Napkin Hs"</formula>
    </cfRule>
  </conditionalFormatting>
  <conditionalFormatting sqref="C74">
    <cfRule type="cellIs" dxfId="1621" priority="1623" stopIfTrue="1" operator="equal">
      <formula>"Towel"</formula>
    </cfRule>
    <cfRule type="cellIs" dxfId="1620" priority="1624" stopIfTrue="1" operator="equal">
      <formula>"Napkin Hs"</formula>
    </cfRule>
  </conditionalFormatting>
  <conditionalFormatting sqref="C79">
    <cfRule type="cellIs" dxfId="1619" priority="1605" stopIfTrue="1" operator="equal">
      <formula>"Towel"</formula>
    </cfRule>
    <cfRule type="cellIs" dxfId="1618" priority="1606" stopIfTrue="1" operator="equal">
      <formula>"Napkin Hs"</formula>
    </cfRule>
  </conditionalFormatting>
  <conditionalFormatting sqref="B79:C79">
    <cfRule type="cellIs" dxfId="1617" priority="1607" stopIfTrue="1" operator="equal">
      <formula>"Towel"</formula>
    </cfRule>
    <cfRule type="cellIs" dxfId="1616" priority="1608" stopIfTrue="1" operator="equal">
      <formula>"Napkin Hs"</formula>
    </cfRule>
  </conditionalFormatting>
  <conditionalFormatting sqref="C79">
    <cfRule type="cellIs" dxfId="1615" priority="1603" stopIfTrue="1" operator="equal">
      <formula>"Towel"</formula>
    </cfRule>
    <cfRule type="cellIs" dxfId="1614" priority="1604" stopIfTrue="1" operator="equal">
      <formula>"Napkin Hs"</formula>
    </cfRule>
  </conditionalFormatting>
  <conditionalFormatting sqref="B79:C79">
    <cfRule type="cellIs" dxfId="1613" priority="1601" stopIfTrue="1" operator="equal">
      <formula>"Towel"</formula>
    </cfRule>
    <cfRule type="cellIs" dxfId="1612" priority="1602" stopIfTrue="1" operator="equal">
      <formula>"Napkin Hs"</formula>
    </cfRule>
  </conditionalFormatting>
  <conditionalFormatting sqref="C79">
    <cfRule type="cellIs" dxfId="1611" priority="1609" stopIfTrue="1" operator="equal">
      <formula>"Towel"</formula>
    </cfRule>
    <cfRule type="cellIs" dxfId="1610" priority="1610" stopIfTrue="1" operator="equal">
      <formula>"Napkin Hs"</formula>
    </cfRule>
  </conditionalFormatting>
  <conditionalFormatting sqref="C79">
    <cfRule type="cellIs" dxfId="1609" priority="1611" stopIfTrue="1" operator="equal">
      <formula>"Towel"</formula>
    </cfRule>
    <cfRule type="cellIs" dxfId="1608" priority="1612" stopIfTrue="1" operator="equal">
      <formula>"Napkin Hs"</formula>
    </cfRule>
  </conditionalFormatting>
  <conditionalFormatting sqref="C84">
    <cfRule type="cellIs" dxfId="1607" priority="1593" stopIfTrue="1" operator="equal">
      <formula>"Towel"</formula>
    </cfRule>
    <cfRule type="cellIs" dxfId="1606" priority="1594" stopIfTrue="1" operator="equal">
      <formula>"Napkin Hs"</formula>
    </cfRule>
  </conditionalFormatting>
  <conditionalFormatting sqref="B84:C84">
    <cfRule type="cellIs" dxfId="1605" priority="1595" stopIfTrue="1" operator="equal">
      <formula>"Towel"</formula>
    </cfRule>
    <cfRule type="cellIs" dxfId="1604" priority="1596" stopIfTrue="1" operator="equal">
      <formula>"Napkin Hs"</formula>
    </cfRule>
  </conditionalFormatting>
  <conditionalFormatting sqref="C84">
    <cfRule type="cellIs" dxfId="1603" priority="1591" stopIfTrue="1" operator="equal">
      <formula>"Towel"</formula>
    </cfRule>
    <cfRule type="cellIs" dxfId="1602" priority="1592" stopIfTrue="1" operator="equal">
      <formula>"Napkin Hs"</formula>
    </cfRule>
  </conditionalFormatting>
  <conditionalFormatting sqref="B84:C84">
    <cfRule type="cellIs" dxfId="1601" priority="1589" stopIfTrue="1" operator="equal">
      <formula>"Towel"</formula>
    </cfRule>
    <cfRule type="cellIs" dxfId="1600" priority="1590" stopIfTrue="1" operator="equal">
      <formula>"Napkin Hs"</formula>
    </cfRule>
  </conditionalFormatting>
  <conditionalFormatting sqref="C84">
    <cfRule type="cellIs" dxfId="1599" priority="1597" stopIfTrue="1" operator="equal">
      <formula>"Towel"</formula>
    </cfRule>
    <cfRule type="cellIs" dxfId="1598" priority="1598" stopIfTrue="1" operator="equal">
      <formula>"Napkin Hs"</formula>
    </cfRule>
  </conditionalFormatting>
  <conditionalFormatting sqref="C84">
    <cfRule type="cellIs" dxfId="1597" priority="1599" stopIfTrue="1" operator="equal">
      <formula>"Towel"</formula>
    </cfRule>
    <cfRule type="cellIs" dxfId="1596" priority="1600" stopIfTrue="1" operator="equal">
      <formula>"Napkin Hs"</formula>
    </cfRule>
  </conditionalFormatting>
  <conditionalFormatting sqref="B89:C89">
    <cfRule type="cellIs" dxfId="1595" priority="1587" stopIfTrue="1" operator="equal">
      <formula>"Towel"</formula>
    </cfRule>
    <cfRule type="cellIs" dxfId="1594" priority="1588" stopIfTrue="1" operator="equal">
      <formula>"Napkin Hs"</formula>
    </cfRule>
  </conditionalFormatting>
  <conditionalFormatting sqref="C89">
    <cfRule type="cellIs" dxfId="1593" priority="1585" stopIfTrue="1" operator="equal">
      <formula>"Towel"</formula>
    </cfRule>
    <cfRule type="cellIs" dxfId="1592" priority="1586" stopIfTrue="1" operator="equal">
      <formula>"Napkin Hs"</formula>
    </cfRule>
  </conditionalFormatting>
  <conditionalFormatting sqref="C89">
    <cfRule type="cellIs" dxfId="1591" priority="1583" stopIfTrue="1" operator="equal">
      <formula>"Towel"</formula>
    </cfRule>
    <cfRule type="cellIs" dxfId="1590" priority="1584" stopIfTrue="1" operator="equal">
      <formula>"Napkin Hs"</formula>
    </cfRule>
  </conditionalFormatting>
  <conditionalFormatting sqref="C89">
    <cfRule type="cellIs" dxfId="1589" priority="1575" stopIfTrue="1" operator="equal">
      <formula>"Towel"</formula>
    </cfRule>
    <cfRule type="cellIs" dxfId="1588" priority="1576" stopIfTrue="1" operator="equal">
      <formula>"Napkin Hs"</formula>
    </cfRule>
  </conditionalFormatting>
  <conditionalFormatting sqref="B89:C89">
    <cfRule type="cellIs" dxfId="1587" priority="1577" stopIfTrue="1" operator="equal">
      <formula>"Towel"</formula>
    </cfRule>
    <cfRule type="cellIs" dxfId="1586" priority="1578" stopIfTrue="1" operator="equal">
      <formula>"Napkin Hs"</formula>
    </cfRule>
  </conditionalFormatting>
  <conditionalFormatting sqref="C89">
    <cfRule type="cellIs" dxfId="1585" priority="1573" stopIfTrue="1" operator="equal">
      <formula>"Towel"</formula>
    </cfRule>
    <cfRule type="cellIs" dxfId="1584" priority="1574" stopIfTrue="1" operator="equal">
      <formula>"Napkin Hs"</formula>
    </cfRule>
  </conditionalFormatting>
  <conditionalFormatting sqref="B89:C89">
    <cfRule type="cellIs" dxfId="1583" priority="1571" stopIfTrue="1" operator="equal">
      <formula>"Towel"</formula>
    </cfRule>
    <cfRule type="cellIs" dxfId="1582" priority="1572" stopIfTrue="1" operator="equal">
      <formula>"Napkin Hs"</formula>
    </cfRule>
  </conditionalFormatting>
  <conditionalFormatting sqref="C89">
    <cfRule type="cellIs" dxfId="1581" priority="1579" stopIfTrue="1" operator="equal">
      <formula>"Towel"</formula>
    </cfRule>
    <cfRule type="cellIs" dxfId="1580" priority="1580" stopIfTrue="1" operator="equal">
      <formula>"Napkin Hs"</formula>
    </cfRule>
  </conditionalFormatting>
  <conditionalFormatting sqref="C89">
    <cfRule type="cellIs" dxfId="1579" priority="1581" stopIfTrue="1" operator="equal">
      <formula>"Towel"</formula>
    </cfRule>
    <cfRule type="cellIs" dxfId="1578" priority="1582" stopIfTrue="1" operator="equal">
      <formula>"Napkin Hs"</formula>
    </cfRule>
  </conditionalFormatting>
  <conditionalFormatting sqref="B100:C100">
    <cfRule type="cellIs" dxfId="1577" priority="1569" stopIfTrue="1" operator="equal">
      <formula>"Towel"</formula>
    </cfRule>
    <cfRule type="cellIs" dxfId="1576" priority="1570" stopIfTrue="1" operator="equal">
      <formula>"Napkin Hs"</formula>
    </cfRule>
  </conditionalFormatting>
  <conditionalFormatting sqref="C100">
    <cfRule type="cellIs" dxfId="1575" priority="1567" stopIfTrue="1" operator="equal">
      <formula>"Towel"</formula>
    </cfRule>
    <cfRule type="cellIs" dxfId="1574" priority="1568" stopIfTrue="1" operator="equal">
      <formula>"Napkin Hs"</formula>
    </cfRule>
  </conditionalFormatting>
  <conditionalFormatting sqref="C100">
    <cfRule type="cellIs" dxfId="1573" priority="1565" stopIfTrue="1" operator="equal">
      <formula>"Towel"</formula>
    </cfRule>
    <cfRule type="cellIs" dxfId="1572" priority="1566" stopIfTrue="1" operator="equal">
      <formula>"Napkin Hs"</formula>
    </cfRule>
  </conditionalFormatting>
  <conditionalFormatting sqref="C100">
    <cfRule type="cellIs" dxfId="1571" priority="1557" stopIfTrue="1" operator="equal">
      <formula>"Towel"</formula>
    </cfRule>
    <cfRule type="cellIs" dxfId="1570" priority="1558" stopIfTrue="1" operator="equal">
      <formula>"Napkin Hs"</formula>
    </cfRule>
  </conditionalFormatting>
  <conditionalFormatting sqref="B100:C100">
    <cfRule type="cellIs" dxfId="1569" priority="1559" stopIfTrue="1" operator="equal">
      <formula>"Towel"</formula>
    </cfRule>
    <cfRule type="cellIs" dxfId="1568" priority="1560" stopIfTrue="1" operator="equal">
      <formula>"Napkin Hs"</formula>
    </cfRule>
  </conditionalFormatting>
  <conditionalFormatting sqref="C100">
    <cfRule type="cellIs" dxfId="1567" priority="1555" stopIfTrue="1" operator="equal">
      <formula>"Towel"</formula>
    </cfRule>
    <cfRule type="cellIs" dxfId="1566" priority="1556" stopIfTrue="1" operator="equal">
      <formula>"Napkin Hs"</formula>
    </cfRule>
  </conditionalFormatting>
  <conditionalFormatting sqref="B100:C100">
    <cfRule type="cellIs" dxfId="1565" priority="1553" stopIfTrue="1" operator="equal">
      <formula>"Towel"</formula>
    </cfRule>
    <cfRule type="cellIs" dxfId="1564" priority="1554" stopIfTrue="1" operator="equal">
      <formula>"Napkin Hs"</formula>
    </cfRule>
  </conditionalFormatting>
  <conditionalFormatting sqref="C100">
    <cfRule type="cellIs" dxfId="1563" priority="1561" stopIfTrue="1" operator="equal">
      <formula>"Towel"</formula>
    </cfRule>
    <cfRule type="cellIs" dxfId="1562" priority="1562" stopIfTrue="1" operator="equal">
      <formula>"Napkin Hs"</formula>
    </cfRule>
  </conditionalFormatting>
  <conditionalFormatting sqref="C100">
    <cfRule type="cellIs" dxfId="1561" priority="1563" stopIfTrue="1" operator="equal">
      <formula>"Towel"</formula>
    </cfRule>
    <cfRule type="cellIs" dxfId="1560" priority="1564" stopIfTrue="1" operator="equal">
      <formula>"Napkin Hs"</formula>
    </cfRule>
  </conditionalFormatting>
  <conditionalFormatting sqref="B105:C105">
    <cfRule type="cellIs" dxfId="1559" priority="1551" stopIfTrue="1" operator="equal">
      <formula>"Towel"</formula>
    </cfRule>
    <cfRule type="cellIs" dxfId="1558" priority="1552" stopIfTrue="1" operator="equal">
      <formula>"Napkin Hs"</formula>
    </cfRule>
  </conditionalFormatting>
  <conditionalFormatting sqref="C105">
    <cfRule type="cellIs" dxfId="1557" priority="1549" stopIfTrue="1" operator="equal">
      <formula>"Towel"</formula>
    </cfRule>
    <cfRule type="cellIs" dxfId="1556" priority="1550" stopIfTrue="1" operator="equal">
      <formula>"Napkin Hs"</formula>
    </cfRule>
  </conditionalFormatting>
  <conditionalFormatting sqref="C105">
    <cfRule type="cellIs" dxfId="1555" priority="1547" stopIfTrue="1" operator="equal">
      <formula>"Towel"</formula>
    </cfRule>
    <cfRule type="cellIs" dxfId="1554" priority="1548" stopIfTrue="1" operator="equal">
      <formula>"Napkin Hs"</formula>
    </cfRule>
  </conditionalFormatting>
  <conditionalFormatting sqref="C105">
    <cfRule type="cellIs" dxfId="1553" priority="1539" stopIfTrue="1" operator="equal">
      <formula>"Towel"</formula>
    </cfRule>
    <cfRule type="cellIs" dxfId="1552" priority="1540" stopIfTrue="1" operator="equal">
      <formula>"Napkin Hs"</formula>
    </cfRule>
  </conditionalFormatting>
  <conditionalFormatting sqref="B105:C105">
    <cfRule type="cellIs" dxfId="1551" priority="1541" stopIfTrue="1" operator="equal">
      <formula>"Towel"</formula>
    </cfRule>
    <cfRule type="cellIs" dxfId="1550" priority="1542" stopIfTrue="1" operator="equal">
      <formula>"Napkin Hs"</formula>
    </cfRule>
  </conditionalFormatting>
  <conditionalFormatting sqref="C105">
    <cfRule type="cellIs" dxfId="1549" priority="1537" stopIfTrue="1" operator="equal">
      <formula>"Towel"</formula>
    </cfRule>
    <cfRule type="cellIs" dxfId="1548" priority="1538" stopIfTrue="1" operator="equal">
      <formula>"Napkin Hs"</formula>
    </cfRule>
  </conditionalFormatting>
  <conditionalFormatting sqref="B105:C105">
    <cfRule type="cellIs" dxfId="1547" priority="1535" stopIfTrue="1" operator="equal">
      <formula>"Towel"</formula>
    </cfRule>
    <cfRule type="cellIs" dxfId="1546" priority="1536" stopIfTrue="1" operator="equal">
      <formula>"Napkin Hs"</formula>
    </cfRule>
  </conditionalFormatting>
  <conditionalFormatting sqref="C105">
    <cfRule type="cellIs" dxfId="1545" priority="1543" stopIfTrue="1" operator="equal">
      <formula>"Towel"</formula>
    </cfRule>
    <cfRule type="cellIs" dxfId="1544" priority="1544" stopIfTrue="1" operator="equal">
      <formula>"Napkin Hs"</formula>
    </cfRule>
  </conditionalFormatting>
  <conditionalFormatting sqref="C105">
    <cfRule type="cellIs" dxfId="1543" priority="1545" stopIfTrue="1" operator="equal">
      <formula>"Towel"</formula>
    </cfRule>
    <cfRule type="cellIs" dxfId="1542" priority="1546" stopIfTrue="1" operator="equal">
      <formula>"Napkin Hs"</formula>
    </cfRule>
  </conditionalFormatting>
  <conditionalFormatting sqref="C105">
    <cfRule type="cellIs" dxfId="1541" priority="1527" stopIfTrue="1" operator="equal">
      <formula>"Towel"</formula>
    </cfRule>
    <cfRule type="cellIs" dxfId="1540" priority="1528" stopIfTrue="1" operator="equal">
      <formula>"Napkin Hs"</formula>
    </cfRule>
  </conditionalFormatting>
  <conditionalFormatting sqref="C105">
    <cfRule type="cellIs" dxfId="1539" priority="1525" stopIfTrue="1" operator="equal">
      <formula>"Towel"</formula>
    </cfRule>
    <cfRule type="cellIs" dxfId="1538" priority="1526" stopIfTrue="1" operator="equal">
      <formula>"Napkin Hs"</formula>
    </cfRule>
  </conditionalFormatting>
  <conditionalFormatting sqref="B105:C105">
    <cfRule type="cellIs" dxfId="1537" priority="1523" stopIfTrue="1" operator="equal">
      <formula>"Towel"</formula>
    </cfRule>
    <cfRule type="cellIs" dxfId="1536" priority="1524" stopIfTrue="1" operator="equal">
      <formula>"Napkin Hs"</formula>
    </cfRule>
  </conditionalFormatting>
  <conditionalFormatting sqref="B105:C105">
    <cfRule type="cellIs" dxfId="1535" priority="1533" stopIfTrue="1" operator="equal">
      <formula>"Towel"</formula>
    </cfRule>
    <cfRule type="cellIs" dxfId="1534" priority="1534" stopIfTrue="1" operator="equal">
      <formula>"Napkin Hs"</formula>
    </cfRule>
  </conditionalFormatting>
  <conditionalFormatting sqref="C105">
    <cfRule type="cellIs" dxfId="1533" priority="1531" stopIfTrue="1" operator="equal">
      <formula>"Towel"</formula>
    </cfRule>
    <cfRule type="cellIs" dxfId="1532" priority="1532" stopIfTrue="1" operator="equal">
      <formula>"Napkin Hs"</formula>
    </cfRule>
  </conditionalFormatting>
  <conditionalFormatting sqref="C105">
    <cfRule type="cellIs" dxfId="1531" priority="1529" stopIfTrue="1" operator="equal">
      <formula>"Towel"</formula>
    </cfRule>
    <cfRule type="cellIs" dxfId="1530" priority="1530" stopIfTrue="1" operator="equal">
      <formula>"Napkin Hs"</formula>
    </cfRule>
  </conditionalFormatting>
  <conditionalFormatting sqref="C105">
    <cfRule type="cellIs" dxfId="1529" priority="1521" stopIfTrue="1" operator="equal">
      <formula>"Towel"</formula>
    </cfRule>
    <cfRule type="cellIs" dxfId="1528" priority="1522" stopIfTrue="1" operator="equal">
      <formula>"Napkin Hs"</formula>
    </cfRule>
  </conditionalFormatting>
  <conditionalFormatting sqref="C105">
    <cfRule type="cellIs" dxfId="1527" priority="1519" stopIfTrue="1" operator="equal">
      <formula>"Towel"</formula>
    </cfRule>
    <cfRule type="cellIs" dxfId="1526" priority="1520" stopIfTrue="1" operator="equal">
      <formula>"Napkin Hs"</formula>
    </cfRule>
  </conditionalFormatting>
  <conditionalFormatting sqref="B105:C105">
    <cfRule type="cellIs" dxfId="1525" priority="1517" stopIfTrue="1" operator="equal">
      <formula>"Towel"</formula>
    </cfRule>
    <cfRule type="cellIs" dxfId="1524" priority="1518" stopIfTrue="1" operator="equal">
      <formula>"Napkin Hs"</formula>
    </cfRule>
  </conditionalFormatting>
  <conditionalFormatting sqref="C110">
    <cfRule type="cellIs" dxfId="1523" priority="1509" stopIfTrue="1" operator="equal">
      <formula>"Towel"</formula>
    </cfRule>
    <cfRule type="cellIs" dxfId="1522" priority="1510" stopIfTrue="1" operator="equal">
      <formula>"Napkin Hs"</formula>
    </cfRule>
  </conditionalFormatting>
  <conditionalFormatting sqref="C110">
    <cfRule type="cellIs" dxfId="1521" priority="1507" stopIfTrue="1" operator="equal">
      <formula>"Towel"</formula>
    </cfRule>
    <cfRule type="cellIs" dxfId="1520" priority="1508" stopIfTrue="1" operator="equal">
      <formula>"Napkin Hs"</formula>
    </cfRule>
  </conditionalFormatting>
  <conditionalFormatting sqref="B110:C110">
    <cfRule type="cellIs" dxfId="1519" priority="1505" stopIfTrue="1" operator="equal">
      <formula>"Towel"</formula>
    </cfRule>
    <cfRule type="cellIs" dxfId="1518" priority="1506" stopIfTrue="1" operator="equal">
      <formula>"Napkin Hs"</formula>
    </cfRule>
  </conditionalFormatting>
  <conditionalFormatting sqref="B110:C110">
    <cfRule type="cellIs" dxfId="1517" priority="1499" stopIfTrue="1" operator="equal">
      <formula>"Towel"</formula>
    </cfRule>
    <cfRule type="cellIs" dxfId="1516" priority="1500" stopIfTrue="1" operator="equal">
      <formula>"Napkin Hs"</formula>
    </cfRule>
  </conditionalFormatting>
  <conditionalFormatting sqref="C110">
    <cfRule type="cellIs" dxfId="1515" priority="1501" stopIfTrue="1" operator="equal">
      <formula>"Towel"</formula>
    </cfRule>
    <cfRule type="cellIs" dxfId="1514" priority="1502" stopIfTrue="1" operator="equal">
      <formula>"Napkin Hs"</formula>
    </cfRule>
  </conditionalFormatting>
  <conditionalFormatting sqref="C110">
    <cfRule type="cellIs" dxfId="1513" priority="1503" stopIfTrue="1" operator="equal">
      <formula>"Towel"</formula>
    </cfRule>
    <cfRule type="cellIs" dxfId="1512" priority="1504" stopIfTrue="1" operator="equal">
      <formula>"Napkin Hs"</formula>
    </cfRule>
  </conditionalFormatting>
  <conditionalFormatting sqref="B110:C110">
    <cfRule type="cellIs" dxfId="1511" priority="1515" stopIfTrue="1" operator="equal">
      <formula>"Towel"</formula>
    </cfRule>
    <cfRule type="cellIs" dxfId="1510" priority="1516" stopIfTrue="1" operator="equal">
      <formula>"Napkin Hs"</formula>
    </cfRule>
  </conditionalFormatting>
  <conditionalFormatting sqref="C110">
    <cfRule type="cellIs" dxfId="1509" priority="1513" stopIfTrue="1" operator="equal">
      <formula>"Towel"</formula>
    </cfRule>
    <cfRule type="cellIs" dxfId="1508" priority="1514" stopIfTrue="1" operator="equal">
      <formula>"Napkin Hs"</formula>
    </cfRule>
  </conditionalFormatting>
  <conditionalFormatting sqref="C110">
    <cfRule type="cellIs" dxfId="1507" priority="1511" stopIfTrue="1" operator="equal">
      <formula>"Towel"</formula>
    </cfRule>
    <cfRule type="cellIs" dxfId="1506" priority="1512" stopIfTrue="1" operator="equal">
      <formula>"Napkin Hs"</formula>
    </cfRule>
  </conditionalFormatting>
  <conditionalFormatting sqref="C110">
    <cfRule type="cellIs" dxfId="1505" priority="1485" stopIfTrue="1" operator="equal">
      <formula>"Towel"</formula>
    </cfRule>
    <cfRule type="cellIs" dxfId="1504" priority="1486" stopIfTrue="1" operator="equal">
      <formula>"Napkin Hs"</formula>
    </cfRule>
  </conditionalFormatting>
  <conditionalFormatting sqref="C110">
    <cfRule type="cellIs" dxfId="1503" priority="1483" stopIfTrue="1" operator="equal">
      <formula>"Towel"</formula>
    </cfRule>
    <cfRule type="cellIs" dxfId="1502" priority="1484" stopIfTrue="1" operator="equal">
      <formula>"Napkin Hs"</formula>
    </cfRule>
  </conditionalFormatting>
  <conditionalFormatting sqref="B110:C110">
    <cfRule type="cellIs" dxfId="1501" priority="1481" stopIfTrue="1" operator="equal">
      <formula>"Towel"</formula>
    </cfRule>
    <cfRule type="cellIs" dxfId="1500" priority="1482" stopIfTrue="1" operator="equal">
      <formula>"Napkin Hs"</formula>
    </cfRule>
  </conditionalFormatting>
  <conditionalFormatting sqref="C110">
    <cfRule type="cellIs" dxfId="1499" priority="1491" stopIfTrue="1" operator="equal">
      <formula>"Towel"</formula>
    </cfRule>
    <cfRule type="cellIs" dxfId="1498" priority="1492" stopIfTrue="1" operator="equal">
      <formula>"Napkin Hs"</formula>
    </cfRule>
  </conditionalFormatting>
  <conditionalFormatting sqref="C110">
    <cfRule type="cellIs" dxfId="1497" priority="1489" stopIfTrue="1" operator="equal">
      <formula>"Towel"</formula>
    </cfRule>
    <cfRule type="cellIs" dxfId="1496" priority="1490" stopIfTrue="1" operator="equal">
      <formula>"Napkin Hs"</formula>
    </cfRule>
  </conditionalFormatting>
  <conditionalFormatting sqref="B110:C110">
    <cfRule type="cellIs" dxfId="1495" priority="1487" stopIfTrue="1" operator="equal">
      <formula>"Towel"</formula>
    </cfRule>
    <cfRule type="cellIs" dxfId="1494" priority="1488" stopIfTrue="1" operator="equal">
      <formula>"Napkin Hs"</formula>
    </cfRule>
  </conditionalFormatting>
  <conditionalFormatting sqref="B110:C110">
    <cfRule type="cellIs" dxfId="1493" priority="1497" stopIfTrue="1" operator="equal">
      <formula>"Towel"</formula>
    </cfRule>
    <cfRule type="cellIs" dxfId="1492" priority="1498" stopIfTrue="1" operator="equal">
      <formula>"Napkin Hs"</formula>
    </cfRule>
  </conditionalFormatting>
  <conditionalFormatting sqref="C110">
    <cfRule type="cellIs" dxfId="1491" priority="1495" stopIfTrue="1" operator="equal">
      <formula>"Towel"</formula>
    </cfRule>
    <cfRule type="cellIs" dxfId="1490" priority="1496" stopIfTrue="1" operator="equal">
      <formula>"Napkin Hs"</formula>
    </cfRule>
  </conditionalFormatting>
  <conditionalFormatting sqref="C110">
    <cfRule type="cellIs" dxfId="1489" priority="1493" stopIfTrue="1" operator="equal">
      <formula>"Towel"</formula>
    </cfRule>
    <cfRule type="cellIs" dxfId="1488" priority="1494" stopIfTrue="1" operator="equal">
      <formula>"Napkin Hs"</formula>
    </cfRule>
  </conditionalFormatting>
  <conditionalFormatting sqref="C115">
    <cfRule type="cellIs" dxfId="1487" priority="1473" stopIfTrue="1" operator="equal">
      <formula>"Towel"</formula>
    </cfRule>
    <cfRule type="cellIs" dxfId="1486" priority="1474" stopIfTrue="1" operator="equal">
      <formula>"Napkin Hs"</formula>
    </cfRule>
  </conditionalFormatting>
  <conditionalFormatting sqref="C115">
    <cfRule type="cellIs" dxfId="1485" priority="1471" stopIfTrue="1" operator="equal">
      <formula>"Towel"</formula>
    </cfRule>
    <cfRule type="cellIs" dxfId="1484" priority="1472" stopIfTrue="1" operator="equal">
      <formula>"Napkin Hs"</formula>
    </cfRule>
  </conditionalFormatting>
  <conditionalFormatting sqref="B115:C115">
    <cfRule type="cellIs" dxfId="1483" priority="1469" stopIfTrue="1" operator="equal">
      <formula>"Towel"</formula>
    </cfRule>
    <cfRule type="cellIs" dxfId="1482" priority="1470" stopIfTrue="1" operator="equal">
      <formula>"Napkin Hs"</formula>
    </cfRule>
  </conditionalFormatting>
  <conditionalFormatting sqref="B115:C115">
    <cfRule type="cellIs" dxfId="1481" priority="1463" stopIfTrue="1" operator="equal">
      <formula>"Towel"</formula>
    </cfRule>
    <cfRule type="cellIs" dxfId="1480" priority="1464" stopIfTrue="1" operator="equal">
      <formula>"Napkin Hs"</formula>
    </cfRule>
  </conditionalFormatting>
  <conditionalFormatting sqref="C115">
    <cfRule type="cellIs" dxfId="1479" priority="1465" stopIfTrue="1" operator="equal">
      <formula>"Towel"</formula>
    </cfRule>
    <cfRule type="cellIs" dxfId="1478" priority="1466" stopIfTrue="1" operator="equal">
      <formula>"Napkin Hs"</formula>
    </cfRule>
  </conditionalFormatting>
  <conditionalFormatting sqref="C115">
    <cfRule type="cellIs" dxfId="1477" priority="1467" stopIfTrue="1" operator="equal">
      <formula>"Towel"</formula>
    </cfRule>
    <cfRule type="cellIs" dxfId="1476" priority="1468" stopIfTrue="1" operator="equal">
      <formula>"Napkin Hs"</formula>
    </cfRule>
  </conditionalFormatting>
  <conditionalFormatting sqref="B115:C115">
    <cfRule type="cellIs" dxfId="1475" priority="1479" stopIfTrue="1" operator="equal">
      <formula>"Towel"</formula>
    </cfRule>
    <cfRule type="cellIs" dxfId="1474" priority="1480" stopIfTrue="1" operator="equal">
      <formula>"Napkin Hs"</formula>
    </cfRule>
  </conditionalFormatting>
  <conditionalFormatting sqref="C115">
    <cfRule type="cellIs" dxfId="1473" priority="1477" stopIfTrue="1" operator="equal">
      <formula>"Towel"</formula>
    </cfRule>
    <cfRule type="cellIs" dxfId="1472" priority="1478" stopIfTrue="1" operator="equal">
      <formula>"Napkin Hs"</formula>
    </cfRule>
  </conditionalFormatting>
  <conditionalFormatting sqref="C115">
    <cfRule type="cellIs" dxfId="1471" priority="1475" stopIfTrue="1" operator="equal">
      <formula>"Towel"</formula>
    </cfRule>
    <cfRule type="cellIs" dxfId="1470" priority="1476" stopIfTrue="1" operator="equal">
      <formula>"Napkin Hs"</formula>
    </cfRule>
  </conditionalFormatting>
  <conditionalFormatting sqref="C115">
    <cfRule type="cellIs" dxfId="1469" priority="1449" stopIfTrue="1" operator="equal">
      <formula>"Towel"</formula>
    </cfRule>
    <cfRule type="cellIs" dxfId="1468" priority="1450" stopIfTrue="1" operator="equal">
      <formula>"Napkin Hs"</formula>
    </cfRule>
  </conditionalFormatting>
  <conditionalFormatting sqref="C115">
    <cfRule type="cellIs" dxfId="1467" priority="1447" stopIfTrue="1" operator="equal">
      <formula>"Towel"</formula>
    </cfRule>
    <cfRule type="cellIs" dxfId="1466" priority="1448" stopIfTrue="1" operator="equal">
      <formula>"Napkin Hs"</formula>
    </cfRule>
  </conditionalFormatting>
  <conditionalFormatting sqref="B115:C115">
    <cfRule type="cellIs" dxfId="1465" priority="1445" stopIfTrue="1" operator="equal">
      <formula>"Towel"</formula>
    </cfRule>
    <cfRule type="cellIs" dxfId="1464" priority="1446" stopIfTrue="1" operator="equal">
      <formula>"Napkin Hs"</formula>
    </cfRule>
  </conditionalFormatting>
  <conditionalFormatting sqref="C115">
    <cfRule type="cellIs" dxfId="1463" priority="1455" stopIfTrue="1" operator="equal">
      <formula>"Towel"</formula>
    </cfRule>
    <cfRule type="cellIs" dxfId="1462" priority="1456" stopIfTrue="1" operator="equal">
      <formula>"Napkin Hs"</formula>
    </cfRule>
  </conditionalFormatting>
  <conditionalFormatting sqref="C115">
    <cfRule type="cellIs" dxfId="1461" priority="1453" stopIfTrue="1" operator="equal">
      <formula>"Towel"</formula>
    </cfRule>
    <cfRule type="cellIs" dxfId="1460" priority="1454" stopIfTrue="1" operator="equal">
      <formula>"Napkin Hs"</formula>
    </cfRule>
  </conditionalFormatting>
  <conditionalFormatting sqref="B115:C115">
    <cfRule type="cellIs" dxfId="1459" priority="1451" stopIfTrue="1" operator="equal">
      <formula>"Towel"</formula>
    </cfRule>
    <cfRule type="cellIs" dxfId="1458" priority="1452" stopIfTrue="1" operator="equal">
      <formula>"Napkin Hs"</formula>
    </cfRule>
  </conditionalFormatting>
  <conditionalFormatting sqref="B115:C115">
    <cfRule type="cellIs" dxfId="1457" priority="1461" stopIfTrue="1" operator="equal">
      <formula>"Towel"</formula>
    </cfRule>
    <cfRule type="cellIs" dxfId="1456" priority="1462" stopIfTrue="1" operator="equal">
      <formula>"Napkin Hs"</formula>
    </cfRule>
  </conditionalFormatting>
  <conditionalFormatting sqref="C115">
    <cfRule type="cellIs" dxfId="1455" priority="1459" stopIfTrue="1" operator="equal">
      <formula>"Towel"</formula>
    </cfRule>
    <cfRule type="cellIs" dxfId="1454" priority="1460" stopIfTrue="1" operator="equal">
      <formula>"Napkin Hs"</formula>
    </cfRule>
  </conditionalFormatting>
  <conditionalFormatting sqref="C115">
    <cfRule type="cellIs" dxfId="1453" priority="1457" stopIfTrue="1" operator="equal">
      <formula>"Towel"</formula>
    </cfRule>
    <cfRule type="cellIs" dxfId="1452" priority="1458" stopIfTrue="1" operator="equal">
      <formula>"Napkin Hs"</formula>
    </cfRule>
  </conditionalFormatting>
  <conditionalFormatting sqref="B115:C115">
    <cfRule type="cellIs" dxfId="1451" priority="1443" stopIfTrue="1" operator="equal">
      <formula>"Towel"</formula>
    </cfRule>
    <cfRule type="cellIs" dxfId="1450" priority="1444" stopIfTrue="1" operator="equal">
      <formula>"Napkin Hs"</formula>
    </cfRule>
  </conditionalFormatting>
  <conditionalFormatting sqref="C115">
    <cfRule type="cellIs" dxfId="1449" priority="1439" stopIfTrue="1" operator="equal">
      <formula>"Towel"</formula>
    </cfRule>
    <cfRule type="cellIs" dxfId="1448" priority="1440" stopIfTrue="1" operator="equal">
      <formula>"Napkin Hs"</formula>
    </cfRule>
  </conditionalFormatting>
  <conditionalFormatting sqref="C115">
    <cfRule type="cellIs" dxfId="1447" priority="1441" stopIfTrue="1" operator="equal">
      <formula>"Towel"</formula>
    </cfRule>
    <cfRule type="cellIs" dxfId="1446" priority="1442" stopIfTrue="1" operator="equal">
      <formula>"Napkin Hs"</formula>
    </cfRule>
  </conditionalFormatting>
  <conditionalFormatting sqref="B115:C115">
    <cfRule type="cellIs" dxfId="1445" priority="1437" stopIfTrue="1" operator="equal">
      <formula>"Towel"</formula>
    </cfRule>
    <cfRule type="cellIs" dxfId="1444" priority="1438" stopIfTrue="1" operator="equal">
      <formula>"Napkin Hs"</formula>
    </cfRule>
  </conditionalFormatting>
  <conditionalFormatting sqref="C115">
    <cfRule type="cellIs" dxfId="1443" priority="1435" stopIfTrue="1" operator="equal">
      <formula>"Towel"</formula>
    </cfRule>
    <cfRule type="cellIs" dxfId="1442" priority="1436" stopIfTrue="1" operator="equal">
      <formula>"Napkin Hs"</formula>
    </cfRule>
  </conditionalFormatting>
  <conditionalFormatting sqref="C115">
    <cfRule type="cellIs" dxfId="1441" priority="1433" stopIfTrue="1" operator="equal">
      <formula>"Towel"</formula>
    </cfRule>
    <cfRule type="cellIs" dxfId="1440" priority="1434" stopIfTrue="1" operator="equal">
      <formula>"Napkin Hs"</formula>
    </cfRule>
  </conditionalFormatting>
  <conditionalFormatting sqref="C115">
    <cfRule type="cellIs" dxfId="1439" priority="1425" stopIfTrue="1" operator="equal">
      <formula>"Towel"</formula>
    </cfRule>
    <cfRule type="cellIs" dxfId="1438" priority="1426" stopIfTrue="1" operator="equal">
      <formula>"Napkin Hs"</formula>
    </cfRule>
  </conditionalFormatting>
  <conditionalFormatting sqref="B115:C115">
    <cfRule type="cellIs" dxfId="1437" priority="1427" stopIfTrue="1" operator="equal">
      <formula>"Towel"</formula>
    </cfRule>
    <cfRule type="cellIs" dxfId="1436" priority="1428" stopIfTrue="1" operator="equal">
      <formula>"Napkin Hs"</formula>
    </cfRule>
  </conditionalFormatting>
  <conditionalFormatting sqref="C115">
    <cfRule type="cellIs" dxfId="1435" priority="1423" stopIfTrue="1" operator="equal">
      <formula>"Towel"</formula>
    </cfRule>
    <cfRule type="cellIs" dxfId="1434" priority="1424" stopIfTrue="1" operator="equal">
      <formula>"Napkin Hs"</formula>
    </cfRule>
  </conditionalFormatting>
  <conditionalFormatting sqref="B115:C115">
    <cfRule type="cellIs" dxfId="1433" priority="1421" stopIfTrue="1" operator="equal">
      <formula>"Towel"</formula>
    </cfRule>
    <cfRule type="cellIs" dxfId="1432" priority="1422" stopIfTrue="1" operator="equal">
      <formula>"Napkin Hs"</formula>
    </cfRule>
  </conditionalFormatting>
  <conditionalFormatting sqref="C115">
    <cfRule type="cellIs" dxfId="1431" priority="1429" stopIfTrue="1" operator="equal">
      <formula>"Towel"</formula>
    </cfRule>
    <cfRule type="cellIs" dxfId="1430" priority="1430" stopIfTrue="1" operator="equal">
      <formula>"Napkin Hs"</formula>
    </cfRule>
  </conditionalFormatting>
  <conditionalFormatting sqref="C115">
    <cfRule type="cellIs" dxfId="1429" priority="1431" stopIfTrue="1" operator="equal">
      <formula>"Towel"</formula>
    </cfRule>
    <cfRule type="cellIs" dxfId="1428" priority="1432" stopIfTrue="1" operator="equal">
      <formula>"Napkin Hs"</formula>
    </cfRule>
  </conditionalFormatting>
  <conditionalFormatting sqref="B120:C120">
    <cfRule type="cellIs" dxfId="1427" priority="1419" stopIfTrue="1" operator="equal">
      <formula>"Towel"</formula>
    </cfRule>
    <cfRule type="cellIs" dxfId="1426" priority="1420" stopIfTrue="1" operator="equal">
      <formula>"Napkin Hs"</formula>
    </cfRule>
  </conditionalFormatting>
  <conditionalFormatting sqref="C120">
    <cfRule type="cellIs" dxfId="1425" priority="1399" stopIfTrue="1" operator="equal">
      <formula>"Towel"</formula>
    </cfRule>
    <cfRule type="cellIs" dxfId="1424" priority="1400" stopIfTrue="1" operator="equal">
      <formula>"Napkin Hs"</formula>
    </cfRule>
  </conditionalFormatting>
  <conditionalFormatting sqref="B120:C120">
    <cfRule type="cellIs" dxfId="1423" priority="1397" stopIfTrue="1" operator="equal">
      <formula>"Towel"</formula>
    </cfRule>
    <cfRule type="cellIs" dxfId="1422" priority="1398" stopIfTrue="1" operator="equal">
      <formula>"Napkin Hs"</formula>
    </cfRule>
  </conditionalFormatting>
  <conditionalFormatting sqref="C120">
    <cfRule type="cellIs" dxfId="1421" priority="1405" stopIfTrue="1" operator="equal">
      <formula>"Towel"</formula>
    </cfRule>
    <cfRule type="cellIs" dxfId="1420" priority="1406" stopIfTrue="1" operator="equal">
      <formula>"Napkin Hs"</formula>
    </cfRule>
  </conditionalFormatting>
  <conditionalFormatting sqref="B120:C120">
    <cfRule type="cellIs" dxfId="1419" priority="1403" stopIfTrue="1" operator="equal">
      <formula>"Towel"</formula>
    </cfRule>
    <cfRule type="cellIs" dxfId="1418" priority="1404" stopIfTrue="1" operator="equal">
      <formula>"Napkin Hs"</formula>
    </cfRule>
  </conditionalFormatting>
  <conditionalFormatting sqref="C120">
    <cfRule type="cellIs" dxfId="1417" priority="1401" stopIfTrue="1" operator="equal">
      <formula>"Towel"</formula>
    </cfRule>
    <cfRule type="cellIs" dxfId="1416" priority="1402" stopIfTrue="1" operator="equal">
      <formula>"Napkin Hs"</formula>
    </cfRule>
  </conditionalFormatting>
  <conditionalFormatting sqref="C120">
    <cfRule type="cellIs" dxfId="1415" priority="1411" stopIfTrue="1" operator="equal">
      <formula>"Towel"</formula>
    </cfRule>
    <cfRule type="cellIs" dxfId="1414" priority="1412" stopIfTrue="1" operator="equal">
      <formula>"Napkin Hs"</formula>
    </cfRule>
  </conditionalFormatting>
  <conditionalFormatting sqref="C120">
    <cfRule type="cellIs" dxfId="1413" priority="1409" stopIfTrue="1" operator="equal">
      <formula>"Towel"</formula>
    </cfRule>
    <cfRule type="cellIs" dxfId="1412" priority="1410" stopIfTrue="1" operator="equal">
      <formula>"Napkin Hs"</formula>
    </cfRule>
  </conditionalFormatting>
  <conditionalFormatting sqref="C120">
    <cfRule type="cellIs" dxfId="1411" priority="1407" stopIfTrue="1" operator="equal">
      <formula>"Towel"</formula>
    </cfRule>
    <cfRule type="cellIs" dxfId="1410" priority="1408" stopIfTrue="1" operator="equal">
      <formula>"Napkin Hs"</formula>
    </cfRule>
  </conditionalFormatting>
  <conditionalFormatting sqref="C127">
    <cfRule type="cellIs" dxfId="1409" priority="1395" stopIfTrue="1" operator="equal">
      <formula>"Towel"</formula>
    </cfRule>
    <cfRule type="cellIs" dxfId="1408" priority="1396" stopIfTrue="1" operator="equal">
      <formula>"Napkin Hs"</formula>
    </cfRule>
  </conditionalFormatting>
  <conditionalFormatting sqref="C127">
    <cfRule type="cellIs" dxfId="1407" priority="1387" stopIfTrue="1" operator="equal">
      <formula>"Towel"</formula>
    </cfRule>
    <cfRule type="cellIs" dxfId="1406" priority="1388" stopIfTrue="1" operator="equal">
      <formula>"Napkin Hs"</formula>
    </cfRule>
  </conditionalFormatting>
  <conditionalFormatting sqref="C127">
    <cfRule type="cellIs" dxfId="1405" priority="1385" stopIfTrue="1" operator="equal">
      <formula>"Towel"</formula>
    </cfRule>
    <cfRule type="cellIs" dxfId="1404" priority="1386" stopIfTrue="1" operator="equal">
      <formula>"Napkin Hs"</formula>
    </cfRule>
  </conditionalFormatting>
  <conditionalFormatting sqref="C127">
    <cfRule type="cellIs" dxfId="1403" priority="1383" stopIfTrue="1" operator="equal">
      <formula>"Towel"</formula>
    </cfRule>
    <cfRule type="cellIs" dxfId="1402" priority="1384" stopIfTrue="1" operator="equal">
      <formula>"Napkin Hs"</formula>
    </cfRule>
  </conditionalFormatting>
  <conditionalFormatting sqref="C127">
    <cfRule type="cellIs" dxfId="1401" priority="1377" stopIfTrue="1" operator="equal">
      <formula>"Towel"</formula>
    </cfRule>
    <cfRule type="cellIs" dxfId="1400" priority="1378" stopIfTrue="1" operator="equal">
      <formula>"Napkin Hs"</formula>
    </cfRule>
  </conditionalFormatting>
  <conditionalFormatting sqref="C127">
    <cfRule type="cellIs" dxfId="1399" priority="1379" stopIfTrue="1" operator="equal">
      <formula>"Towel"</formula>
    </cfRule>
    <cfRule type="cellIs" dxfId="1398" priority="1380" stopIfTrue="1" operator="equal">
      <formula>"Napkin Hs"</formula>
    </cfRule>
  </conditionalFormatting>
  <conditionalFormatting sqref="C127">
    <cfRule type="cellIs" dxfId="1397" priority="1381" stopIfTrue="1" operator="equal">
      <formula>"Towel"</formula>
    </cfRule>
    <cfRule type="cellIs" dxfId="1396" priority="1382" stopIfTrue="1" operator="equal">
      <formula>"Napkin Hs"</formula>
    </cfRule>
  </conditionalFormatting>
  <conditionalFormatting sqref="C127">
    <cfRule type="cellIs" dxfId="1395" priority="1393" stopIfTrue="1" operator="equal">
      <formula>"Towel"</formula>
    </cfRule>
    <cfRule type="cellIs" dxfId="1394" priority="1394" stopIfTrue="1" operator="equal">
      <formula>"Napkin Hs"</formula>
    </cfRule>
  </conditionalFormatting>
  <conditionalFormatting sqref="C127">
    <cfRule type="cellIs" dxfId="1393" priority="1391" stopIfTrue="1" operator="equal">
      <formula>"Towel"</formula>
    </cfRule>
    <cfRule type="cellIs" dxfId="1392" priority="1392" stopIfTrue="1" operator="equal">
      <formula>"Napkin Hs"</formula>
    </cfRule>
  </conditionalFormatting>
  <conditionalFormatting sqref="C127">
    <cfRule type="cellIs" dxfId="1391" priority="1389" stopIfTrue="1" operator="equal">
      <formula>"Towel"</formula>
    </cfRule>
    <cfRule type="cellIs" dxfId="1390" priority="1390" stopIfTrue="1" operator="equal">
      <formula>"Napkin Hs"</formula>
    </cfRule>
  </conditionalFormatting>
  <conditionalFormatting sqref="B126:C126">
    <cfRule type="cellIs" dxfId="1389" priority="1363" stopIfTrue="1" operator="equal">
      <formula>"Towel"</formula>
    </cfRule>
    <cfRule type="cellIs" dxfId="1388" priority="1364" stopIfTrue="1" operator="equal">
      <formula>"Napkin Hs"</formula>
    </cfRule>
  </conditionalFormatting>
  <conditionalFormatting sqref="C126">
    <cfRule type="cellIs" dxfId="1387" priority="1361" stopIfTrue="1" operator="equal">
      <formula>"Towel"</formula>
    </cfRule>
    <cfRule type="cellIs" dxfId="1386" priority="1362" stopIfTrue="1" operator="equal">
      <formula>"Napkin Hs"</formula>
    </cfRule>
  </conditionalFormatting>
  <conditionalFormatting sqref="C126">
    <cfRule type="cellIs" dxfId="1385" priority="1359" stopIfTrue="1" operator="equal">
      <formula>"Towel"</formula>
    </cfRule>
    <cfRule type="cellIs" dxfId="1384" priority="1360" stopIfTrue="1" operator="equal">
      <formula>"Napkin Hs"</formula>
    </cfRule>
  </conditionalFormatting>
  <conditionalFormatting sqref="B127">
    <cfRule type="cellIs" dxfId="1383" priority="1369" stopIfTrue="1" operator="equal">
      <formula>"Towel"</formula>
    </cfRule>
    <cfRule type="cellIs" dxfId="1382" priority="1370" stopIfTrue="1" operator="equal">
      <formula>"Napkin Hs"</formula>
    </cfRule>
  </conditionalFormatting>
  <conditionalFormatting sqref="B127">
    <cfRule type="cellIs" dxfId="1381" priority="1367" stopIfTrue="1" operator="equal">
      <formula>"Towel"</formula>
    </cfRule>
    <cfRule type="cellIs" dxfId="1380" priority="1368" stopIfTrue="1" operator="equal">
      <formula>"Napkin Hs"</formula>
    </cfRule>
  </conditionalFormatting>
  <conditionalFormatting sqref="B127">
    <cfRule type="cellIs" dxfId="1379" priority="1365" stopIfTrue="1" operator="equal">
      <formula>"Towel"</formula>
    </cfRule>
    <cfRule type="cellIs" dxfId="1378" priority="1366" stopIfTrue="1" operator="equal">
      <formula>"Napkin Hs"</formula>
    </cfRule>
  </conditionalFormatting>
  <conditionalFormatting sqref="B126:C126">
    <cfRule type="cellIs" dxfId="1377" priority="1357" stopIfTrue="1" operator="equal">
      <formula>"Towel"</formula>
    </cfRule>
    <cfRule type="cellIs" dxfId="1376" priority="1358" stopIfTrue="1" operator="equal">
      <formula>"Napkin Hs"</formula>
    </cfRule>
  </conditionalFormatting>
  <conditionalFormatting sqref="C126">
    <cfRule type="cellIs" dxfId="1375" priority="1355" stopIfTrue="1" operator="equal">
      <formula>"Towel"</formula>
    </cfRule>
    <cfRule type="cellIs" dxfId="1374" priority="1356" stopIfTrue="1" operator="equal">
      <formula>"Napkin Hs"</formula>
    </cfRule>
  </conditionalFormatting>
  <conditionalFormatting sqref="C126">
    <cfRule type="cellIs" dxfId="1373" priority="1353" stopIfTrue="1" operator="equal">
      <formula>"Towel"</formula>
    </cfRule>
    <cfRule type="cellIs" dxfId="1372" priority="1354" stopIfTrue="1" operator="equal">
      <formula>"Napkin Hs"</formula>
    </cfRule>
  </conditionalFormatting>
  <conditionalFormatting sqref="C127">
    <cfRule type="cellIs" dxfId="1371" priority="1375" stopIfTrue="1" operator="equal">
      <formula>"Towel"</formula>
    </cfRule>
    <cfRule type="cellIs" dxfId="1370" priority="1376" stopIfTrue="1" operator="equal">
      <formula>"Napkin Hs"</formula>
    </cfRule>
  </conditionalFormatting>
  <conditionalFormatting sqref="C127">
    <cfRule type="cellIs" dxfId="1369" priority="1373" stopIfTrue="1" operator="equal">
      <formula>"Towel"</formula>
    </cfRule>
    <cfRule type="cellIs" dxfId="1368" priority="1374" stopIfTrue="1" operator="equal">
      <formula>"Napkin Hs"</formula>
    </cfRule>
  </conditionalFormatting>
  <conditionalFormatting sqref="B127">
    <cfRule type="cellIs" dxfId="1367" priority="1371" stopIfTrue="1" operator="equal">
      <formula>"Towel"</formula>
    </cfRule>
    <cfRule type="cellIs" dxfId="1366" priority="1372" stopIfTrue="1" operator="equal">
      <formula>"Napkin Hs"</formula>
    </cfRule>
  </conditionalFormatting>
  <conditionalFormatting sqref="C126">
    <cfRule type="cellIs" dxfId="1365" priority="1345" stopIfTrue="1" operator="equal">
      <formula>"Towel"</formula>
    </cfRule>
    <cfRule type="cellIs" dxfId="1364" priority="1346" stopIfTrue="1" operator="equal">
      <formula>"Napkin Hs"</formula>
    </cfRule>
  </conditionalFormatting>
  <conditionalFormatting sqref="B126:C126">
    <cfRule type="cellIs" dxfId="1363" priority="1347" stopIfTrue="1" operator="equal">
      <formula>"Towel"</formula>
    </cfRule>
    <cfRule type="cellIs" dxfId="1362" priority="1348" stopIfTrue="1" operator="equal">
      <formula>"Napkin Hs"</formula>
    </cfRule>
  </conditionalFormatting>
  <conditionalFormatting sqref="C126">
    <cfRule type="cellIs" dxfId="1361" priority="1343" stopIfTrue="1" operator="equal">
      <formula>"Towel"</formula>
    </cfRule>
    <cfRule type="cellIs" dxfId="1360" priority="1344" stopIfTrue="1" operator="equal">
      <formula>"Napkin Hs"</formula>
    </cfRule>
  </conditionalFormatting>
  <conditionalFormatting sqref="B126:C126">
    <cfRule type="cellIs" dxfId="1359" priority="1341" stopIfTrue="1" operator="equal">
      <formula>"Towel"</formula>
    </cfRule>
    <cfRule type="cellIs" dxfId="1358" priority="1342" stopIfTrue="1" operator="equal">
      <formula>"Napkin Hs"</formula>
    </cfRule>
  </conditionalFormatting>
  <conditionalFormatting sqref="C126">
    <cfRule type="cellIs" dxfId="1357" priority="1349" stopIfTrue="1" operator="equal">
      <formula>"Towel"</formula>
    </cfRule>
    <cfRule type="cellIs" dxfId="1356" priority="1350" stopIfTrue="1" operator="equal">
      <formula>"Napkin Hs"</formula>
    </cfRule>
  </conditionalFormatting>
  <conditionalFormatting sqref="C126">
    <cfRule type="cellIs" dxfId="1355" priority="1351" stopIfTrue="1" operator="equal">
      <formula>"Towel"</formula>
    </cfRule>
    <cfRule type="cellIs" dxfId="1354" priority="1352" stopIfTrue="1" operator="equal">
      <formula>"Napkin Hs"</formula>
    </cfRule>
  </conditionalFormatting>
  <conditionalFormatting sqref="C120">
    <cfRule type="cellIs" dxfId="1353" priority="1415" stopIfTrue="1" operator="equal">
      <formula>"Towel"</formula>
    </cfRule>
    <cfRule type="cellIs" dxfId="1352" priority="1416" stopIfTrue="1" operator="equal">
      <formula>"Napkin Hs"</formula>
    </cfRule>
  </conditionalFormatting>
  <conditionalFormatting sqref="C120">
    <cfRule type="cellIs" dxfId="1351" priority="1417" stopIfTrue="1" operator="equal">
      <formula>"Towel"</formula>
    </cfRule>
    <cfRule type="cellIs" dxfId="1350" priority="1418" stopIfTrue="1" operator="equal">
      <formula>"Napkin Hs"</formula>
    </cfRule>
  </conditionalFormatting>
  <conditionalFormatting sqref="B120:C120">
    <cfRule type="cellIs" dxfId="1349" priority="1413" stopIfTrue="1" operator="equal">
      <formula>"Towel"</formula>
    </cfRule>
    <cfRule type="cellIs" dxfId="1348" priority="1414" stopIfTrue="1" operator="equal">
      <formula>"Napkin Hs"</formula>
    </cfRule>
  </conditionalFormatting>
  <conditionalFormatting sqref="B136:C136">
    <cfRule type="cellIs" dxfId="1347" priority="1339" stopIfTrue="1" operator="equal">
      <formula>"Towel"</formula>
    </cfRule>
    <cfRule type="cellIs" dxfId="1346" priority="1340" stopIfTrue="1" operator="equal">
      <formula>"Napkin Hs"</formula>
    </cfRule>
  </conditionalFormatting>
  <conditionalFormatting sqref="C136">
    <cfRule type="cellIs" dxfId="1345" priority="1337" stopIfTrue="1" operator="equal">
      <formula>"Towel"</formula>
    </cfRule>
    <cfRule type="cellIs" dxfId="1344" priority="1338" stopIfTrue="1" operator="equal">
      <formula>"Napkin Hs"</formula>
    </cfRule>
  </conditionalFormatting>
  <conditionalFormatting sqref="C136">
    <cfRule type="cellIs" dxfId="1343" priority="1335" stopIfTrue="1" operator="equal">
      <formula>"Towel"</formula>
    </cfRule>
    <cfRule type="cellIs" dxfId="1342" priority="1336" stopIfTrue="1" operator="equal">
      <formula>"Napkin Hs"</formula>
    </cfRule>
  </conditionalFormatting>
  <conditionalFormatting sqref="B136:C136">
    <cfRule type="cellIs" dxfId="1341" priority="1333" stopIfTrue="1" operator="equal">
      <formula>"Towel"</formula>
    </cfRule>
    <cfRule type="cellIs" dxfId="1340" priority="1334" stopIfTrue="1" operator="equal">
      <formula>"Napkin Hs"</formula>
    </cfRule>
  </conditionalFormatting>
  <conditionalFormatting sqref="C136">
    <cfRule type="cellIs" dxfId="1339" priority="1331" stopIfTrue="1" operator="equal">
      <formula>"Towel"</formula>
    </cfRule>
    <cfRule type="cellIs" dxfId="1338" priority="1332" stopIfTrue="1" operator="equal">
      <formula>"Napkin Hs"</formula>
    </cfRule>
  </conditionalFormatting>
  <conditionalFormatting sqref="C136">
    <cfRule type="cellIs" dxfId="1337" priority="1329" stopIfTrue="1" operator="equal">
      <formula>"Towel"</formula>
    </cfRule>
    <cfRule type="cellIs" dxfId="1336" priority="1330" stopIfTrue="1" operator="equal">
      <formula>"Napkin Hs"</formula>
    </cfRule>
  </conditionalFormatting>
  <conditionalFormatting sqref="C136">
    <cfRule type="cellIs" dxfId="1335" priority="1321" stopIfTrue="1" operator="equal">
      <formula>"Towel"</formula>
    </cfRule>
    <cfRule type="cellIs" dxfId="1334" priority="1322" stopIfTrue="1" operator="equal">
      <formula>"Napkin Hs"</formula>
    </cfRule>
  </conditionalFormatting>
  <conditionalFormatting sqref="B136:C136">
    <cfRule type="cellIs" dxfId="1333" priority="1323" stopIfTrue="1" operator="equal">
      <formula>"Towel"</formula>
    </cfRule>
    <cfRule type="cellIs" dxfId="1332" priority="1324" stopIfTrue="1" operator="equal">
      <formula>"Napkin Hs"</formula>
    </cfRule>
  </conditionalFormatting>
  <conditionalFormatting sqref="C136">
    <cfRule type="cellIs" dxfId="1331" priority="1319" stopIfTrue="1" operator="equal">
      <formula>"Towel"</formula>
    </cfRule>
    <cfRule type="cellIs" dxfId="1330" priority="1320" stopIfTrue="1" operator="equal">
      <formula>"Napkin Hs"</formula>
    </cfRule>
  </conditionalFormatting>
  <conditionalFormatting sqref="B136:C136">
    <cfRule type="cellIs" dxfId="1329" priority="1317" stopIfTrue="1" operator="equal">
      <formula>"Towel"</formula>
    </cfRule>
    <cfRule type="cellIs" dxfId="1328" priority="1318" stopIfTrue="1" operator="equal">
      <formula>"Napkin Hs"</formula>
    </cfRule>
  </conditionalFormatting>
  <conditionalFormatting sqref="C136">
    <cfRule type="cellIs" dxfId="1327" priority="1325" stopIfTrue="1" operator="equal">
      <formula>"Towel"</formula>
    </cfRule>
    <cfRule type="cellIs" dxfId="1326" priority="1326" stopIfTrue="1" operator="equal">
      <formula>"Napkin Hs"</formula>
    </cfRule>
  </conditionalFormatting>
  <conditionalFormatting sqref="C136">
    <cfRule type="cellIs" dxfId="1325" priority="1327" stopIfTrue="1" operator="equal">
      <formula>"Towel"</formula>
    </cfRule>
    <cfRule type="cellIs" dxfId="1324" priority="1328" stopIfTrue="1" operator="equal">
      <formula>"Napkin Hs"</formula>
    </cfRule>
  </conditionalFormatting>
  <conditionalFormatting sqref="B141:C141">
    <cfRule type="cellIs" dxfId="1323" priority="1315" stopIfTrue="1" operator="equal">
      <formula>"Towel"</formula>
    </cfRule>
    <cfRule type="cellIs" dxfId="1322" priority="1316" stopIfTrue="1" operator="equal">
      <formula>"Napkin Hs"</formula>
    </cfRule>
  </conditionalFormatting>
  <conditionalFormatting sqref="C141">
    <cfRule type="cellIs" dxfId="1321" priority="1311" stopIfTrue="1" operator="equal">
      <formula>"Towel"</formula>
    </cfRule>
    <cfRule type="cellIs" dxfId="1320" priority="1312" stopIfTrue="1" operator="equal">
      <formula>"Napkin Hs"</formula>
    </cfRule>
  </conditionalFormatting>
  <conditionalFormatting sqref="C141">
    <cfRule type="cellIs" dxfId="1319" priority="1313" stopIfTrue="1" operator="equal">
      <formula>"Towel"</formula>
    </cfRule>
    <cfRule type="cellIs" dxfId="1318" priority="1314" stopIfTrue="1" operator="equal">
      <formula>"Napkin Hs"</formula>
    </cfRule>
  </conditionalFormatting>
  <conditionalFormatting sqref="B141:C141">
    <cfRule type="cellIs" dxfId="1317" priority="1309" stopIfTrue="1" operator="equal">
      <formula>"Towel"</formula>
    </cfRule>
    <cfRule type="cellIs" dxfId="1316" priority="1310" stopIfTrue="1" operator="equal">
      <formula>"Napkin Hs"</formula>
    </cfRule>
  </conditionalFormatting>
  <conditionalFormatting sqref="C141">
    <cfRule type="cellIs" dxfId="1315" priority="1307" stopIfTrue="1" operator="equal">
      <formula>"Towel"</formula>
    </cfRule>
    <cfRule type="cellIs" dxfId="1314" priority="1308" stopIfTrue="1" operator="equal">
      <formula>"Napkin Hs"</formula>
    </cfRule>
  </conditionalFormatting>
  <conditionalFormatting sqref="C141">
    <cfRule type="cellIs" dxfId="1313" priority="1305" stopIfTrue="1" operator="equal">
      <formula>"Towel"</formula>
    </cfRule>
    <cfRule type="cellIs" dxfId="1312" priority="1306" stopIfTrue="1" operator="equal">
      <formula>"Napkin Hs"</formula>
    </cfRule>
  </conditionalFormatting>
  <conditionalFormatting sqref="C141">
    <cfRule type="cellIs" dxfId="1311" priority="1297" stopIfTrue="1" operator="equal">
      <formula>"Towel"</formula>
    </cfRule>
    <cfRule type="cellIs" dxfId="1310" priority="1298" stopIfTrue="1" operator="equal">
      <formula>"Napkin Hs"</formula>
    </cfRule>
  </conditionalFormatting>
  <conditionalFormatting sqref="B141:C141">
    <cfRule type="cellIs" dxfId="1309" priority="1299" stopIfTrue="1" operator="equal">
      <formula>"Towel"</formula>
    </cfRule>
    <cfRule type="cellIs" dxfId="1308" priority="1300" stopIfTrue="1" operator="equal">
      <formula>"Napkin Hs"</formula>
    </cfRule>
  </conditionalFormatting>
  <conditionalFormatting sqref="C141">
    <cfRule type="cellIs" dxfId="1307" priority="1295" stopIfTrue="1" operator="equal">
      <formula>"Towel"</formula>
    </cfRule>
    <cfRule type="cellIs" dxfId="1306" priority="1296" stopIfTrue="1" operator="equal">
      <formula>"Napkin Hs"</formula>
    </cfRule>
  </conditionalFormatting>
  <conditionalFormatting sqref="B141:C141">
    <cfRule type="cellIs" dxfId="1305" priority="1293" stopIfTrue="1" operator="equal">
      <formula>"Towel"</formula>
    </cfRule>
    <cfRule type="cellIs" dxfId="1304" priority="1294" stopIfTrue="1" operator="equal">
      <formula>"Napkin Hs"</formula>
    </cfRule>
  </conditionalFormatting>
  <conditionalFormatting sqref="C141">
    <cfRule type="cellIs" dxfId="1303" priority="1301" stopIfTrue="1" operator="equal">
      <formula>"Towel"</formula>
    </cfRule>
    <cfRule type="cellIs" dxfId="1302" priority="1302" stopIfTrue="1" operator="equal">
      <formula>"Napkin Hs"</formula>
    </cfRule>
  </conditionalFormatting>
  <conditionalFormatting sqref="C141">
    <cfRule type="cellIs" dxfId="1301" priority="1303" stopIfTrue="1" operator="equal">
      <formula>"Towel"</formula>
    </cfRule>
    <cfRule type="cellIs" dxfId="1300" priority="1304" stopIfTrue="1" operator="equal">
      <formula>"Napkin Hs"</formula>
    </cfRule>
  </conditionalFormatting>
  <conditionalFormatting sqref="B162:C162">
    <cfRule type="cellIs" dxfId="1299" priority="1291" stopIfTrue="1" operator="equal">
      <formula>"Towel"</formula>
    </cfRule>
    <cfRule type="cellIs" dxfId="1298" priority="1292" stopIfTrue="1" operator="equal">
      <formula>"Napkin Hs"</formula>
    </cfRule>
  </conditionalFormatting>
  <conditionalFormatting sqref="C162">
    <cfRule type="cellIs" dxfId="1297" priority="1290" stopIfTrue="1" operator="equal">
      <formula>"Napkin Hs"</formula>
    </cfRule>
  </conditionalFormatting>
  <conditionalFormatting sqref="C162">
    <cfRule type="cellIs" dxfId="1296" priority="1289" stopIfTrue="1" operator="equal">
      <formula>"Towel"</formula>
    </cfRule>
  </conditionalFormatting>
  <conditionalFormatting sqref="C162">
    <cfRule type="cellIs" dxfId="1295" priority="1287" stopIfTrue="1" operator="equal">
      <formula>"Towel"</formula>
    </cfRule>
    <cfRule type="cellIs" dxfId="1294" priority="1288" stopIfTrue="1" operator="equal">
      <formula>"Napkin Hs"</formula>
    </cfRule>
  </conditionalFormatting>
  <conditionalFormatting sqref="B147:C147">
    <cfRule type="cellIs" dxfId="1293" priority="1285" stopIfTrue="1" operator="equal">
      <formula>"Towel"</formula>
    </cfRule>
    <cfRule type="cellIs" dxfId="1292" priority="1286" stopIfTrue="1" operator="equal">
      <formula>"Napkin Hs"</formula>
    </cfRule>
  </conditionalFormatting>
  <conditionalFormatting sqref="C147">
    <cfRule type="cellIs" dxfId="1291" priority="1281" stopIfTrue="1" operator="equal">
      <formula>"Towel"</formula>
    </cfRule>
    <cfRule type="cellIs" dxfId="1290" priority="1282" stopIfTrue="1" operator="equal">
      <formula>"Napkin Hs"</formula>
    </cfRule>
  </conditionalFormatting>
  <conditionalFormatting sqref="C147">
    <cfRule type="cellIs" dxfId="1289" priority="1283" stopIfTrue="1" operator="equal">
      <formula>"Towel"</formula>
    </cfRule>
    <cfRule type="cellIs" dxfId="1288" priority="1284" stopIfTrue="1" operator="equal">
      <formula>"Napkin Hs"</formula>
    </cfRule>
  </conditionalFormatting>
  <conditionalFormatting sqref="B147:C147">
    <cfRule type="cellIs" dxfId="1287" priority="1279" stopIfTrue="1" operator="equal">
      <formula>"Towel"</formula>
    </cfRule>
    <cfRule type="cellIs" dxfId="1286" priority="1280" stopIfTrue="1" operator="equal">
      <formula>"Napkin Hs"</formula>
    </cfRule>
  </conditionalFormatting>
  <conditionalFormatting sqref="C147">
    <cfRule type="cellIs" dxfId="1285" priority="1277" stopIfTrue="1" operator="equal">
      <formula>"Towel"</formula>
    </cfRule>
    <cfRule type="cellIs" dxfId="1284" priority="1278" stopIfTrue="1" operator="equal">
      <formula>"Napkin Hs"</formula>
    </cfRule>
  </conditionalFormatting>
  <conditionalFormatting sqref="C147">
    <cfRule type="cellIs" dxfId="1283" priority="1275" stopIfTrue="1" operator="equal">
      <formula>"Towel"</formula>
    </cfRule>
    <cfRule type="cellIs" dxfId="1282" priority="1276" stopIfTrue="1" operator="equal">
      <formula>"Napkin Hs"</formula>
    </cfRule>
  </conditionalFormatting>
  <conditionalFormatting sqref="C147">
    <cfRule type="cellIs" dxfId="1281" priority="1267" stopIfTrue="1" operator="equal">
      <formula>"Towel"</formula>
    </cfRule>
    <cfRule type="cellIs" dxfId="1280" priority="1268" stopIfTrue="1" operator="equal">
      <formula>"Napkin Hs"</formula>
    </cfRule>
  </conditionalFormatting>
  <conditionalFormatting sqref="B147:C147">
    <cfRule type="cellIs" dxfId="1279" priority="1269" stopIfTrue="1" operator="equal">
      <formula>"Towel"</formula>
    </cfRule>
    <cfRule type="cellIs" dxfId="1278" priority="1270" stopIfTrue="1" operator="equal">
      <formula>"Napkin Hs"</formula>
    </cfRule>
  </conditionalFormatting>
  <conditionalFormatting sqref="C147">
    <cfRule type="cellIs" dxfId="1277" priority="1265" stopIfTrue="1" operator="equal">
      <formula>"Towel"</formula>
    </cfRule>
    <cfRule type="cellIs" dxfId="1276" priority="1266" stopIfTrue="1" operator="equal">
      <formula>"Napkin Hs"</formula>
    </cfRule>
  </conditionalFormatting>
  <conditionalFormatting sqref="B147:C147">
    <cfRule type="cellIs" dxfId="1275" priority="1263" stopIfTrue="1" operator="equal">
      <formula>"Towel"</formula>
    </cfRule>
    <cfRule type="cellIs" dxfId="1274" priority="1264" stopIfTrue="1" operator="equal">
      <formula>"Napkin Hs"</formula>
    </cfRule>
  </conditionalFormatting>
  <conditionalFormatting sqref="C147">
    <cfRule type="cellIs" dxfId="1273" priority="1271" stopIfTrue="1" operator="equal">
      <formula>"Towel"</formula>
    </cfRule>
    <cfRule type="cellIs" dxfId="1272" priority="1272" stopIfTrue="1" operator="equal">
      <formula>"Napkin Hs"</formula>
    </cfRule>
  </conditionalFormatting>
  <conditionalFormatting sqref="C147">
    <cfRule type="cellIs" dxfId="1271" priority="1273" stopIfTrue="1" operator="equal">
      <formula>"Towel"</formula>
    </cfRule>
    <cfRule type="cellIs" dxfId="1270" priority="1274" stopIfTrue="1" operator="equal">
      <formula>"Napkin Hs"</formula>
    </cfRule>
  </conditionalFormatting>
  <conditionalFormatting sqref="B152:C152">
    <cfRule type="cellIs" dxfId="1269" priority="1261" stopIfTrue="1" operator="equal">
      <formula>"Towel"</formula>
    </cfRule>
    <cfRule type="cellIs" dxfId="1268" priority="1262" stopIfTrue="1" operator="equal">
      <formula>"Napkin Hs"</formula>
    </cfRule>
  </conditionalFormatting>
  <conditionalFormatting sqref="C152">
    <cfRule type="cellIs" dxfId="1267" priority="1257" stopIfTrue="1" operator="equal">
      <formula>"Towel"</formula>
    </cfRule>
    <cfRule type="cellIs" dxfId="1266" priority="1258" stopIfTrue="1" operator="equal">
      <formula>"Napkin Hs"</formula>
    </cfRule>
  </conditionalFormatting>
  <conditionalFormatting sqref="C152">
    <cfRule type="cellIs" dxfId="1265" priority="1259" stopIfTrue="1" operator="equal">
      <formula>"Towel"</formula>
    </cfRule>
    <cfRule type="cellIs" dxfId="1264" priority="1260" stopIfTrue="1" operator="equal">
      <formula>"Napkin Hs"</formula>
    </cfRule>
  </conditionalFormatting>
  <conditionalFormatting sqref="B152:C152">
    <cfRule type="cellIs" dxfId="1263" priority="1255" stopIfTrue="1" operator="equal">
      <formula>"Towel"</formula>
    </cfRule>
    <cfRule type="cellIs" dxfId="1262" priority="1256" stopIfTrue="1" operator="equal">
      <formula>"Napkin Hs"</formula>
    </cfRule>
  </conditionalFormatting>
  <conditionalFormatting sqref="C152">
    <cfRule type="cellIs" dxfId="1261" priority="1253" stopIfTrue="1" operator="equal">
      <formula>"Towel"</formula>
    </cfRule>
    <cfRule type="cellIs" dxfId="1260" priority="1254" stopIfTrue="1" operator="equal">
      <formula>"Napkin Hs"</formula>
    </cfRule>
  </conditionalFormatting>
  <conditionalFormatting sqref="C152">
    <cfRule type="cellIs" dxfId="1259" priority="1251" stopIfTrue="1" operator="equal">
      <formula>"Towel"</formula>
    </cfRule>
    <cfRule type="cellIs" dxfId="1258" priority="1252" stopIfTrue="1" operator="equal">
      <formula>"Napkin Hs"</formula>
    </cfRule>
  </conditionalFormatting>
  <conditionalFormatting sqref="C152">
    <cfRule type="cellIs" dxfId="1257" priority="1243" stopIfTrue="1" operator="equal">
      <formula>"Towel"</formula>
    </cfRule>
    <cfRule type="cellIs" dxfId="1256" priority="1244" stopIfTrue="1" operator="equal">
      <formula>"Napkin Hs"</formula>
    </cfRule>
  </conditionalFormatting>
  <conditionalFormatting sqref="B152:C152">
    <cfRule type="cellIs" dxfId="1255" priority="1245" stopIfTrue="1" operator="equal">
      <formula>"Towel"</formula>
    </cfRule>
    <cfRule type="cellIs" dxfId="1254" priority="1246" stopIfTrue="1" operator="equal">
      <formula>"Napkin Hs"</formula>
    </cfRule>
  </conditionalFormatting>
  <conditionalFormatting sqref="C152">
    <cfRule type="cellIs" dxfId="1253" priority="1241" stopIfTrue="1" operator="equal">
      <formula>"Towel"</formula>
    </cfRule>
    <cfRule type="cellIs" dxfId="1252" priority="1242" stopIfTrue="1" operator="equal">
      <formula>"Napkin Hs"</formula>
    </cfRule>
  </conditionalFormatting>
  <conditionalFormatting sqref="B152:C152">
    <cfRule type="cellIs" dxfId="1251" priority="1239" stopIfTrue="1" operator="equal">
      <formula>"Towel"</formula>
    </cfRule>
    <cfRule type="cellIs" dxfId="1250" priority="1240" stopIfTrue="1" operator="equal">
      <formula>"Napkin Hs"</formula>
    </cfRule>
  </conditionalFormatting>
  <conditionalFormatting sqref="C152">
    <cfRule type="cellIs" dxfId="1249" priority="1247" stopIfTrue="1" operator="equal">
      <formula>"Towel"</formula>
    </cfRule>
    <cfRule type="cellIs" dxfId="1248" priority="1248" stopIfTrue="1" operator="equal">
      <formula>"Napkin Hs"</formula>
    </cfRule>
  </conditionalFormatting>
  <conditionalFormatting sqref="C152">
    <cfRule type="cellIs" dxfId="1247" priority="1249" stopIfTrue="1" operator="equal">
      <formula>"Towel"</formula>
    </cfRule>
    <cfRule type="cellIs" dxfId="1246" priority="1250" stopIfTrue="1" operator="equal">
      <formula>"Napkin Hs"</formula>
    </cfRule>
  </conditionalFormatting>
  <conditionalFormatting sqref="B157:C157">
    <cfRule type="cellIs" dxfId="1245" priority="1237" stopIfTrue="1" operator="equal">
      <formula>"Towel"</formula>
    </cfRule>
    <cfRule type="cellIs" dxfId="1244" priority="1238" stopIfTrue="1" operator="equal">
      <formula>"Napkin Hs"</formula>
    </cfRule>
  </conditionalFormatting>
  <conditionalFormatting sqref="C157">
    <cfRule type="cellIs" dxfId="1243" priority="1233" stopIfTrue="1" operator="equal">
      <formula>"Towel"</formula>
    </cfRule>
    <cfRule type="cellIs" dxfId="1242" priority="1234" stopIfTrue="1" operator="equal">
      <formula>"Napkin Hs"</formula>
    </cfRule>
  </conditionalFormatting>
  <conditionalFormatting sqref="C157">
    <cfRule type="cellIs" dxfId="1241" priority="1235" stopIfTrue="1" operator="equal">
      <formula>"Towel"</formula>
    </cfRule>
    <cfRule type="cellIs" dxfId="1240" priority="1236" stopIfTrue="1" operator="equal">
      <formula>"Napkin Hs"</formula>
    </cfRule>
  </conditionalFormatting>
  <conditionalFormatting sqref="B157:C157">
    <cfRule type="cellIs" dxfId="1239" priority="1231" stopIfTrue="1" operator="equal">
      <formula>"Towel"</formula>
    </cfRule>
    <cfRule type="cellIs" dxfId="1238" priority="1232" stopIfTrue="1" operator="equal">
      <formula>"Napkin Hs"</formula>
    </cfRule>
  </conditionalFormatting>
  <conditionalFormatting sqref="C157">
    <cfRule type="cellIs" dxfId="1237" priority="1229" stopIfTrue="1" operator="equal">
      <formula>"Towel"</formula>
    </cfRule>
    <cfRule type="cellIs" dxfId="1236" priority="1230" stopIfTrue="1" operator="equal">
      <formula>"Napkin Hs"</formula>
    </cfRule>
  </conditionalFormatting>
  <conditionalFormatting sqref="C157">
    <cfRule type="cellIs" dxfId="1235" priority="1227" stopIfTrue="1" operator="equal">
      <formula>"Towel"</formula>
    </cfRule>
    <cfRule type="cellIs" dxfId="1234" priority="1228" stopIfTrue="1" operator="equal">
      <formula>"Napkin Hs"</formula>
    </cfRule>
  </conditionalFormatting>
  <conditionalFormatting sqref="C157">
    <cfRule type="cellIs" dxfId="1233" priority="1219" stopIfTrue="1" operator="equal">
      <formula>"Towel"</formula>
    </cfRule>
    <cfRule type="cellIs" dxfId="1232" priority="1220" stopIfTrue="1" operator="equal">
      <formula>"Napkin Hs"</formula>
    </cfRule>
  </conditionalFormatting>
  <conditionalFormatting sqref="B157:C157">
    <cfRule type="cellIs" dxfId="1231" priority="1221" stopIfTrue="1" operator="equal">
      <formula>"Towel"</formula>
    </cfRule>
    <cfRule type="cellIs" dxfId="1230" priority="1222" stopIfTrue="1" operator="equal">
      <formula>"Napkin Hs"</formula>
    </cfRule>
  </conditionalFormatting>
  <conditionalFormatting sqref="C157">
    <cfRule type="cellIs" dxfId="1229" priority="1217" stopIfTrue="1" operator="equal">
      <formula>"Towel"</formula>
    </cfRule>
    <cfRule type="cellIs" dxfId="1228" priority="1218" stopIfTrue="1" operator="equal">
      <formula>"Napkin Hs"</formula>
    </cfRule>
  </conditionalFormatting>
  <conditionalFormatting sqref="B157:C157">
    <cfRule type="cellIs" dxfId="1227" priority="1215" stopIfTrue="1" operator="equal">
      <formula>"Towel"</formula>
    </cfRule>
    <cfRule type="cellIs" dxfId="1226" priority="1216" stopIfTrue="1" operator="equal">
      <formula>"Napkin Hs"</formula>
    </cfRule>
  </conditionalFormatting>
  <conditionalFormatting sqref="C157">
    <cfRule type="cellIs" dxfId="1225" priority="1223" stopIfTrue="1" operator="equal">
      <formula>"Towel"</formula>
    </cfRule>
    <cfRule type="cellIs" dxfId="1224" priority="1224" stopIfTrue="1" operator="equal">
      <formula>"Napkin Hs"</formula>
    </cfRule>
  </conditionalFormatting>
  <conditionalFormatting sqref="C157">
    <cfRule type="cellIs" dxfId="1223" priority="1225" stopIfTrue="1" operator="equal">
      <formula>"Towel"</formula>
    </cfRule>
    <cfRule type="cellIs" dxfId="1222" priority="1226" stopIfTrue="1" operator="equal">
      <formula>"Napkin Hs"</formula>
    </cfRule>
  </conditionalFormatting>
  <conditionalFormatting sqref="B6:C9">
    <cfRule type="cellIs" dxfId="1221" priority="1213" stopIfTrue="1" operator="equal">
      <formula>"Towel"</formula>
    </cfRule>
    <cfRule type="cellIs" dxfId="1220" priority="1214" stopIfTrue="1" operator="equal">
      <formula>"Napkin Hs"</formula>
    </cfRule>
  </conditionalFormatting>
  <conditionalFormatting sqref="C6:C9">
    <cfRule type="cellIs" dxfId="1219" priority="1212" stopIfTrue="1" operator="equal">
      <formula>"Napkin Hs"</formula>
    </cfRule>
  </conditionalFormatting>
  <conditionalFormatting sqref="C6:C9">
    <cfRule type="cellIs" dxfId="1218" priority="1209" stopIfTrue="1" operator="equal">
      <formula>"Towel"</formula>
    </cfRule>
    <cfRule type="cellIs" dxfId="1217" priority="1210" stopIfTrue="1" operator="equal">
      <formula>"Napkin Hs"</formula>
    </cfRule>
  </conditionalFormatting>
  <conditionalFormatting sqref="C6:C9">
    <cfRule type="cellIs" dxfId="1216" priority="1211" stopIfTrue="1" operator="equal">
      <formula>"Towel"</formula>
    </cfRule>
  </conditionalFormatting>
  <conditionalFormatting sqref="B21:C21">
    <cfRule type="cellIs" dxfId="1215" priority="1207" stopIfTrue="1" operator="equal">
      <formula>"Towel"</formula>
    </cfRule>
    <cfRule type="cellIs" dxfId="1214" priority="1208" stopIfTrue="1" operator="equal">
      <formula>"Napkin Hs"</formula>
    </cfRule>
  </conditionalFormatting>
  <conditionalFormatting sqref="C21">
    <cfRule type="cellIs" dxfId="1213" priority="1206" stopIfTrue="1" operator="equal">
      <formula>"Napkin Hs"</formula>
    </cfRule>
  </conditionalFormatting>
  <conditionalFormatting sqref="C21">
    <cfRule type="cellIs" dxfId="1212" priority="1203" stopIfTrue="1" operator="equal">
      <formula>"Towel"</formula>
    </cfRule>
    <cfRule type="cellIs" dxfId="1211" priority="1204" stopIfTrue="1" operator="equal">
      <formula>"Napkin Hs"</formula>
    </cfRule>
  </conditionalFormatting>
  <conditionalFormatting sqref="C21">
    <cfRule type="cellIs" dxfId="1210" priority="1205" stopIfTrue="1" operator="equal">
      <formula>"Towel"</formula>
    </cfRule>
  </conditionalFormatting>
  <conditionalFormatting sqref="B26:C26">
    <cfRule type="cellIs" dxfId="1209" priority="1201" stopIfTrue="1" operator="equal">
      <formula>"Towel"</formula>
    </cfRule>
    <cfRule type="cellIs" dxfId="1208" priority="1202" stopIfTrue="1" operator="equal">
      <formula>"Napkin Hs"</formula>
    </cfRule>
  </conditionalFormatting>
  <conditionalFormatting sqref="C26">
    <cfRule type="cellIs" dxfId="1207" priority="1200" stopIfTrue="1" operator="equal">
      <formula>"Napkin Hs"</formula>
    </cfRule>
  </conditionalFormatting>
  <conditionalFormatting sqref="C26">
    <cfRule type="cellIs" dxfId="1206" priority="1197" stopIfTrue="1" operator="equal">
      <formula>"Towel"</formula>
    </cfRule>
    <cfRule type="cellIs" dxfId="1205" priority="1198" stopIfTrue="1" operator="equal">
      <formula>"Napkin Hs"</formula>
    </cfRule>
  </conditionalFormatting>
  <conditionalFormatting sqref="C26">
    <cfRule type="cellIs" dxfId="1204" priority="1199" stopIfTrue="1" operator="equal">
      <formula>"Towel"</formula>
    </cfRule>
  </conditionalFormatting>
  <conditionalFormatting sqref="B32:C32">
    <cfRule type="cellIs" dxfId="1203" priority="1195" stopIfTrue="1" operator="equal">
      <formula>"Towel"</formula>
    </cfRule>
    <cfRule type="cellIs" dxfId="1202" priority="1196" stopIfTrue="1" operator="equal">
      <formula>"Napkin Hs"</formula>
    </cfRule>
  </conditionalFormatting>
  <conditionalFormatting sqref="C32">
    <cfRule type="cellIs" dxfId="1201" priority="1194" stopIfTrue="1" operator="equal">
      <formula>"Napkin Hs"</formula>
    </cfRule>
  </conditionalFormatting>
  <conditionalFormatting sqref="C32">
    <cfRule type="cellIs" dxfId="1200" priority="1191" stopIfTrue="1" operator="equal">
      <formula>"Towel"</formula>
    </cfRule>
    <cfRule type="cellIs" dxfId="1199" priority="1192" stopIfTrue="1" operator="equal">
      <formula>"Napkin Hs"</formula>
    </cfRule>
  </conditionalFormatting>
  <conditionalFormatting sqref="C32">
    <cfRule type="cellIs" dxfId="1198" priority="1193" stopIfTrue="1" operator="equal">
      <formula>"Towel"</formula>
    </cfRule>
  </conditionalFormatting>
  <conditionalFormatting sqref="B37:C37">
    <cfRule type="cellIs" dxfId="1197" priority="1189" stopIfTrue="1" operator="equal">
      <formula>"Towel"</formula>
    </cfRule>
    <cfRule type="cellIs" dxfId="1196" priority="1190" stopIfTrue="1" operator="equal">
      <formula>"Napkin Hs"</formula>
    </cfRule>
  </conditionalFormatting>
  <conditionalFormatting sqref="C37">
    <cfRule type="cellIs" dxfId="1195" priority="1188" stopIfTrue="1" operator="equal">
      <formula>"Napkin Hs"</formula>
    </cfRule>
  </conditionalFormatting>
  <conditionalFormatting sqref="C37">
    <cfRule type="cellIs" dxfId="1194" priority="1185" stopIfTrue="1" operator="equal">
      <formula>"Towel"</formula>
    </cfRule>
    <cfRule type="cellIs" dxfId="1193" priority="1186" stopIfTrue="1" operator="equal">
      <formula>"Napkin Hs"</formula>
    </cfRule>
  </conditionalFormatting>
  <conditionalFormatting sqref="C37">
    <cfRule type="cellIs" dxfId="1192" priority="1187" stopIfTrue="1" operator="equal">
      <formula>"Towel"</formula>
    </cfRule>
  </conditionalFormatting>
  <conditionalFormatting sqref="C16">
    <cfRule type="cellIs" dxfId="1191" priority="1181" stopIfTrue="1" operator="equal">
      <formula>"Towel"</formula>
    </cfRule>
    <cfRule type="cellIs" dxfId="1190" priority="1182" stopIfTrue="1" operator="equal">
      <formula>"Napkin Hs"</formula>
    </cfRule>
  </conditionalFormatting>
  <conditionalFormatting sqref="C16">
    <cfRule type="cellIs" dxfId="1189" priority="1183" stopIfTrue="1" operator="equal">
      <formula>"Towel"</formula>
    </cfRule>
    <cfRule type="cellIs" dxfId="1188" priority="1184" stopIfTrue="1" operator="equal">
      <formula>"Napkin Hs"</formula>
    </cfRule>
  </conditionalFormatting>
  <conditionalFormatting sqref="B16:C16">
    <cfRule type="cellIs" dxfId="1187" priority="1179" stopIfTrue="1" operator="equal">
      <formula>"Towel"</formula>
    </cfRule>
    <cfRule type="cellIs" dxfId="1186" priority="1180" stopIfTrue="1" operator="equal">
      <formula>"Napkin Hs"</formula>
    </cfRule>
  </conditionalFormatting>
  <conditionalFormatting sqref="B16:C16">
    <cfRule type="cellIs" dxfId="1185" priority="1173" stopIfTrue="1" operator="equal">
      <formula>"Towel"</formula>
    </cfRule>
    <cfRule type="cellIs" dxfId="1184" priority="1174" stopIfTrue="1" operator="equal">
      <formula>"Napkin Hs"</formula>
    </cfRule>
  </conditionalFormatting>
  <conditionalFormatting sqref="C16">
    <cfRule type="cellIs" dxfId="1183" priority="1175" stopIfTrue="1" operator="equal">
      <formula>"Towel"</formula>
    </cfRule>
    <cfRule type="cellIs" dxfId="1182" priority="1176" stopIfTrue="1" operator="equal">
      <formula>"Napkin Hs"</formula>
    </cfRule>
  </conditionalFormatting>
  <conditionalFormatting sqref="C16">
    <cfRule type="cellIs" dxfId="1181" priority="1177" stopIfTrue="1" operator="equal">
      <formula>"Towel"</formula>
    </cfRule>
    <cfRule type="cellIs" dxfId="1180" priority="1178" stopIfTrue="1" operator="equal">
      <formula>"Napkin Hs"</formula>
    </cfRule>
  </conditionalFormatting>
  <conditionalFormatting sqref="B12:C15">
    <cfRule type="cellIs" dxfId="1179" priority="1171" stopIfTrue="1" operator="equal">
      <formula>"Towel"</formula>
    </cfRule>
    <cfRule type="cellIs" dxfId="1178" priority="1172" stopIfTrue="1" operator="equal">
      <formula>"Napkin Hs"</formula>
    </cfRule>
  </conditionalFormatting>
  <conditionalFormatting sqref="C12:C15">
    <cfRule type="cellIs" dxfId="1177" priority="1170" stopIfTrue="1" operator="equal">
      <formula>"Napkin Hs"</formula>
    </cfRule>
  </conditionalFormatting>
  <conditionalFormatting sqref="C12:C15">
    <cfRule type="cellIs" dxfId="1176" priority="1167" stopIfTrue="1" operator="equal">
      <formula>"Towel"</formula>
    </cfRule>
    <cfRule type="cellIs" dxfId="1175" priority="1168" stopIfTrue="1" operator="equal">
      <formula>"Napkin Hs"</formula>
    </cfRule>
  </conditionalFormatting>
  <conditionalFormatting sqref="C12:C15">
    <cfRule type="cellIs" dxfId="1174" priority="1169" stopIfTrue="1" operator="equal">
      <formula>"Towel"</formula>
    </cfRule>
  </conditionalFormatting>
  <conditionalFormatting sqref="B18:C20">
    <cfRule type="cellIs" dxfId="1173" priority="1165" stopIfTrue="1" operator="equal">
      <formula>"Towel"</formula>
    </cfRule>
    <cfRule type="cellIs" dxfId="1172" priority="1166" stopIfTrue="1" operator="equal">
      <formula>"Napkin Hs"</formula>
    </cfRule>
  </conditionalFormatting>
  <conditionalFormatting sqref="C18:C20">
    <cfRule type="cellIs" dxfId="1171" priority="1164" stopIfTrue="1" operator="equal">
      <formula>"Napkin Hs"</formula>
    </cfRule>
  </conditionalFormatting>
  <conditionalFormatting sqref="C18:C20">
    <cfRule type="cellIs" dxfId="1170" priority="1161" stopIfTrue="1" operator="equal">
      <formula>"Towel"</formula>
    </cfRule>
    <cfRule type="cellIs" dxfId="1169" priority="1162" stopIfTrue="1" operator="equal">
      <formula>"Napkin Hs"</formula>
    </cfRule>
  </conditionalFormatting>
  <conditionalFormatting sqref="C18:C20">
    <cfRule type="cellIs" dxfId="1168" priority="1163" stopIfTrue="1" operator="equal">
      <formula>"Towel"</formula>
    </cfRule>
  </conditionalFormatting>
  <conditionalFormatting sqref="B17:C17">
    <cfRule type="cellIs" dxfId="1167" priority="1159" stopIfTrue="1" operator="equal">
      <formula>"Towel"</formula>
    </cfRule>
    <cfRule type="cellIs" dxfId="1166" priority="1160" stopIfTrue="1" operator="equal">
      <formula>"Napkin Hs"</formula>
    </cfRule>
  </conditionalFormatting>
  <conditionalFormatting sqref="C17">
    <cfRule type="cellIs" dxfId="1165" priority="1158" stopIfTrue="1" operator="equal">
      <formula>"Napkin Hs"</formula>
    </cfRule>
  </conditionalFormatting>
  <conditionalFormatting sqref="C17">
    <cfRule type="cellIs" dxfId="1164" priority="1155" stopIfTrue="1" operator="equal">
      <formula>"Towel"</formula>
    </cfRule>
    <cfRule type="cellIs" dxfId="1163" priority="1156" stopIfTrue="1" operator="equal">
      <formula>"Napkin Hs"</formula>
    </cfRule>
  </conditionalFormatting>
  <conditionalFormatting sqref="C17">
    <cfRule type="cellIs" dxfId="1162" priority="1157" stopIfTrue="1" operator="equal">
      <formula>"Towel"</formula>
    </cfRule>
  </conditionalFormatting>
  <conditionalFormatting sqref="B24:C25">
    <cfRule type="cellIs" dxfId="1161" priority="1153" stopIfTrue="1" operator="equal">
      <formula>"Towel"</formula>
    </cfRule>
    <cfRule type="cellIs" dxfId="1160" priority="1154" stopIfTrue="1" operator="equal">
      <formula>"Napkin Hs"</formula>
    </cfRule>
  </conditionalFormatting>
  <conditionalFormatting sqref="C24:C25">
    <cfRule type="cellIs" dxfId="1159" priority="1152" stopIfTrue="1" operator="equal">
      <formula>"Napkin Hs"</formula>
    </cfRule>
  </conditionalFormatting>
  <conditionalFormatting sqref="C24:C25">
    <cfRule type="cellIs" dxfId="1158" priority="1149" stopIfTrue="1" operator="equal">
      <formula>"Towel"</formula>
    </cfRule>
    <cfRule type="cellIs" dxfId="1157" priority="1150" stopIfTrue="1" operator="equal">
      <formula>"Napkin Hs"</formula>
    </cfRule>
  </conditionalFormatting>
  <conditionalFormatting sqref="C24:C25">
    <cfRule type="cellIs" dxfId="1156" priority="1151" stopIfTrue="1" operator="equal">
      <formula>"Towel"</formula>
    </cfRule>
  </conditionalFormatting>
  <conditionalFormatting sqref="B22:C23">
    <cfRule type="cellIs" dxfId="1155" priority="1147" stopIfTrue="1" operator="equal">
      <formula>"Towel"</formula>
    </cfRule>
    <cfRule type="cellIs" dxfId="1154" priority="1148" stopIfTrue="1" operator="equal">
      <formula>"Napkin Hs"</formula>
    </cfRule>
  </conditionalFormatting>
  <conditionalFormatting sqref="C22:C23">
    <cfRule type="cellIs" dxfId="1153" priority="1146" stopIfTrue="1" operator="equal">
      <formula>"Napkin Hs"</formula>
    </cfRule>
  </conditionalFormatting>
  <conditionalFormatting sqref="C22:C23">
    <cfRule type="cellIs" dxfId="1152" priority="1143" stopIfTrue="1" operator="equal">
      <formula>"Towel"</formula>
    </cfRule>
    <cfRule type="cellIs" dxfId="1151" priority="1144" stopIfTrue="1" operator="equal">
      <formula>"Napkin Hs"</formula>
    </cfRule>
  </conditionalFormatting>
  <conditionalFormatting sqref="C22:C23">
    <cfRule type="cellIs" dxfId="1150" priority="1145" stopIfTrue="1" operator="equal">
      <formula>"Towel"</formula>
    </cfRule>
  </conditionalFormatting>
  <conditionalFormatting sqref="B28:C30">
    <cfRule type="cellIs" dxfId="1149" priority="1141" stopIfTrue="1" operator="equal">
      <formula>"Towel"</formula>
    </cfRule>
    <cfRule type="cellIs" dxfId="1148" priority="1142" stopIfTrue="1" operator="equal">
      <formula>"Napkin Hs"</formula>
    </cfRule>
  </conditionalFormatting>
  <conditionalFormatting sqref="C28:C30">
    <cfRule type="cellIs" dxfId="1147" priority="1140" stopIfTrue="1" operator="equal">
      <formula>"Napkin Hs"</formula>
    </cfRule>
  </conditionalFormatting>
  <conditionalFormatting sqref="C28:C30">
    <cfRule type="cellIs" dxfId="1146" priority="1137" stopIfTrue="1" operator="equal">
      <formula>"Towel"</formula>
    </cfRule>
    <cfRule type="cellIs" dxfId="1145" priority="1138" stopIfTrue="1" operator="equal">
      <formula>"Napkin Hs"</formula>
    </cfRule>
  </conditionalFormatting>
  <conditionalFormatting sqref="C28:C30">
    <cfRule type="cellIs" dxfId="1144" priority="1139" stopIfTrue="1" operator="equal">
      <formula>"Towel"</formula>
    </cfRule>
  </conditionalFormatting>
  <conditionalFormatting sqref="B27:C27">
    <cfRule type="cellIs" dxfId="1143" priority="1135" stopIfTrue="1" operator="equal">
      <formula>"Towel"</formula>
    </cfRule>
    <cfRule type="cellIs" dxfId="1142" priority="1136" stopIfTrue="1" operator="equal">
      <formula>"Napkin Hs"</formula>
    </cfRule>
  </conditionalFormatting>
  <conditionalFormatting sqref="C27">
    <cfRule type="cellIs" dxfId="1141" priority="1134" stopIfTrue="1" operator="equal">
      <formula>"Napkin Hs"</formula>
    </cfRule>
  </conditionalFormatting>
  <conditionalFormatting sqref="C27">
    <cfRule type="cellIs" dxfId="1140" priority="1131" stopIfTrue="1" operator="equal">
      <formula>"Towel"</formula>
    </cfRule>
    <cfRule type="cellIs" dxfId="1139" priority="1132" stopIfTrue="1" operator="equal">
      <formula>"Napkin Hs"</formula>
    </cfRule>
  </conditionalFormatting>
  <conditionalFormatting sqref="C27">
    <cfRule type="cellIs" dxfId="1138" priority="1133" stopIfTrue="1" operator="equal">
      <formula>"Towel"</formula>
    </cfRule>
  </conditionalFormatting>
  <conditionalFormatting sqref="C31">
    <cfRule type="cellIs" dxfId="1137" priority="1127" stopIfTrue="1" operator="equal">
      <formula>"Towel"</formula>
    </cfRule>
    <cfRule type="cellIs" dxfId="1136" priority="1128" stopIfTrue="1" operator="equal">
      <formula>"Napkin Hs"</formula>
    </cfRule>
  </conditionalFormatting>
  <conditionalFormatting sqref="C31">
    <cfRule type="cellIs" dxfId="1135" priority="1129" stopIfTrue="1" operator="equal">
      <formula>"Towel"</formula>
    </cfRule>
    <cfRule type="cellIs" dxfId="1134" priority="1130" stopIfTrue="1" operator="equal">
      <formula>"Napkin Hs"</formula>
    </cfRule>
  </conditionalFormatting>
  <conditionalFormatting sqref="B31:C31">
    <cfRule type="cellIs" dxfId="1133" priority="1125" stopIfTrue="1" operator="equal">
      <formula>"Towel"</formula>
    </cfRule>
    <cfRule type="cellIs" dxfId="1132" priority="1126" stopIfTrue="1" operator="equal">
      <formula>"Napkin Hs"</formula>
    </cfRule>
  </conditionalFormatting>
  <conditionalFormatting sqref="B31:C31">
    <cfRule type="cellIs" dxfId="1131" priority="1119" stopIfTrue="1" operator="equal">
      <formula>"Towel"</formula>
    </cfRule>
    <cfRule type="cellIs" dxfId="1130" priority="1120" stopIfTrue="1" operator="equal">
      <formula>"Napkin Hs"</formula>
    </cfRule>
  </conditionalFormatting>
  <conditionalFormatting sqref="C31">
    <cfRule type="cellIs" dxfId="1129" priority="1121" stopIfTrue="1" operator="equal">
      <formula>"Towel"</formula>
    </cfRule>
    <cfRule type="cellIs" dxfId="1128" priority="1122" stopIfTrue="1" operator="equal">
      <formula>"Napkin Hs"</formula>
    </cfRule>
  </conditionalFormatting>
  <conditionalFormatting sqref="C31">
    <cfRule type="cellIs" dxfId="1127" priority="1123" stopIfTrue="1" operator="equal">
      <formula>"Towel"</formula>
    </cfRule>
    <cfRule type="cellIs" dxfId="1126" priority="1124" stopIfTrue="1" operator="equal">
      <formula>"Napkin Hs"</formula>
    </cfRule>
  </conditionalFormatting>
  <conditionalFormatting sqref="B35:C36 C34">
    <cfRule type="cellIs" dxfId="1125" priority="1117" stopIfTrue="1" operator="equal">
      <formula>"Towel"</formula>
    </cfRule>
    <cfRule type="cellIs" dxfId="1124" priority="1118" stopIfTrue="1" operator="equal">
      <formula>"Napkin Hs"</formula>
    </cfRule>
  </conditionalFormatting>
  <conditionalFormatting sqref="C34:C36">
    <cfRule type="cellIs" dxfId="1123" priority="1116" stopIfTrue="1" operator="equal">
      <formula>"Napkin Hs"</formula>
    </cfRule>
  </conditionalFormatting>
  <conditionalFormatting sqref="C34:C36">
    <cfRule type="cellIs" dxfId="1122" priority="1113" stopIfTrue="1" operator="equal">
      <formula>"Towel"</formula>
    </cfRule>
    <cfRule type="cellIs" dxfId="1121" priority="1114" stopIfTrue="1" operator="equal">
      <formula>"Napkin Hs"</formula>
    </cfRule>
  </conditionalFormatting>
  <conditionalFormatting sqref="C34:C36">
    <cfRule type="cellIs" dxfId="1120" priority="1115" stopIfTrue="1" operator="equal">
      <formula>"Towel"</formula>
    </cfRule>
  </conditionalFormatting>
  <conditionalFormatting sqref="B33:C33 B34">
    <cfRule type="cellIs" dxfId="1119" priority="1111" stopIfTrue="1" operator="equal">
      <formula>"Towel"</formula>
    </cfRule>
    <cfRule type="cellIs" dxfId="1118" priority="1112" stopIfTrue="1" operator="equal">
      <formula>"Napkin Hs"</formula>
    </cfRule>
  </conditionalFormatting>
  <conditionalFormatting sqref="C33">
    <cfRule type="cellIs" dxfId="1117" priority="1110" stopIfTrue="1" operator="equal">
      <formula>"Napkin Hs"</formula>
    </cfRule>
  </conditionalFormatting>
  <conditionalFormatting sqref="C33">
    <cfRule type="cellIs" dxfId="1116" priority="1107" stopIfTrue="1" operator="equal">
      <formula>"Towel"</formula>
    </cfRule>
    <cfRule type="cellIs" dxfId="1115" priority="1108" stopIfTrue="1" operator="equal">
      <formula>"Napkin Hs"</formula>
    </cfRule>
  </conditionalFormatting>
  <conditionalFormatting sqref="C33">
    <cfRule type="cellIs" dxfId="1114" priority="1109" stopIfTrue="1" operator="equal">
      <formula>"Towel"</formula>
    </cfRule>
  </conditionalFormatting>
  <conditionalFormatting sqref="B40:C42">
    <cfRule type="cellIs" dxfId="1113" priority="1105" stopIfTrue="1" operator="equal">
      <formula>"Towel"</formula>
    </cfRule>
    <cfRule type="cellIs" dxfId="1112" priority="1106" stopIfTrue="1" operator="equal">
      <formula>"Napkin Hs"</formula>
    </cfRule>
  </conditionalFormatting>
  <conditionalFormatting sqref="C40:C42">
    <cfRule type="cellIs" dxfId="1111" priority="1104" stopIfTrue="1" operator="equal">
      <formula>"Napkin Hs"</formula>
    </cfRule>
  </conditionalFormatting>
  <conditionalFormatting sqref="C40:C42">
    <cfRule type="cellIs" dxfId="1110" priority="1101" stopIfTrue="1" operator="equal">
      <formula>"Towel"</formula>
    </cfRule>
    <cfRule type="cellIs" dxfId="1109" priority="1102" stopIfTrue="1" operator="equal">
      <formula>"Napkin Hs"</formula>
    </cfRule>
  </conditionalFormatting>
  <conditionalFormatting sqref="C40:C42">
    <cfRule type="cellIs" dxfId="1108" priority="1103" stopIfTrue="1" operator="equal">
      <formula>"Towel"</formula>
    </cfRule>
  </conditionalFormatting>
  <conditionalFormatting sqref="B38:C39">
    <cfRule type="cellIs" dxfId="1107" priority="1099" stopIfTrue="1" operator="equal">
      <formula>"Towel"</formula>
    </cfRule>
    <cfRule type="cellIs" dxfId="1106" priority="1100" stopIfTrue="1" operator="equal">
      <formula>"Napkin Hs"</formula>
    </cfRule>
  </conditionalFormatting>
  <conditionalFormatting sqref="C38:C39">
    <cfRule type="cellIs" dxfId="1105" priority="1098" stopIfTrue="1" operator="equal">
      <formula>"Napkin Hs"</formula>
    </cfRule>
  </conditionalFormatting>
  <conditionalFormatting sqref="C38:C39">
    <cfRule type="cellIs" dxfId="1104" priority="1095" stopIfTrue="1" operator="equal">
      <formula>"Towel"</formula>
    </cfRule>
    <cfRule type="cellIs" dxfId="1103" priority="1096" stopIfTrue="1" operator="equal">
      <formula>"Napkin Hs"</formula>
    </cfRule>
  </conditionalFormatting>
  <conditionalFormatting sqref="C38:C39">
    <cfRule type="cellIs" dxfId="1102" priority="1097" stopIfTrue="1" operator="equal">
      <formula>"Towel"</formula>
    </cfRule>
  </conditionalFormatting>
  <conditionalFormatting sqref="C47">
    <cfRule type="cellIs" dxfId="1101" priority="1087" stopIfTrue="1" operator="equal">
      <formula>"Towel"</formula>
    </cfRule>
    <cfRule type="cellIs" dxfId="1100" priority="1088" stopIfTrue="1" operator="equal">
      <formula>"Napkin Hs"</formula>
    </cfRule>
  </conditionalFormatting>
  <conditionalFormatting sqref="B47:C47">
    <cfRule type="cellIs" dxfId="1099" priority="1089" stopIfTrue="1" operator="equal">
      <formula>"Towel"</formula>
    </cfRule>
    <cfRule type="cellIs" dxfId="1098" priority="1090" stopIfTrue="1" operator="equal">
      <formula>"Napkin Hs"</formula>
    </cfRule>
  </conditionalFormatting>
  <conditionalFormatting sqref="C47">
    <cfRule type="cellIs" dxfId="1097" priority="1085" stopIfTrue="1" operator="equal">
      <formula>"Towel"</formula>
    </cfRule>
    <cfRule type="cellIs" dxfId="1096" priority="1086" stopIfTrue="1" operator="equal">
      <formula>"Napkin Hs"</formula>
    </cfRule>
  </conditionalFormatting>
  <conditionalFormatting sqref="B47:C47">
    <cfRule type="cellIs" dxfId="1095" priority="1083" stopIfTrue="1" operator="equal">
      <formula>"Towel"</formula>
    </cfRule>
    <cfRule type="cellIs" dxfId="1094" priority="1084" stopIfTrue="1" operator="equal">
      <formula>"Napkin Hs"</formula>
    </cfRule>
  </conditionalFormatting>
  <conditionalFormatting sqref="C47">
    <cfRule type="cellIs" dxfId="1093" priority="1091" stopIfTrue="1" operator="equal">
      <formula>"Towel"</formula>
    </cfRule>
    <cfRule type="cellIs" dxfId="1092" priority="1092" stopIfTrue="1" operator="equal">
      <formula>"Napkin Hs"</formula>
    </cfRule>
  </conditionalFormatting>
  <conditionalFormatting sqref="C47">
    <cfRule type="cellIs" dxfId="1091" priority="1093" stopIfTrue="1" operator="equal">
      <formula>"Towel"</formula>
    </cfRule>
    <cfRule type="cellIs" dxfId="1090" priority="1094" stopIfTrue="1" operator="equal">
      <formula>"Napkin Hs"</formula>
    </cfRule>
  </conditionalFormatting>
  <conditionalFormatting sqref="C47">
    <cfRule type="cellIs" dxfId="1089" priority="1075" stopIfTrue="1" operator="equal">
      <formula>"Towel"</formula>
    </cfRule>
    <cfRule type="cellIs" dxfId="1088" priority="1076" stopIfTrue="1" operator="equal">
      <formula>"Napkin Hs"</formula>
    </cfRule>
  </conditionalFormatting>
  <conditionalFormatting sqref="B47:C47">
    <cfRule type="cellIs" dxfId="1087" priority="1077" stopIfTrue="1" operator="equal">
      <formula>"Towel"</formula>
    </cfRule>
    <cfRule type="cellIs" dxfId="1086" priority="1078" stopIfTrue="1" operator="equal">
      <formula>"Napkin Hs"</formula>
    </cfRule>
  </conditionalFormatting>
  <conditionalFormatting sqref="C47">
    <cfRule type="cellIs" dxfId="1085" priority="1073" stopIfTrue="1" operator="equal">
      <formula>"Towel"</formula>
    </cfRule>
    <cfRule type="cellIs" dxfId="1084" priority="1074" stopIfTrue="1" operator="equal">
      <formula>"Napkin Hs"</formula>
    </cfRule>
  </conditionalFormatting>
  <conditionalFormatting sqref="B47:C47">
    <cfRule type="cellIs" dxfId="1083" priority="1071" stopIfTrue="1" operator="equal">
      <formula>"Towel"</formula>
    </cfRule>
    <cfRule type="cellIs" dxfId="1082" priority="1072" stopIfTrue="1" operator="equal">
      <formula>"Napkin Hs"</formula>
    </cfRule>
  </conditionalFormatting>
  <conditionalFormatting sqref="C47">
    <cfRule type="cellIs" dxfId="1081" priority="1079" stopIfTrue="1" operator="equal">
      <formula>"Towel"</formula>
    </cfRule>
    <cfRule type="cellIs" dxfId="1080" priority="1080" stopIfTrue="1" operator="equal">
      <formula>"Napkin Hs"</formula>
    </cfRule>
  </conditionalFormatting>
  <conditionalFormatting sqref="C47">
    <cfRule type="cellIs" dxfId="1079" priority="1081" stopIfTrue="1" operator="equal">
      <formula>"Towel"</formula>
    </cfRule>
    <cfRule type="cellIs" dxfId="1078" priority="1082" stopIfTrue="1" operator="equal">
      <formula>"Napkin Hs"</formula>
    </cfRule>
  </conditionalFormatting>
  <conditionalFormatting sqref="B45:C46">
    <cfRule type="cellIs" dxfId="1077" priority="1069" stopIfTrue="1" operator="equal">
      <formula>"Towel"</formula>
    </cfRule>
    <cfRule type="cellIs" dxfId="1076" priority="1070" stopIfTrue="1" operator="equal">
      <formula>"Napkin Hs"</formula>
    </cfRule>
  </conditionalFormatting>
  <conditionalFormatting sqref="C45:C46">
    <cfRule type="cellIs" dxfId="1075" priority="1068" stopIfTrue="1" operator="equal">
      <formula>"Napkin Hs"</formula>
    </cfRule>
  </conditionalFormatting>
  <conditionalFormatting sqref="C45:C46">
    <cfRule type="cellIs" dxfId="1074" priority="1065" stopIfTrue="1" operator="equal">
      <formula>"Towel"</formula>
    </cfRule>
    <cfRule type="cellIs" dxfId="1073" priority="1066" stopIfTrue="1" operator="equal">
      <formula>"Napkin Hs"</formula>
    </cfRule>
  </conditionalFormatting>
  <conditionalFormatting sqref="C45:C46">
    <cfRule type="cellIs" dxfId="1072" priority="1067" stopIfTrue="1" operator="equal">
      <formula>"Towel"</formula>
    </cfRule>
  </conditionalFormatting>
  <conditionalFormatting sqref="B43:C44">
    <cfRule type="cellIs" dxfId="1071" priority="1063" stopIfTrue="1" operator="equal">
      <formula>"Towel"</formula>
    </cfRule>
    <cfRule type="cellIs" dxfId="1070" priority="1064" stopIfTrue="1" operator="equal">
      <formula>"Napkin Hs"</formula>
    </cfRule>
  </conditionalFormatting>
  <conditionalFormatting sqref="C43:C44">
    <cfRule type="cellIs" dxfId="1069" priority="1062" stopIfTrue="1" operator="equal">
      <formula>"Napkin Hs"</formula>
    </cfRule>
  </conditionalFormatting>
  <conditionalFormatting sqref="C43:C44">
    <cfRule type="cellIs" dxfId="1068" priority="1059" stopIfTrue="1" operator="equal">
      <formula>"Towel"</formula>
    </cfRule>
    <cfRule type="cellIs" dxfId="1067" priority="1060" stopIfTrue="1" operator="equal">
      <formula>"Napkin Hs"</formula>
    </cfRule>
  </conditionalFormatting>
  <conditionalFormatting sqref="C43:C44">
    <cfRule type="cellIs" dxfId="1066" priority="1061" stopIfTrue="1" operator="equal">
      <formula>"Towel"</formula>
    </cfRule>
  </conditionalFormatting>
  <conditionalFormatting sqref="C48:C51">
    <cfRule type="cellIs" dxfId="1065" priority="1051" stopIfTrue="1" operator="equal">
      <formula>"Towel"</formula>
    </cfRule>
    <cfRule type="cellIs" dxfId="1064" priority="1052" stopIfTrue="1" operator="equal">
      <formula>"Napkin Hs"</formula>
    </cfRule>
  </conditionalFormatting>
  <conditionalFormatting sqref="B48:C51">
    <cfRule type="cellIs" dxfId="1063" priority="1053" stopIfTrue="1" operator="equal">
      <formula>"Towel"</formula>
    </cfRule>
    <cfRule type="cellIs" dxfId="1062" priority="1054" stopIfTrue="1" operator="equal">
      <formula>"Napkin Hs"</formula>
    </cfRule>
  </conditionalFormatting>
  <conditionalFormatting sqref="C48:C51">
    <cfRule type="cellIs" dxfId="1061" priority="1049" stopIfTrue="1" operator="equal">
      <formula>"Towel"</formula>
    </cfRule>
    <cfRule type="cellIs" dxfId="1060" priority="1050" stopIfTrue="1" operator="equal">
      <formula>"Napkin Hs"</formula>
    </cfRule>
  </conditionalFormatting>
  <conditionalFormatting sqref="B48:C51">
    <cfRule type="cellIs" dxfId="1059" priority="1047" stopIfTrue="1" operator="equal">
      <formula>"Towel"</formula>
    </cfRule>
    <cfRule type="cellIs" dxfId="1058" priority="1048" stopIfTrue="1" operator="equal">
      <formula>"Napkin Hs"</formula>
    </cfRule>
  </conditionalFormatting>
  <conditionalFormatting sqref="C48:C51">
    <cfRule type="cellIs" dxfId="1057" priority="1055" stopIfTrue="1" operator="equal">
      <formula>"Towel"</formula>
    </cfRule>
    <cfRule type="cellIs" dxfId="1056" priority="1056" stopIfTrue="1" operator="equal">
      <formula>"Napkin Hs"</formula>
    </cfRule>
  </conditionalFormatting>
  <conditionalFormatting sqref="C48:C51">
    <cfRule type="cellIs" dxfId="1055" priority="1057" stopIfTrue="1" operator="equal">
      <formula>"Towel"</formula>
    </cfRule>
    <cfRule type="cellIs" dxfId="1054" priority="1058" stopIfTrue="1" operator="equal">
      <formula>"Napkin Hs"</formula>
    </cfRule>
  </conditionalFormatting>
  <conditionalFormatting sqref="B48:C51">
    <cfRule type="cellIs" dxfId="1053" priority="1045" stopIfTrue="1" operator="equal">
      <formula>"Towel"</formula>
    </cfRule>
    <cfRule type="cellIs" dxfId="1052" priority="1046" stopIfTrue="1" operator="equal">
      <formula>"Napkin Hs"</formula>
    </cfRule>
  </conditionalFormatting>
  <conditionalFormatting sqref="C48:C51">
    <cfRule type="cellIs" dxfId="1051" priority="1044" stopIfTrue="1" operator="equal">
      <formula>"Napkin Hs"</formula>
    </cfRule>
  </conditionalFormatting>
  <conditionalFormatting sqref="C48:C51">
    <cfRule type="cellIs" dxfId="1050" priority="1041" stopIfTrue="1" operator="equal">
      <formula>"Towel"</formula>
    </cfRule>
    <cfRule type="cellIs" dxfId="1049" priority="1042" stopIfTrue="1" operator="equal">
      <formula>"Napkin Hs"</formula>
    </cfRule>
  </conditionalFormatting>
  <conditionalFormatting sqref="C48:C51">
    <cfRule type="cellIs" dxfId="1048" priority="1043" stopIfTrue="1" operator="equal">
      <formula>"Towel"</formula>
    </cfRule>
  </conditionalFormatting>
  <conditionalFormatting sqref="B55:C56 C54">
    <cfRule type="cellIs" dxfId="1047" priority="1039" stopIfTrue="1" operator="equal">
      <formula>"Towel"</formula>
    </cfRule>
    <cfRule type="cellIs" dxfId="1046" priority="1040" stopIfTrue="1" operator="equal">
      <formula>"Napkin Hs"</formula>
    </cfRule>
  </conditionalFormatting>
  <conditionalFormatting sqref="C54:C56">
    <cfRule type="cellIs" dxfId="1045" priority="1038" stopIfTrue="1" operator="equal">
      <formula>"Napkin Hs"</formula>
    </cfRule>
  </conditionalFormatting>
  <conditionalFormatting sqref="C54:C56">
    <cfRule type="cellIs" dxfId="1044" priority="1035" stopIfTrue="1" operator="equal">
      <formula>"Towel"</formula>
    </cfRule>
    <cfRule type="cellIs" dxfId="1043" priority="1036" stopIfTrue="1" operator="equal">
      <formula>"Napkin Hs"</formula>
    </cfRule>
  </conditionalFormatting>
  <conditionalFormatting sqref="C54:C56">
    <cfRule type="cellIs" dxfId="1042" priority="1037" stopIfTrue="1" operator="equal">
      <formula>"Towel"</formula>
    </cfRule>
  </conditionalFormatting>
  <conditionalFormatting sqref="B54">
    <cfRule type="cellIs" dxfId="1041" priority="1033" stopIfTrue="1" operator="equal">
      <formula>"Towel"</formula>
    </cfRule>
    <cfRule type="cellIs" dxfId="1040" priority="1034" stopIfTrue="1" operator="equal">
      <formula>"Napkin Hs"</formula>
    </cfRule>
  </conditionalFormatting>
  <conditionalFormatting sqref="C53">
    <cfRule type="cellIs" dxfId="1039" priority="1025" stopIfTrue="1" operator="equal">
      <formula>"Towel"</formula>
    </cfRule>
    <cfRule type="cellIs" dxfId="1038" priority="1026" stopIfTrue="1" operator="equal">
      <formula>"Napkin Hs"</formula>
    </cfRule>
  </conditionalFormatting>
  <conditionalFormatting sqref="B53:C53">
    <cfRule type="cellIs" dxfId="1037" priority="1027" stopIfTrue="1" operator="equal">
      <formula>"Towel"</formula>
    </cfRule>
    <cfRule type="cellIs" dxfId="1036" priority="1028" stopIfTrue="1" operator="equal">
      <formula>"Napkin Hs"</formula>
    </cfRule>
  </conditionalFormatting>
  <conditionalFormatting sqref="C53">
    <cfRule type="cellIs" dxfId="1035" priority="1023" stopIfTrue="1" operator="equal">
      <formula>"Towel"</formula>
    </cfRule>
    <cfRule type="cellIs" dxfId="1034" priority="1024" stopIfTrue="1" operator="equal">
      <formula>"Napkin Hs"</formula>
    </cfRule>
  </conditionalFormatting>
  <conditionalFormatting sqref="B53:C53">
    <cfRule type="cellIs" dxfId="1033" priority="1021" stopIfTrue="1" operator="equal">
      <formula>"Towel"</formula>
    </cfRule>
    <cfRule type="cellIs" dxfId="1032" priority="1022" stopIfTrue="1" operator="equal">
      <formula>"Napkin Hs"</formula>
    </cfRule>
  </conditionalFormatting>
  <conditionalFormatting sqref="C53">
    <cfRule type="cellIs" dxfId="1031" priority="1029" stopIfTrue="1" operator="equal">
      <formula>"Towel"</formula>
    </cfRule>
    <cfRule type="cellIs" dxfId="1030" priority="1030" stopIfTrue="1" operator="equal">
      <formula>"Napkin Hs"</formula>
    </cfRule>
  </conditionalFormatting>
  <conditionalFormatting sqref="C53">
    <cfRule type="cellIs" dxfId="1029" priority="1031" stopIfTrue="1" operator="equal">
      <formula>"Towel"</formula>
    </cfRule>
    <cfRule type="cellIs" dxfId="1028" priority="1032" stopIfTrue="1" operator="equal">
      <formula>"Napkin Hs"</formula>
    </cfRule>
  </conditionalFormatting>
  <conditionalFormatting sqref="B53:C53">
    <cfRule type="cellIs" dxfId="1027" priority="1019" stopIfTrue="1" operator="equal">
      <formula>"Towel"</formula>
    </cfRule>
    <cfRule type="cellIs" dxfId="1026" priority="1020" stopIfTrue="1" operator="equal">
      <formula>"Napkin Hs"</formula>
    </cfRule>
  </conditionalFormatting>
  <conditionalFormatting sqref="C53">
    <cfRule type="cellIs" dxfId="1025" priority="1018" stopIfTrue="1" operator="equal">
      <formula>"Napkin Hs"</formula>
    </cfRule>
  </conditionalFormatting>
  <conditionalFormatting sqref="C53">
    <cfRule type="cellIs" dxfId="1024" priority="1015" stopIfTrue="1" operator="equal">
      <formula>"Towel"</formula>
    </cfRule>
    <cfRule type="cellIs" dxfId="1023" priority="1016" stopIfTrue="1" operator="equal">
      <formula>"Napkin Hs"</formula>
    </cfRule>
  </conditionalFormatting>
  <conditionalFormatting sqref="C53">
    <cfRule type="cellIs" dxfId="1022" priority="1017" stopIfTrue="1" operator="equal">
      <formula>"Towel"</formula>
    </cfRule>
  </conditionalFormatting>
  <conditionalFormatting sqref="B62:C62">
    <cfRule type="cellIs" dxfId="1021" priority="1013" stopIfTrue="1" operator="equal">
      <formula>"Towel"</formula>
    </cfRule>
    <cfRule type="cellIs" dxfId="1020" priority="1014" stopIfTrue="1" operator="equal">
      <formula>"Napkin Hs"</formula>
    </cfRule>
  </conditionalFormatting>
  <conditionalFormatting sqref="C62">
    <cfRule type="cellIs" dxfId="1019" priority="1011" stopIfTrue="1" operator="equal">
      <formula>"Towel"</formula>
    </cfRule>
    <cfRule type="cellIs" dxfId="1018" priority="1012" stopIfTrue="1" operator="equal">
      <formula>"Napkin Hs"</formula>
    </cfRule>
  </conditionalFormatting>
  <conditionalFormatting sqref="C62">
    <cfRule type="cellIs" dxfId="1017" priority="1009" stopIfTrue="1" operator="equal">
      <formula>"Towel"</formula>
    </cfRule>
    <cfRule type="cellIs" dxfId="1016" priority="1010" stopIfTrue="1" operator="equal">
      <formula>"Napkin Hs"</formula>
    </cfRule>
  </conditionalFormatting>
  <conditionalFormatting sqref="B60:C61 C59">
    <cfRule type="cellIs" dxfId="1015" priority="1007" stopIfTrue="1" operator="equal">
      <formula>"Towel"</formula>
    </cfRule>
    <cfRule type="cellIs" dxfId="1014" priority="1008" stopIfTrue="1" operator="equal">
      <formula>"Napkin Hs"</formula>
    </cfRule>
  </conditionalFormatting>
  <conditionalFormatting sqref="C59:C61">
    <cfRule type="cellIs" dxfId="1013" priority="1006" stopIfTrue="1" operator="equal">
      <formula>"Napkin Hs"</formula>
    </cfRule>
  </conditionalFormatting>
  <conditionalFormatting sqref="C59:C61">
    <cfRule type="cellIs" dxfId="1012" priority="1003" stopIfTrue="1" operator="equal">
      <formula>"Towel"</formula>
    </cfRule>
    <cfRule type="cellIs" dxfId="1011" priority="1004" stopIfTrue="1" operator="equal">
      <formula>"Napkin Hs"</formula>
    </cfRule>
  </conditionalFormatting>
  <conditionalFormatting sqref="C59:C61">
    <cfRule type="cellIs" dxfId="1010" priority="1005" stopIfTrue="1" operator="equal">
      <formula>"Towel"</formula>
    </cfRule>
  </conditionalFormatting>
  <conditionalFormatting sqref="B59">
    <cfRule type="cellIs" dxfId="1009" priority="1001" stopIfTrue="1" operator="equal">
      <formula>"Towel"</formula>
    </cfRule>
    <cfRule type="cellIs" dxfId="1008" priority="1002" stopIfTrue="1" operator="equal">
      <formula>"Napkin Hs"</formula>
    </cfRule>
  </conditionalFormatting>
  <conditionalFormatting sqref="C58">
    <cfRule type="cellIs" dxfId="1007" priority="993" stopIfTrue="1" operator="equal">
      <formula>"Towel"</formula>
    </cfRule>
    <cfRule type="cellIs" dxfId="1006" priority="994" stopIfTrue="1" operator="equal">
      <formula>"Napkin Hs"</formula>
    </cfRule>
  </conditionalFormatting>
  <conditionalFormatting sqref="B58:C58">
    <cfRule type="cellIs" dxfId="1005" priority="995" stopIfTrue="1" operator="equal">
      <formula>"Towel"</formula>
    </cfRule>
    <cfRule type="cellIs" dxfId="1004" priority="996" stopIfTrue="1" operator="equal">
      <formula>"Napkin Hs"</formula>
    </cfRule>
  </conditionalFormatting>
  <conditionalFormatting sqref="C58">
    <cfRule type="cellIs" dxfId="1003" priority="991" stopIfTrue="1" operator="equal">
      <formula>"Towel"</formula>
    </cfRule>
    <cfRule type="cellIs" dxfId="1002" priority="992" stopIfTrue="1" operator="equal">
      <formula>"Napkin Hs"</formula>
    </cfRule>
  </conditionalFormatting>
  <conditionalFormatting sqref="B58:C58">
    <cfRule type="cellIs" dxfId="1001" priority="989" stopIfTrue="1" operator="equal">
      <formula>"Towel"</formula>
    </cfRule>
    <cfRule type="cellIs" dxfId="1000" priority="990" stopIfTrue="1" operator="equal">
      <formula>"Napkin Hs"</formula>
    </cfRule>
  </conditionalFormatting>
  <conditionalFormatting sqref="C58">
    <cfRule type="cellIs" dxfId="999" priority="997" stopIfTrue="1" operator="equal">
      <formula>"Towel"</formula>
    </cfRule>
    <cfRule type="cellIs" dxfId="998" priority="998" stopIfTrue="1" operator="equal">
      <formula>"Napkin Hs"</formula>
    </cfRule>
  </conditionalFormatting>
  <conditionalFormatting sqref="C58">
    <cfRule type="cellIs" dxfId="997" priority="999" stopIfTrue="1" operator="equal">
      <formula>"Towel"</formula>
    </cfRule>
    <cfRule type="cellIs" dxfId="996" priority="1000" stopIfTrue="1" operator="equal">
      <formula>"Napkin Hs"</formula>
    </cfRule>
  </conditionalFormatting>
  <conditionalFormatting sqref="B58:C58">
    <cfRule type="cellIs" dxfId="995" priority="987" stopIfTrue="1" operator="equal">
      <formula>"Towel"</formula>
    </cfRule>
    <cfRule type="cellIs" dxfId="994" priority="988" stopIfTrue="1" operator="equal">
      <formula>"Napkin Hs"</formula>
    </cfRule>
  </conditionalFormatting>
  <conditionalFormatting sqref="C58">
    <cfRule type="cellIs" dxfId="993" priority="986" stopIfTrue="1" operator="equal">
      <formula>"Napkin Hs"</formula>
    </cfRule>
  </conditionalFormatting>
  <conditionalFormatting sqref="C58">
    <cfRule type="cellIs" dxfId="992" priority="983" stopIfTrue="1" operator="equal">
      <formula>"Towel"</formula>
    </cfRule>
    <cfRule type="cellIs" dxfId="991" priority="984" stopIfTrue="1" operator="equal">
      <formula>"Napkin Hs"</formula>
    </cfRule>
  </conditionalFormatting>
  <conditionalFormatting sqref="C58">
    <cfRule type="cellIs" dxfId="990" priority="985" stopIfTrue="1" operator="equal">
      <formula>"Towel"</formula>
    </cfRule>
  </conditionalFormatting>
  <conditionalFormatting sqref="B67:C67">
    <cfRule type="cellIs" dxfId="989" priority="981" stopIfTrue="1" operator="equal">
      <formula>"Towel"</formula>
    </cfRule>
    <cfRule type="cellIs" dxfId="988" priority="982" stopIfTrue="1" operator="equal">
      <formula>"Napkin Hs"</formula>
    </cfRule>
  </conditionalFormatting>
  <conditionalFormatting sqref="C67">
    <cfRule type="cellIs" dxfId="987" priority="979" stopIfTrue="1" operator="equal">
      <formula>"Towel"</formula>
    </cfRule>
    <cfRule type="cellIs" dxfId="986" priority="980" stopIfTrue="1" operator="equal">
      <formula>"Napkin Hs"</formula>
    </cfRule>
  </conditionalFormatting>
  <conditionalFormatting sqref="C67">
    <cfRule type="cellIs" dxfId="985" priority="977" stopIfTrue="1" operator="equal">
      <formula>"Towel"</formula>
    </cfRule>
    <cfRule type="cellIs" dxfId="984" priority="978" stopIfTrue="1" operator="equal">
      <formula>"Napkin Hs"</formula>
    </cfRule>
  </conditionalFormatting>
  <conditionalFormatting sqref="B65:C66 C64">
    <cfRule type="cellIs" dxfId="983" priority="975" stopIfTrue="1" operator="equal">
      <formula>"Towel"</formula>
    </cfRule>
    <cfRule type="cellIs" dxfId="982" priority="976" stopIfTrue="1" operator="equal">
      <formula>"Napkin Hs"</formula>
    </cfRule>
  </conditionalFormatting>
  <conditionalFormatting sqref="C64:C66">
    <cfRule type="cellIs" dxfId="981" priority="974" stopIfTrue="1" operator="equal">
      <formula>"Napkin Hs"</formula>
    </cfRule>
  </conditionalFormatting>
  <conditionalFormatting sqref="C64:C66">
    <cfRule type="cellIs" dxfId="980" priority="971" stopIfTrue="1" operator="equal">
      <formula>"Towel"</formula>
    </cfRule>
    <cfRule type="cellIs" dxfId="979" priority="972" stopIfTrue="1" operator="equal">
      <formula>"Napkin Hs"</formula>
    </cfRule>
  </conditionalFormatting>
  <conditionalFormatting sqref="C64:C66">
    <cfRule type="cellIs" dxfId="978" priority="973" stopIfTrue="1" operator="equal">
      <formula>"Towel"</formula>
    </cfRule>
  </conditionalFormatting>
  <conditionalFormatting sqref="B64">
    <cfRule type="cellIs" dxfId="977" priority="969" stopIfTrue="1" operator="equal">
      <formula>"Towel"</formula>
    </cfRule>
    <cfRule type="cellIs" dxfId="976" priority="970" stopIfTrue="1" operator="equal">
      <formula>"Napkin Hs"</formula>
    </cfRule>
  </conditionalFormatting>
  <conditionalFormatting sqref="C63">
    <cfRule type="cellIs" dxfId="975" priority="961" stopIfTrue="1" operator="equal">
      <formula>"Towel"</formula>
    </cfRule>
    <cfRule type="cellIs" dxfId="974" priority="962" stopIfTrue="1" operator="equal">
      <formula>"Napkin Hs"</formula>
    </cfRule>
  </conditionalFormatting>
  <conditionalFormatting sqref="B63:C63">
    <cfRule type="cellIs" dxfId="973" priority="963" stopIfTrue="1" operator="equal">
      <formula>"Towel"</formula>
    </cfRule>
    <cfRule type="cellIs" dxfId="972" priority="964" stopIfTrue="1" operator="equal">
      <formula>"Napkin Hs"</formula>
    </cfRule>
  </conditionalFormatting>
  <conditionalFormatting sqref="C63">
    <cfRule type="cellIs" dxfId="971" priority="959" stopIfTrue="1" operator="equal">
      <formula>"Towel"</formula>
    </cfRule>
    <cfRule type="cellIs" dxfId="970" priority="960" stopIfTrue="1" operator="equal">
      <formula>"Napkin Hs"</formula>
    </cfRule>
  </conditionalFormatting>
  <conditionalFormatting sqref="B63:C63">
    <cfRule type="cellIs" dxfId="969" priority="957" stopIfTrue="1" operator="equal">
      <formula>"Towel"</formula>
    </cfRule>
    <cfRule type="cellIs" dxfId="968" priority="958" stopIfTrue="1" operator="equal">
      <formula>"Napkin Hs"</formula>
    </cfRule>
  </conditionalFormatting>
  <conditionalFormatting sqref="C63">
    <cfRule type="cellIs" dxfId="967" priority="965" stopIfTrue="1" operator="equal">
      <formula>"Towel"</formula>
    </cfRule>
    <cfRule type="cellIs" dxfId="966" priority="966" stopIfTrue="1" operator="equal">
      <formula>"Napkin Hs"</formula>
    </cfRule>
  </conditionalFormatting>
  <conditionalFormatting sqref="C63">
    <cfRule type="cellIs" dxfId="965" priority="967" stopIfTrue="1" operator="equal">
      <formula>"Towel"</formula>
    </cfRule>
    <cfRule type="cellIs" dxfId="964" priority="968" stopIfTrue="1" operator="equal">
      <formula>"Napkin Hs"</formula>
    </cfRule>
  </conditionalFormatting>
  <conditionalFormatting sqref="B63:C63">
    <cfRule type="cellIs" dxfId="963" priority="955" stopIfTrue="1" operator="equal">
      <formula>"Towel"</formula>
    </cfRule>
    <cfRule type="cellIs" dxfId="962" priority="956" stopIfTrue="1" operator="equal">
      <formula>"Napkin Hs"</formula>
    </cfRule>
  </conditionalFormatting>
  <conditionalFormatting sqref="C63">
    <cfRule type="cellIs" dxfId="961" priority="954" stopIfTrue="1" operator="equal">
      <formula>"Napkin Hs"</formula>
    </cfRule>
  </conditionalFormatting>
  <conditionalFormatting sqref="C63">
    <cfRule type="cellIs" dxfId="960" priority="951" stopIfTrue="1" operator="equal">
      <formula>"Towel"</formula>
    </cfRule>
    <cfRule type="cellIs" dxfId="959" priority="952" stopIfTrue="1" operator="equal">
      <formula>"Napkin Hs"</formula>
    </cfRule>
  </conditionalFormatting>
  <conditionalFormatting sqref="C63">
    <cfRule type="cellIs" dxfId="958" priority="953" stopIfTrue="1" operator="equal">
      <formula>"Towel"</formula>
    </cfRule>
  </conditionalFormatting>
  <conditionalFormatting sqref="C69 B70:C73">
    <cfRule type="cellIs" dxfId="957" priority="949" stopIfTrue="1" operator="equal">
      <formula>"Towel"</formula>
    </cfRule>
    <cfRule type="cellIs" dxfId="956" priority="950" stopIfTrue="1" operator="equal">
      <formula>"Napkin Hs"</formula>
    </cfRule>
  </conditionalFormatting>
  <conditionalFormatting sqref="C69:C73">
    <cfRule type="cellIs" dxfId="955" priority="948" stopIfTrue="1" operator="equal">
      <formula>"Napkin Hs"</formula>
    </cfRule>
  </conditionalFormatting>
  <conditionalFormatting sqref="C69:C73">
    <cfRule type="cellIs" dxfId="954" priority="945" stopIfTrue="1" operator="equal">
      <formula>"Towel"</formula>
    </cfRule>
    <cfRule type="cellIs" dxfId="953" priority="946" stopIfTrue="1" operator="equal">
      <formula>"Napkin Hs"</formula>
    </cfRule>
  </conditionalFormatting>
  <conditionalFormatting sqref="C69:C73">
    <cfRule type="cellIs" dxfId="952" priority="947" stopIfTrue="1" operator="equal">
      <formula>"Towel"</formula>
    </cfRule>
  </conditionalFormatting>
  <conditionalFormatting sqref="B69">
    <cfRule type="cellIs" dxfId="951" priority="943" stopIfTrue="1" operator="equal">
      <formula>"Towel"</formula>
    </cfRule>
    <cfRule type="cellIs" dxfId="950" priority="944" stopIfTrue="1" operator="equal">
      <formula>"Napkin Hs"</formula>
    </cfRule>
  </conditionalFormatting>
  <conditionalFormatting sqref="C68">
    <cfRule type="cellIs" dxfId="949" priority="935" stopIfTrue="1" operator="equal">
      <formula>"Towel"</formula>
    </cfRule>
    <cfRule type="cellIs" dxfId="948" priority="936" stopIfTrue="1" operator="equal">
      <formula>"Napkin Hs"</formula>
    </cfRule>
  </conditionalFormatting>
  <conditionalFormatting sqref="B68:C68">
    <cfRule type="cellIs" dxfId="947" priority="937" stopIfTrue="1" operator="equal">
      <formula>"Towel"</formula>
    </cfRule>
    <cfRule type="cellIs" dxfId="946" priority="938" stopIfTrue="1" operator="equal">
      <formula>"Napkin Hs"</formula>
    </cfRule>
  </conditionalFormatting>
  <conditionalFormatting sqref="C68">
    <cfRule type="cellIs" dxfId="945" priority="933" stopIfTrue="1" operator="equal">
      <formula>"Towel"</formula>
    </cfRule>
    <cfRule type="cellIs" dxfId="944" priority="934" stopIfTrue="1" operator="equal">
      <formula>"Napkin Hs"</formula>
    </cfRule>
  </conditionalFormatting>
  <conditionalFormatting sqref="B68:C68">
    <cfRule type="cellIs" dxfId="943" priority="931" stopIfTrue="1" operator="equal">
      <formula>"Towel"</formula>
    </cfRule>
    <cfRule type="cellIs" dxfId="942" priority="932" stopIfTrue="1" operator="equal">
      <formula>"Napkin Hs"</formula>
    </cfRule>
  </conditionalFormatting>
  <conditionalFormatting sqref="C68">
    <cfRule type="cellIs" dxfId="941" priority="939" stopIfTrue="1" operator="equal">
      <formula>"Towel"</formula>
    </cfRule>
    <cfRule type="cellIs" dxfId="940" priority="940" stopIfTrue="1" operator="equal">
      <formula>"Napkin Hs"</formula>
    </cfRule>
  </conditionalFormatting>
  <conditionalFormatting sqref="C68">
    <cfRule type="cellIs" dxfId="939" priority="941" stopIfTrue="1" operator="equal">
      <formula>"Towel"</formula>
    </cfRule>
    <cfRule type="cellIs" dxfId="938" priority="942" stopIfTrue="1" operator="equal">
      <formula>"Napkin Hs"</formula>
    </cfRule>
  </conditionalFormatting>
  <conditionalFormatting sqref="B68:C68">
    <cfRule type="cellIs" dxfId="937" priority="929" stopIfTrue="1" operator="equal">
      <formula>"Towel"</formula>
    </cfRule>
    <cfRule type="cellIs" dxfId="936" priority="930" stopIfTrue="1" operator="equal">
      <formula>"Napkin Hs"</formula>
    </cfRule>
  </conditionalFormatting>
  <conditionalFormatting sqref="C68">
    <cfRule type="cellIs" dxfId="935" priority="928" stopIfTrue="1" operator="equal">
      <formula>"Napkin Hs"</formula>
    </cfRule>
  </conditionalFormatting>
  <conditionalFormatting sqref="C68">
    <cfRule type="cellIs" dxfId="934" priority="925" stopIfTrue="1" operator="equal">
      <formula>"Towel"</formula>
    </cfRule>
    <cfRule type="cellIs" dxfId="933" priority="926" stopIfTrue="1" operator="equal">
      <formula>"Napkin Hs"</formula>
    </cfRule>
  </conditionalFormatting>
  <conditionalFormatting sqref="C68">
    <cfRule type="cellIs" dxfId="932" priority="927" stopIfTrue="1" operator="equal">
      <formula>"Towel"</formula>
    </cfRule>
  </conditionalFormatting>
  <conditionalFormatting sqref="B77:C78">
    <cfRule type="cellIs" dxfId="931" priority="923" stopIfTrue="1" operator="equal">
      <formula>"Towel"</formula>
    </cfRule>
    <cfRule type="cellIs" dxfId="930" priority="924" stopIfTrue="1" operator="equal">
      <formula>"Napkin Hs"</formula>
    </cfRule>
  </conditionalFormatting>
  <conditionalFormatting sqref="C77:C78">
    <cfRule type="cellIs" dxfId="929" priority="922" stopIfTrue="1" operator="equal">
      <formula>"Napkin Hs"</formula>
    </cfRule>
  </conditionalFormatting>
  <conditionalFormatting sqref="C77:C78">
    <cfRule type="cellIs" dxfId="928" priority="919" stopIfTrue="1" operator="equal">
      <formula>"Towel"</formula>
    </cfRule>
    <cfRule type="cellIs" dxfId="927" priority="920" stopIfTrue="1" operator="equal">
      <formula>"Napkin Hs"</formula>
    </cfRule>
  </conditionalFormatting>
  <conditionalFormatting sqref="C77:C78">
    <cfRule type="cellIs" dxfId="926" priority="921" stopIfTrue="1" operator="equal">
      <formula>"Towel"</formula>
    </cfRule>
  </conditionalFormatting>
  <conditionalFormatting sqref="C75:C76">
    <cfRule type="cellIs" dxfId="925" priority="911" stopIfTrue="1" operator="equal">
      <formula>"Towel"</formula>
    </cfRule>
    <cfRule type="cellIs" dxfId="924" priority="912" stopIfTrue="1" operator="equal">
      <formula>"Napkin Hs"</formula>
    </cfRule>
  </conditionalFormatting>
  <conditionalFormatting sqref="B75:C76">
    <cfRule type="cellIs" dxfId="923" priority="913" stopIfTrue="1" operator="equal">
      <formula>"Towel"</formula>
    </cfRule>
    <cfRule type="cellIs" dxfId="922" priority="914" stopIfTrue="1" operator="equal">
      <formula>"Napkin Hs"</formula>
    </cfRule>
  </conditionalFormatting>
  <conditionalFormatting sqref="C75:C76">
    <cfRule type="cellIs" dxfId="921" priority="909" stopIfTrue="1" operator="equal">
      <formula>"Towel"</formula>
    </cfRule>
    <cfRule type="cellIs" dxfId="920" priority="910" stopIfTrue="1" operator="equal">
      <formula>"Napkin Hs"</formula>
    </cfRule>
  </conditionalFormatting>
  <conditionalFormatting sqref="B75:C76">
    <cfRule type="cellIs" dxfId="919" priority="907" stopIfTrue="1" operator="equal">
      <formula>"Towel"</formula>
    </cfRule>
    <cfRule type="cellIs" dxfId="918" priority="908" stopIfTrue="1" operator="equal">
      <formula>"Napkin Hs"</formula>
    </cfRule>
  </conditionalFormatting>
  <conditionalFormatting sqref="C75:C76">
    <cfRule type="cellIs" dxfId="917" priority="915" stopIfTrue="1" operator="equal">
      <formula>"Towel"</formula>
    </cfRule>
    <cfRule type="cellIs" dxfId="916" priority="916" stopIfTrue="1" operator="equal">
      <formula>"Napkin Hs"</formula>
    </cfRule>
  </conditionalFormatting>
  <conditionalFormatting sqref="C75:C76">
    <cfRule type="cellIs" dxfId="915" priority="917" stopIfTrue="1" operator="equal">
      <formula>"Towel"</formula>
    </cfRule>
    <cfRule type="cellIs" dxfId="914" priority="918" stopIfTrue="1" operator="equal">
      <formula>"Napkin Hs"</formula>
    </cfRule>
  </conditionalFormatting>
  <conditionalFormatting sqref="B75:C76">
    <cfRule type="cellIs" dxfId="913" priority="905" stopIfTrue="1" operator="equal">
      <formula>"Towel"</formula>
    </cfRule>
    <cfRule type="cellIs" dxfId="912" priority="906" stopIfTrue="1" operator="equal">
      <formula>"Napkin Hs"</formula>
    </cfRule>
  </conditionalFormatting>
  <conditionalFormatting sqref="C75:C76">
    <cfRule type="cellIs" dxfId="911" priority="904" stopIfTrue="1" operator="equal">
      <formula>"Napkin Hs"</formula>
    </cfRule>
  </conditionalFormatting>
  <conditionalFormatting sqref="C75:C76">
    <cfRule type="cellIs" dxfId="910" priority="901" stopIfTrue="1" operator="equal">
      <formula>"Towel"</formula>
    </cfRule>
    <cfRule type="cellIs" dxfId="909" priority="902" stopIfTrue="1" operator="equal">
      <formula>"Napkin Hs"</formula>
    </cfRule>
  </conditionalFormatting>
  <conditionalFormatting sqref="C75:C76">
    <cfRule type="cellIs" dxfId="908" priority="903" stopIfTrue="1" operator="equal">
      <formula>"Towel"</formula>
    </cfRule>
  </conditionalFormatting>
  <conditionalFormatting sqref="B82:C83">
    <cfRule type="cellIs" dxfId="907" priority="899" stopIfTrue="1" operator="equal">
      <formula>"Towel"</formula>
    </cfRule>
    <cfRule type="cellIs" dxfId="906" priority="900" stopIfTrue="1" operator="equal">
      <formula>"Napkin Hs"</formula>
    </cfRule>
  </conditionalFormatting>
  <conditionalFormatting sqref="C82:C83">
    <cfRule type="cellIs" dxfId="905" priority="898" stopIfTrue="1" operator="equal">
      <formula>"Napkin Hs"</formula>
    </cfRule>
  </conditionalFormatting>
  <conditionalFormatting sqref="C82:C83">
    <cfRule type="cellIs" dxfId="904" priority="895" stopIfTrue="1" operator="equal">
      <formula>"Towel"</formula>
    </cfRule>
    <cfRule type="cellIs" dxfId="903" priority="896" stopIfTrue="1" operator="equal">
      <formula>"Napkin Hs"</formula>
    </cfRule>
  </conditionalFormatting>
  <conditionalFormatting sqref="C82:C83">
    <cfRule type="cellIs" dxfId="902" priority="897" stopIfTrue="1" operator="equal">
      <formula>"Towel"</formula>
    </cfRule>
  </conditionalFormatting>
  <conditionalFormatting sqref="C81">
    <cfRule type="cellIs" dxfId="901" priority="887" stopIfTrue="1" operator="equal">
      <formula>"Towel"</formula>
    </cfRule>
    <cfRule type="cellIs" dxfId="900" priority="888" stopIfTrue="1" operator="equal">
      <formula>"Napkin Hs"</formula>
    </cfRule>
  </conditionalFormatting>
  <conditionalFormatting sqref="B81:C81">
    <cfRule type="cellIs" dxfId="899" priority="889" stopIfTrue="1" operator="equal">
      <formula>"Towel"</formula>
    </cfRule>
    <cfRule type="cellIs" dxfId="898" priority="890" stopIfTrue="1" operator="equal">
      <formula>"Napkin Hs"</formula>
    </cfRule>
  </conditionalFormatting>
  <conditionalFormatting sqref="C81">
    <cfRule type="cellIs" dxfId="897" priority="885" stopIfTrue="1" operator="equal">
      <formula>"Towel"</formula>
    </cfRule>
    <cfRule type="cellIs" dxfId="896" priority="886" stopIfTrue="1" operator="equal">
      <formula>"Napkin Hs"</formula>
    </cfRule>
  </conditionalFormatting>
  <conditionalFormatting sqref="B81:C81">
    <cfRule type="cellIs" dxfId="895" priority="883" stopIfTrue="1" operator="equal">
      <formula>"Towel"</formula>
    </cfRule>
    <cfRule type="cellIs" dxfId="894" priority="884" stopIfTrue="1" operator="equal">
      <formula>"Napkin Hs"</formula>
    </cfRule>
  </conditionalFormatting>
  <conditionalFormatting sqref="C81">
    <cfRule type="cellIs" dxfId="893" priority="891" stopIfTrue="1" operator="equal">
      <formula>"Towel"</formula>
    </cfRule>
    <cfRule type="cellIs" dxfId="892" priority="892" stopIfTrue="1" operator="equal">
      <formula>"Napkin Hs"</formula>
    </cfRule>
  </conditionalFormatting>
  <conditionalFormatting sqref="C81">
    <cfRule type="cellIs" dxfId="891" priority="893" stopIfTrue="1" operator="equal">
      <formula>"Towel"</formula>
    </cfRule>
    <cfRule type="cellIs" dxfId="890" priority="894" stopIfTrue="1" operator="equal">
      <formula>"Napkin Hs"</formula>
    </cfRule>
  </conditionalFormatting>
  <conditionalFormatting sqref="B81:C81">
    <cfRule type="cellIs" dxfId="889" priority="881" stopIfTrue="1" operator="equal">
      <formula>"Towel"</formula>
    </cfRule>
    <cfRule type="cellIs" dxfId="888" priority="882" stopIfTrue="1" operator="equal">
      <formula>"Napkin Hs"</formula>
    </cfRule>
  </conditionalFormatting>
  <conditionalFormatting sqref="C81">
    <cfRule type="cellIs" dxfId="887" priority="880" stopIfTrue="1" operator="equal">
      <formula>"Napkin Hs"</formula>
    </cfRule>
  </conditionalFormatting>
  <conditionalFormatting sqref="C81">
    <cfRule type="cellIs" dxfId="886" priority="877" stopIfTrue="1" operator="equal">
      <formula>"Towel"</formula>
    </cfRule>
    <cfRule type="cellIs" dxfId="885" priority="878" stopIfTrue="1" operator="equal">
      <formula>"Napkin Hs"</formula>
    </cfRule>
  </conditionalFormatting>
  <conditionalFormatting sqref="C81">
    <cfRule type="cellIs" dxfId="884" priority="879" stopIfTrue="1" operator="equal">
      <formula>"Towel"</formula>
    </cfRule>
  </conditionalFormatting>
  <conditionalFormatting sqref="B87:C88">
    <cfRule type="cellIs" dxfId="883" priority="875" stopIfTrue="1" operator="equal">
      <formula>"Towel"</formula>
    </cfRule>
    <cfRule type="cellIs" dxfId="882" priority="876" stopIfTrue="1" operator="equal">
      <formula>"Napkin Hs"</formula>
    </cfRule>
  </conditionalFormatting>
  <conditionalFormatting sqref="C87:C88">
    <cfRule type="cellIs" dxfId="881" priority="874" stopIfTrue="1" operator="equal">
      <formula>"Napkin Hs"</formula>
    </cfRule>
  </conditionalFormatting>
  <conditionalFormatting sqref="C87:C88">
    <cfRule type="cellIs" dxfId="880" priority="871" stopIfTrue="1" operator="equal">
      <formula>"Towel"</formula>
    </cfRule>
    <cfRule type="cellIs" dxfId="879" priority="872" stopIfTrue="1" operator="equal">
      <formula>"Napkin Hs"</formula>
    </cfRule>
  </conditionalFormatting>
  <conditionalFormatting sqref="C87:C88">
    <cfRule type="cellIs" dxfId="878" priority="873" stopIfTrue="1" operator="equal">
      <formula>"Towel"</formula>
    </cfRule>
  </conditionalFormatting>
  <conditionalFormatting sqref="C86">
    <cfRule type="cellIs" dxfId="877" priority="863" stopIfTrue="1" operator="equal">
      <formula>"Towel"</formula>
    </cfRule>
    <cfRule type="cellIs" dxfId="876" priority="864" stopIfTrue="1" operator="equal">
      <formula>"Napkin Hs"</formula>
    </cfRule>
  </conditionalFormatting>
  <conditionalFormatting sqref="B86:C86">
    <cfRule type="cellIs" dxfId="875" priority="865" stopIfTrue="1" operator="equal">
      <formula>"Towel"</formula>
    </cfRule>
    <cfRule type="cellIs" dxfId="874" priority="866" stopIfTrue="1" operator="equal">
      <formula>"Napkin Hs"</formula>
    </cfRule>
  </conditionalFormatting>
  <conditionalFormatting sqref="C86">
    <cfRule type="cellIs" dxfId="873" priority="861" stopIfTrue="1" operator="equal">
      <formula>"Towel"</formula>
    </cfRule>
    <cfRule type="cellIs" dxfId="872" priority="862" stopIfTrue="1" operator="equal">
      <formula>"Napkin Hs"</formula>
    </cfRule>
  </conditionalFormatting>
  <conditionalFormatting sqref="B86:C86">
    <cfRule type="cellIs" dxfId="871" priority="859" stopIfTrue="1" operator="equal">
      <formula>"Towel"</formula>
    </cfRule>
    <cfRule type="cellIs" dxfId="870" priority="860" stopIfTrue="1" operator="equal">
      <formula>"Napkin Hs"</formula>
    </cfRule>
  </conditionalFormatting>
  <conditionalFormatting sqref="C86">
    <cfRule type="cellIs" dxfId="869" priority="867" stopIfTrue="1" operator="equal">
      <formula>"Towel"</formula>
    </cfRule>
    <cfRule type="cellIs" dxfId="868" priority="868" stopIfTrue="1" operator="equal">
      <formula>"Napkin Hs"</formula>
    </cfRule>
  </conditionalFormatting>
  <conditionalFormatting sqref="C86">
    <cfRule type="cellIs" dxfId="867" priority="869" stopIfTrue="1" operator="equal">
      <formula>"Towel"</formula>
    </cfRule>
    <cfRule type="cellIs" dxfId="866" priority="870" stopIfTrue="1" operator="equal">
      <formula>"Napkin Hs"</formula>
    </cfRule>
  </conditionalFormatting>
  <conditionalFormatting sqref="B86:C86">
    <cfRule type="cellIs" dxfId="865" priority="857" stopIfTrue="1" operator="equal">
      <formula>"Towel"</formula>
    </cfRule>
    <cfRule type="cellIs" dxfId="864" priority="858" stopIfTrue="1" operator="equal">
      <formula>"Napkin Hs"</formula>
    </cfRule>
  </conditionalFormatting>
  <conditionalFormatting sqref="C86">
    <cfRule type="cellIs" dxfId="863" priority="856" stopIfTrue="1" operator="equal">
      <formula>"Napkin Hs"</formula>
    </cfRule>
  </conditionalFormatting>
  <conditionalFormatting sqref="C86">
    <cfRule type="cellIs" dxfId="862" priority="853" stopIfTrue="1" operator="equal">
      <formula>"Towel"</formula>
    </cfRule>
    <cfRule type="cellIs" dxfId="861" priority="854" stopIfTrue="1" operator="equal">
      <formula>"Napkin Hs"</formula>
    </cfRule>
  </conditionalFormatting>
  <conditionalFormatting sqref="C86">
    <cfRule type="cellIs" dxfId="860" priority="855" stopIfTrue="1" operator="equal">
      <formula>"Towel"</formula>
    </cfRule>
  </conditionalFormatting>
  <conditionalFormatting sqref="C80">
    <cfRule type="cellIs" dxfId="859" priority="845" stopIfTrue="1" operator="equal">
      <formula>"Towel"</formula>
    </cfRule>
    <cfRule type="cellIs" dxfId="858" priority="846" stopIfTrue="1" operator="equal">
      <formula>"Napkin Hs"</formula>
    </cfRule>
  </conditionalFormatting>
  <conditionalFormatting sqref="B80:C80">
    <cfRule type="cellIs" dxfId="857" priority="847" stopIfTrue="1" operator="equal">
      <formula>"Towel"</formula>
    </cfRule>
    <cfRule type="cellIs" dxfId="856" priority="848" stopIfTrue="1" operator="equal">
      <formula>"Napkin Hs"</formula>
    </cfRule>
  </conditionalFormatting>
  <conditionalFormatting sqref="C80">
    <cfRule type="cellIs" dxfId="855" priority="843" stopIfTrue="1" operator="equal">
      <formula>"Towel"</formula>
    </cfRule>
    <cfRule type="cellIs" dxfId="854" priority="844" stopIfTrue="1" operator="equal">
      <formula>"Napkin Hs"</formula>
    </cfRule>
  </conditionalFormatting>
  <conditionalFormatting sqref="B80:C80">
    <cfRule type="cellIs" dxfId="853" priority="841" stopIfTrue="1" operator="equal">
      <formula>"Towel"</formula>
    </cfRule>
    <cfRule type="cellIs" dxfId="852" priority="842" stopIfTrue="1" operator="equal">
      <formula>"Napkin Hs"</formula>
    </cfRule>
  </conditionalFormatting>
  <conditionalFormatting sqref="C80">
    <cfRule type="cellIs" dxfId="851" priority="849" stopIfTrue="1" operator="equal">
      <formula>"Towel"</formula>
    </cfRule>
    <cfRule type="cellIs" dxfId="850" priority="850" stopIfTrue="1" operator="equal">
      <formula>"Napkin Hs"</formula>
    </cfRule>
  </conditionalFormatting>
  <conditionalFormatting sqref="C80">
    <cfRule type="cellIs" dxfId="849" priority="851" stopIfTrue="1" operator="equal">
      <formula>"Towel"</formula>
    </cfRule>
    <cfRule type="cellIs" dxfId="848" priority="852" stopIfTrue="1" operator="equal">
      <formula>"Napkin Hs"</formula>
    </cfRule>
  </conditionalFormatting>
  <conditionalFormatting sqref="B80:C80">
    <cfRule type="cellIs" dxfId="847" priority="839" stopIfTrue="1" operator="equal">
      <formula>"Towel"</formula>
    </cfRule>
    <cfRule type="cellIs" dxfId="846" priority="840" stopIfTrue="1" operator="equal">
      <formula>"Napkin Hs"</formula>
    </cfRule>
  </conditionalFormatting>
  <conditionalFormatting sqref="C80">
    <cfRule type="cellIs" dxfId="845" priority="838" stopIfTrue="1" operator="equal">
      <formula>"Napkin Hs"</formula>
    </cfRule>
  </conditionalFormatting>
  <conditionalFormatting sqref="C80">
    <cfRule type="cellIs" dxfId="844" priority="835" stopIfTrue="1" operator="equal">
      <formula>"Towel"</formula>
    </cfRule>
    <cfRule type="cellIs" dxfId="843" priority="836" stopIfTrue="1" operator="equal">
      <formula>"Napkin Hs"</formula>
    </cfRule>
  </conditionalFormatting>
  <conditionalFormatting sqref="C80">
    <cfRule type="cellIs" dxfId="842" priority="837" stopIfTrue="1" operator="equal">
      <formula>"Towel"</formula>
    </cfRule>
  </conditionalFormatting>
  <conditionalFormatting sqref="C85">
    <cfRule type="cellIs" dxfId="841" priority="827" stopIfTrue="1" operator="equal">
      <formula>"Towel"</formula>
    </cfRule>
    <cfRule type="cellIs" dxfId="840" priority="828" stopIfTrue="1" operator="equal">
      <formula>"Napkin Hs"</formula>
    </cfRule>
  </conditionalFormatting>
  <conditionalFormatting sqref="B85:C85">
    <cfRule type="cellIs" dxfId="839" priority="829" stopIfTrue="1" operator="equal">
      <formula>"Towel"</formula>
    </cfRule>
    <cfRule type="cellIs" dxfId="838" priority="830" stopIfTrue="1" operator="equal">
      <formula>"Napkin Hs"</formula>
    </cfRule>
  </conditionalFormatting>
  <conditionalFormatting sqref="C85">
    <cfRule type="cellIs" dxfId="837" priority="825" stopIfTrue="1" operator="equal">
      <formula>"Towel"</formula>
    </cfRule>
    <cfRule type="cellIs" dxfId="836" priority="826" stopIfTrue="1" operator="equal">
      <formula>"Napkin Hs"</formula>
    </cfRule>
  </conditionalFormatting>
  <conditionalFormatting sqref="B85:C85">
    <cfRule type="cellIs" dxfId="835" priority="823" stopIfTrue="1" operator="equal">
      <formula>"Towel"</formula>
    </cfRule>
    <cfRule type="cellIs" dxfId="834" priority="824" stopIfTrue="1" operator="equal">
      <formula>"Napkin Hs"</formula>
    </cfRule>
  </conditionalFormatting>
  <conditionalFormatting sqref="C85">
    <cfRule type="cellIs" dxfId="833" priority="831" stopIfTrue="1" operator="equal">
      <formula>"Towel"</formula>
    </cfRule>
    <cfRule type="cellIs" dxfId="832" priority="832" stopIfTrue="1" operator="equal">
      <formula>"Napkin Hs"</formula>
    </cfRule>
  </conditionalFormatting>
  <conditionalFormatting sqref="C85">
    <cfRule type="cellIs" dxfId="831" priority="833" stopIfTrue="1" operator="equal">
      <formula>"Towel"</formula>
    </cfRule>
    <cfRule type="cellIs" dxfId="830" priority="834" stopIfTrue="1" operator="equal">
      <formula>"Napkin Hs"</formula>
    </cfRule>
  </conditionalFormatting>
  <conditionalFormatting sqref="B85:C85">
    <cfRule type="cellIs" dxfId="829" priority="821" stopIfTrue="1" operator="equal">
      <formula>"Towel"</formula>
    </cfRule>
    <cfRule type="cellIs" dxfId="828" priority="822" stopIfTrue="1" operator="equal">
      <formula>"Napkin Hs"</formula>
    </cfRule>
  </conditionalFormatting>
  <conditionalFormatting sqref="C85">
    <cfRule type="cellIs" dxfId="827" priority="820" stopIfTrue="1" operator="equal">
      <formula>"Napkin Hs"</formula>
    </cfRule>
  </conditionalFormatting>
  <conditionalFormatting sqref="C85">
    <cfRule type="cellIs" dxfId="826" priority="817" stopIfTrue="1" operator="equal">
      <formula>"Towel"</formula>
    </cfRule>
    <cfRule type="cellIs" dxfId="825" priority="818" stopIfTrue="1" operator="equal">
      <formula>"Napkin Hs"</formula>
    </cfRule>
  </conditionalFormatting>
  <conditionalFormatting sqref="C85">
    <cfRule type="cellIs" dxfId="824" priority="819" stopIfTrue="1" operator="equal">
      <formula>"Towel"</formula>
    </cfRule>
  </conditionalFormatting>
  <conditionalFormatting sqref="B94:C94">
    <cfRule type="cellIs" dxfId="823" priority="815" stopIfTrue="1" operator="equal">
      <formula>"Towel"</formula>
    </cfRule>
    <cfRule type="cellIs" dxfId="822" priority="816" stopIfTrue="1" operator="equal">
      <formula>"Napkin Hs"</formula>
    </cfRule>
  </conditionalFormatting>
  <conditionalFormatting sqref="C94">
    <cfRule type="cellIs" dxfId="821" priority="813" stopIfTrue="1" operator="equal">
      <formula>"Towel"</formula>
    </cfRule>
    <cfRule type="cellIs" dxfId="820" priority="814" stopIfTrue="1" operator="equal">
      <formula>"Napkin Hs"</formula>
    </cfRule>
  </conditionalFormatting>
  <conditionalFormatting sqref="C94">
    <cfRule type="cellIs" dxfId="819" priority="811" stopIfTrue="1" operator="equal">
      <formula>"Towel"</formula>
    </cfRule>
    <cfRule type="cellIs" dxfId="818" priority="812" stopIfTrue="1" operator="equal">
      <formula>"Napkin Hs"</formula>
    </cfRule>
  </conditionalFormatting>
  <conditionalFormatting sqref="C94">
    <cfRule type="cellIs" dxfId="817" priority="803" stopIfTrue="1" operator="equal">
      <formula>"Towel"</formula>
    </cfRule>
    <cfRule type="cellIs" dxfId="816" priority="804" stopIfTrue="1" operator="equal">
      <formula>"Napkin Hs"</formula>
    </cfRule>
  </conditionalFormatting>
  <conditionalFormatting sqref="B94:C94">
    <cfRule type="cellIs" dxfId="815" priority="805" stopIfTrue="1" operator="equal">
      <formula>"Towel"</formula>
    </cfRule>
    <cfRule type="cellIs" dxfId="814" priority="806" stopIfTrue="1" operator="equal">
      <formula>"Napkin Hs"</formula>
    </cfRule>
  </conditionalFormatting>
  <conditionalFormatting sqref="C94">
    <cfRule type="cellIs" dxfId="813" priority="801" stopIfTrue="1" operator="equal">
      <formula>"Towel"</formula>
    </cfRule>
    <cfRule type="cellIs" dxfId="812" priority="802" stopIfTrue="1" operator="equal">
      <formula>"Napkin Hs"</formula>
    </cfRule>
  </conditionalFormatting>
  <conditionalFormatting sqref="B94:C94">
    <cfRule type="cellIs" dxfId="811" priority="799" stopIfTrue="1" operator="equal">
      <formula>"Towel"</formula>
    </cfRule>
    <cfRule type="cellIs" dxfId="810" priority="800" stopIfTrue="1" operator="equal">
      <formula>"Napkin Hs"</formula>
    </cfRule>
  </conditionalFormatting>
  <conditionalFormatting sqref="C94">
    <cfRule type="cellIs" dxfId="809" priority="807" stopIfTrue="1" operator="equal">
      <formula>"Towel"</formula>
    </cfRule>
    <cfRule type="cellIs" dxfId="808" priority="808" stopIfTrue="1" operator="equal">
      <formula>"Napkin Hs"</formula>
    </cfRule>
  </conditionalFormatting>
  <conditionalFormatting sqref="C94">
    <cfRule type="cellIs" dxfId="807" priority="809" stopIfTrue="1" operator="equal">
      <formula>"Towel"</formula>
    </cfRule>
    <cfRule type="cellIs" dxfId="806" priority="810" stopIfTrue="1" operator="equal">
      <formula>"Napkin Hs"</formula>
    </cfRule>
  </conditionalFormatting>
  <conditionalFormatting sqref="B92:C93">
    <cfRule type="cellIs" dxfId="805" priority="797" stopIfTrue="1" operator="equal">
      <formula>"Towel"</formula>
    </cfRule>
    <cfRule type="cellIs" dxfId="804" priority="798" stopIfTrue="1" operator="equal">
      <formula>"Napkin Hs"</formula>
    </cfRule>
  </conditionalFormatting>
  <conditionalFormatting sqref="C92:C93">
    <cfRule type="cellIs" dxfId="803" priority="796" stopIfTrue="1" operator="equal">
      <formula>"Napkin Hs"</formula>
    </cfRule>
  </conditionalFormatting>
  <conditionalFormatting sqref="C92:C93">
    <cfRule type="cellIs" dxfId="802" priority="793" stopIfTrue="1" operator="equal">
      <formula>"Towel"</formula>
    </cfRule>
    <cfRule type="cellIs" dxfId="801" priority="794" stopIfTrue="1" operator="equal">
      <formula>"Napkin Hs"</formula>
    </cfRule>
  </conditionalFormatting>
  <conditionalFormatting sqref="C92:C93">
    <cfRule type="cellIs" dxfId="800" priority="795" stopIfTrue="1" operator="equal">
      <formula>"Towel"</formula>
    </cfRule>
  </conditionalFormatting>
  <conditionalFormatting sqref="C90">
    <cfRule type="cellIs" dxfId="799" priority="785" stopIfTrue="1" operator="equal">
      <formula>"Towel"</formula>
    </cfRule>
    <cfRule type="cellIs" dxfId="798" priority="786" stopIfTrue="1" operator="equal">
      <formula>"Napkin Hs"</formula>
    </cfRule>
  </conditionalFormatting>
  <conditionalFormatting sqref="B90:C90">
    <cfRule type="cellIs" dxfId="797" priority="787" stopIfTrue="1" operator="equal">
      <formula>"Towel"</formula>
    </cfRule>
    <cfRule type="cellIs" dxfId="796" priority="788" stopIfTrue="1" operator="equal">
      <formula>"Napkin Hs"</formula>
    </cfRule>
  </conditionalFormatting>
  <conditionalFormatting sqref="C90">
    <cfRule type="cellIs" dxfId="795" priority="783" stopIfTrue="1" operator="equal">
      <formula>"Towel"</formula>
    </cfRule>
    <cfRule type="cellIs" dxfId="794" priority="784" stopIfTrue="1" operator="equal">
      <formula>"Napkin Hs"</formula>
    </cfRule>
  </conditionalFormatting>
  <conditionalFormatting sqref="B90:C90">
    <cfRule type="cellIs" dxfId="793" priority="781" stopIfTrue="1" operator="equal">
      <formula>"Towel"</formula>
    </cfRule>
    <cfRule type="cellIs" dxfId="792" priority="782" stopIfTrue="1" operator="equal">
      <formula>"Napkin Hs"</formula>
    </cfRule>
  </conditionalFormatting>
  <conditionalFormatting sqref="C90">
    <cfRule type="cellIs" dxfId="791" priority="789" stopIfTrue="1" operator="equal">
      <formula>"Towel"</formula>
    </cfRule>
    <cfRule type="cellIs" dxfId="790" priority="790" stopIfTrue="1" operator="equal">
      <formula>"Napkin Hs"</formula>
    </cfRule>
  </conditionalFormatting>
  <conditionalFormatting sqref="C90">
    <cfRule type="cellIs" dxfId="789" priority="791" stopIfTrue="1" operator="equal">
      <formula>"Towel"</formula>
    </cfRule>
    <cfRule type="cellIs" dxfId="788" priority="792" stopIfTrue="1" operator="equal">
      <formula>"Napkin Hs"</formula>
    </cfRule>
  </conditionalFormatting>
  <conditionalFormatting sqref="B90:C90">
    <cfRule type="cellIs" dxfId="787" priority="779" stopIfTrue="1" operator="equal">
      <formula>"Towel"</formula>
    </cfRule>
    <cfRule type="cellIs" dxfId="786" priority="780" stopIfTrue="1" operator="equal">
      <formula>"Napkin Hs"</formula>
    </cfRule>
  </conditionalFormatting>
  <conditionalFormatting sqref="C90">
    <cfRule type="cellIs" dxfId="785" priority="778" stopIfTrue="1" operator="equal">
      <formula>"Napkin Hs"</formula>
    </cfRule>
  </conditionalFormatting>
  <conditionalFormatting sqref="C90">
    <cfRule type="cellIs" dxfId="784" priority="775" stopIfTrue="1" operator="equal">
      <formula>"Towel"</formula>
    </cfRule>
    <cfRule type="cellIs" dxfId="783" priority="776" stopIfTrue="1" operator="equal">
      <formula>"Napkin Hs"</formula>
    </cfRule>
  </conditionalFormatting>
  <conditionalFormatting sqref="C90">
    <cfRule type="cellIs" dxfId="782" priority="777" stopIfTrue="1" operator="equal">
      <formula>"Towel"</formula>
    </cfRule>
  </conditionalFormatting>
  <conditionalFormatting sqref="C91">
    <cfRule type="cellIs" dxfId="781" priority="767" stopIfTrue="1" operator="equal">
      <formula>"Towel"</formula>
    </cfRule>
    <cfRule type="cellIs" dxfId="780" priority="768" stopIfTrue="1" operator="equal">
      <formula>"Napkin Hs"</formula>
    </cfRule>
  </conditionalFormatting>
  <conditionalFormatting sqref="B91:C91">
    <cfRule type="cellIs" dxfId="779" priority="769" stopIfTrue="1" operator="equal">
      <formula>"Towel"</formula>
    </cfRule>
    <cfRule type="cellIs" dxfId="778" priority="770" stopIfTrue="1" operator="equal">
      <formula>"Napkin Hs"</formula>
    </cfRule>
  </conditionalFormatting>
  <conditionalFormatting sqref="C91">
    <cfRule type="cellIs" dxfId="777" priority="765" stopIfTrue="1" operator="equal">
      <formula>"Towel"</formula>
    </cfRule>
    <cfRule type="cellIs" dxfId="776" priority="766" stopIfTrue="1" operator="equal">
      <formula>"Napkin Hs"</formula>
    </cfRule>
  </conditionalFormatting>
  <conditionalFormatting sqref="B91:C91">
    <cfRule type="cellIs" dxfId="775" priority="763" stopIfTrue="1" operator="equal">
      <formula>"Towel"</formula>
    </cfRule>
    <cfRule type="cellIs" dxfId="774" priority="764" stopIfTrue="1" operator="equal">
      <formula>"Napkin Hs"</formula>
    </cfRule>
  </conditionalFormatting>
  <conditionalFormatting sqref="C91">
    <cfRule type="cellIs" dxfId="773" priority="771" stopIfTrue="1" operator="equal">
      <formula>"Towel"</formula>
    </cfRule>
    <cfRule type="cellIs" dxfId="772" priority="772" stopIfTrue="1" operator="equal">
      <formula>"Napkin Hs"</formula>
    </cfRule>
  </conditionalFormatting>
  <conditionalFormatting sqref="C91">
    <cfRule type="cellIs" dxfId="771" priority="773" stopIfTrue="1" operator="equal">
      <formula>"Towel"</formula>
    </cfRule>
    <cfRule type="cellIs" dxfId="770" priority="774" stopIfTrue="1" operator="equal">
      <formula>"Napkin Hs"</formula>
    </cfRule>
  </conditionalFormatting>
  <conditionalFormatting sqref="B91:C91">
    <cfRule type="cellIs" dxfId="769" priority="761" stopIfTrue="1" operator="equal">
      <formula>"Towel"</formula>
    </cfRule>
    <cfRule type="cellIs" dxfId="768" priority="762" stopIfTrue="1" operator="equal">
      <formula>"Napkin Hs"</formula>
    </cfRule>
  </conditionalFormatting>
  <conditionalFormatting sqref="C91">
    <cfRule type="cellIs" dxfId="767" priority="760" stopIfTrue="1" operator="equal">
      <formula>"Napkin Hs"</formula>
    </cfRule>
  </conditionalFormatting>
  <conditionalFormatting sqref="C91">
    <cfRule type="cellIs" dxfId="766" priority="757" stopIfTrue="1" operator="equal">
      <formula>"Towel"</formula>
    </cfRule>
    <cfRule type="cellIs" dxfId="765" priority="758" stopIfTrue="1" operator="equal">
      <formula>"Napkin Hs"</formula>
    </cfRule>
  </conditionalFormatting>
  <conditionalFormatting sqref="C91">
    <cfRule type="cellIs" dxfId="764" priority="759" stopIfTrue="1" operator="equal">
      <formula>"Towel"</formula>
    </cfRule>
  </conditionalFormatting>
  <conditionalFormatting sqref="B97:C98">
    <cfRule type="cellIs" dxfId="763" priority="755" stopIfTrue="1" operator="equal">
      <formula>"Towel"</formula>
    </cfRule>
    <cfRule type="cellIs" dxfId="762" priority="756" stopIfTrue="1" operator="equal">
      <formula>"Napkin Hs"</formula>
    </cfRule>
  </conditionalFormatting>
  <conditionalFormatting sqref="C97:C98">
    <cfRule type="cellIs" dxfId="761" priority="754" stopIfTrue="1" operator="equal">
      <formula>"Napkin Hs"</formula>
    </cfRule>
  </conditionalFormatting>
  <conditionalFormatting sqref="C97:C98">
    <cfRule type="cellIs" dxfId="760" priority="751" stopIfTrue="1" operator="equal">
      <formula>"Towel"</formula>
    </cfRule>
    <cfRule type="cellIs" dxfId="759" priority="752" stopIfTrue="1" operator="equal">
      <formula>"Napkin Hs"</formula>
    </cfRule>
  </conditionalFormatting>
  <conditionalFormatting sqref="C97:C98">
    <cfRule type="cellIs" dxfId="758" priority="753" stopIfTrue="1" operator="equal">
      <formula>"Towel"</formula>
    </cfRule>
  </conditionalFormatting>
  <conditionalFormatting sqref="C95">
    <cfRule type="cellIs" dxfId="757" priority="743" stopIfTrue="1" operator="equal">
      <formula>"Towel"</formula>
    </cfRule>
    <cfRule type="cellIs" dxfId="756" priority="744" stopIfTrue="1" operator="equal">
      <formula>"Napkin Hs"</formula>
    </cfRule>
  </conditionalFormatting>
  <conditionalFormatting sqref="B95:C95">
    <cfRule type="cellIs" dxfId="755" priority="745" stopIfTrue="1" operator="equal">
      <formula>"Towel"</formula>
    </cfRule>
    <cfRule type="cellIs" dxfId="754" priority="746" stopIfTrue="1" operator="equal">
      <formula>"Napkin Hs"</formula>
    </cfRule>
  </conditionalFormatting>
  <conditionalFormatting sqref="C95">
    <cfRule type="cellIs" dxfId="753" priority="741" stopIfTrue="1" operator="equal">
      <formula>"Towel"</formula>
    </cfRule>
    <cfRule type="cellIs" dxfId="752" priority="742" stopIfTrue="1" operator="equal">
      <formula>"Napkin Hs"</formula>
    </cfRule>
  </conditionalFormatting>
  <conditionalFormatting sqref="B95:C95">
    <cfRule type="cellIs" dxfId="751" priority="739" stopIfTrue="1" operator="equal">
      <formula>"Towel"</formula>
    </cfRule>
    <cfRule type="cellIs" dxfId="750" priority="740" stopIfTrue="1" operator="equal">
      <formula>"Napkin Hs"</formula>
    </cfRule>
  </conditionalFormatting>
  <conditionalFormatting sqref="C95">
    <cfRule type="cellIs" dxfId="749" priority="747" stopIfTrue="1" operator="equal">
      <formula>"Towel"</formula>
    </cfRule>
    <cfRule type="cellIs" dxfId="748" priority="748" stopIfTrue="1" operator="equal">
      <formula>"Napkin Hs"</formula>
    </cfRule>
  </conditionalFormatting>
  <conditionalFormatting sqref="C95">
    <cfRule type="cellIs" dxfId="747" priority="749" stopIfTrue="1" operator="equal">
      <formula>"Towel"</formula>
    </cfRule>
    <cfRule type="cellIs" dxfId="746" priority="750" stopIfTrue="1" operator="equal">
      <formula>"Napkin Hs"</formula>
    </cfRule>
  </conditionalFormatting>
  <conditionalFormatting sqref="B95:C95">
    <cfRule type="cellIs" dxfId="745" priority="737" stopIfTrue="1" operator="equal">
      <formula>"Towel"</formula>
    </cfRule>
    <cfRule type="cellIs" dxfId="744" priority="738" stopIfTrue="1" operator="equal">
      <formula>"Napkin Hs"</formula>
    </cfRule>
  </conditionalFormatting>
  <conditionalFormatting sqref="C95">
    <cfRule type="cellIs" dxfId="743" priority="736" stopIfTrue="1" operator="equal">
      <formula>"Napkin Hs"</formula>
    </cfRule>
  </conditionalFormatting>
  <conditionalFormatting sqref="C95">
    <cfRule type="cellIs" dxfId="742" priority="733" stopIfTrue="1" operator="equal">
      <formula>"Towel"</formula>
    </cfRule>
    <cfRule type="cellIs" dxfId="741" priority="734" stopIfTrue="1" operator="equal">
      <formula>"Napkin Hs"</formula>
    </cfRule>
  </conditionalFormatting>
  <conditionalFormatting sqref="C95">
    <cfRule type="cellIs" dxfId="740" priority="735" stopIfTrue="1" operator="equal">
      <formula>"Towel"</formula>
    </cfRule>
  </conditionalFormatting>
  <conditionalFormatting sqref="C96">
    <cfRule type="cellIs" dxfId="739" priority="725" stopIfTrue="1" operator="equal">
      <formula>"Towel"</formula>
    </cfRule>
    <cfRule type="cellIs" dxfId="738" priority="726" stopIfTrue="1" operator="equal">
      <formula>"Napkin Hs"</formula>
    </cfRule>
  </conditionalFormatting>
  <conditionalFormatting sqref="B96:C96">
    <cfRule type="cellIs" dxfId="737" priority="727" stopIfTrue="1" operator="equal">
      <formula>"Towel"</formula>
    </cfRule>
    <cfRule type="cellIs" dxfId="736" priority="728" stopIfTrue="1" operator="equal">
      <formula>"Napkin Hs"</formula>
    </cfRule>
  </conditionalFormatting>
  <conditionalFormatting sqref="C96">
    <cfRule type="cellIs" dxfId="735" priority="723" stopIfTrue="1" operator="equal">
      <formula>"Towel"</formula>
    </cfRule>
    <cfRule type="cellIs" dxfId="734" priority="724" stopIfTrue="1" operator="equal">
      <formula>"Napkin Hs"</formula>
    </cfRule>
  </conditionalFormatting>
  <conditionalFormatting sqref="B96:C96">
    <cfRule type="cellIs" dxfId="733" priority="721" stopIfTrue="1" operator="equal">
      <formula>"Towel"</formula>
    </cfRule>
    <cfRule type="cellIs" dxfId="732" priority="722" stopIfTrue="1" operator="equal">
      <formula>"Napkin Hs"</formula>
    </cfRule>
  </conditionalFormatting>
  <conditionalFormatting sqref="C96">
    <cfRule type="cellIs" dxfId="731" priority="729" stopIfTrue="1" operator="equal">
      <formula>"Towel"</formula>
    </cfRule>
    <cfRule type="cellIs" dxfId="730" priority="730" stopIfTrue="1" operator="equal">
      <formula>"Napkin Hs"</formula>
    </cfRule>
  </conditionalFormatting>
  <conditionalFormatting sqref="C96">
    <cfRule type="cellIs" dxfId="729" priority="731" stopIfTrue="1" operator="equal">
      <formula>"Towel"</formula>
    </cfRule>
    <cfRule type="cellIs" dxfId="728" priority="732" stopIfTrue="1" operator="equal">
      <formula>"Napkin Hs"</formula>
    </cfRule>
  </conditionalFormatting>
  <conditionalFormatting sqref="B96:C96">
    <cfRule type="cellIs" dxfId="727" priority="719" stopIfTrue="1" operator="equal">
      <formula>"Towel"</formula>
    </cfRule>
    <cfRule type="cellIs" dxfId="726" priority="720" stopIfTrue="1" operator="equal">
      <formula>"Napkin Hs"</formula>
    </cfRule>
  </conditionalFormatting>
  <conditionalFormatting sqref="C96">
    <cfRule type="cellIs" dxfId="725" priority="718" stopIfTrue="1" operator="equal">
      <formula>"Napkin Hs"</formula>
    </cfRule>
  </conditionalFormatting>
  <conditionalFormatting sqref="C96">
    <cfRule type="cellIs" dxfId="724" priority="715" stopIfTrue="1" operator="equal">
      <formula>"Towel"</formula>
    </cfRule>
    <cfRule type="cellIs" dxfId="723" priority="716" stopIfTrue="1" operator="equal">
      <formula>"Napkin Hs"</formula>
    </cfRule>
  </conditionalFormatting>
  <conditionalFormatting sqref="C96">
    <cfRule type="cellIs" dxfId="722" priority="717" stopIfTrue="1" operator="equal">
      <formula>"Towel"</formula>
    </cfRule>
  </conditionalFormatting>
  <conditionalFormatting sqref="B99:C99">
    <cfRule type="cellIs" dxfId="721" priority="713" stopIfTrue="1" operator="equal">
      <formula>"Towel"</formula>
    </cfRule>
    <cfRule type="cellIs" dxfId="720" priority="714" stopIfTrue="1" operator="equal">
      <formula>"Napkin Hs"</formula>
    </cfRule>
  </conditionalFormatting>
  <conditionalFormatting sqref="C99">
    <cfRule type="cellIs" dxfId="719" priority="712" stopIfTrue="1" operator="equal">
      <formula>"Napkin Hs"</formula>
    </cfRule>
  </conditionalFormatting>
  <conditionalFormatting sqref="C99">
    <cfRule type="cellIs" dxfId="718" priority="709" stopIfTrue="1" operator="equal">
      <formula>"Towel"</formula>
    </cfRule>
    <cfRule type="cellIs" dxfId="717" priority="710" stopIfTrue="1" operator="equal">
      <formula>"Napkin Hs"</formula>
    </cfRule>
  </conditionalFormatting>
  <conditionalFormatting sqref="C99">
    <cfRule type="cellIs" dxfId="716" priority="711" stopIfTrue="1" operator="equal">
      <formula>"Towel"</formula>
    </cfRule>
  </conditionalFormatting>
  <conditionalFormatting sqref="B103:C104">
    <cfRule type="cellIs" dxfId="715" priority="707" stopIfTrue="1" operator="equal">
      <formula>"Towel"</formula>
    </cfRule>
    <cfRule type="cellIs" dxfId="714" priority="708" stopIfTrue="1" operator="equal">
      <formula>"Napkin Hs"</formula>
    </cfRule>
  </conditionalFormatting>
  <conditionalFormatting sqref="C103:C104">
    <cfRule type="cellIs" dxfId="713" priority="706" stopIfTrue="1" operator="equal">
      <formula>"Napkin Hs"</formula>
    </cfRule>
  </conditionalFormatting>
  <conditionalFormatting sqref="C103:C104">
    <cfRule type="cellIs" dxfId="712" priority="703" stopIfTrue="1" operator="equal">
      <formula>"Towel"</formula>
    </cfRule>
    <cfRule type="cellIs" dxfId="711" priority="704" stopIfTrue="1" operator="equal">
      <formula>"Napkin Hs"</formula>
    </cfRule>
  </conditionalFormatting>
  <conditionalFormatting sqref="C103:C104">
    <cfRule type="cellIs" dxfId="710" priority="705" stopIfTrue="1" operator="equal">
      <formula>"Towel"</formula>
    </cfRule>
  </conditionalFormatting>
  <conditionalFormatting sqref="C101">
    <cfRule type="cellIs" dxfId="709" priority="695" stopIfTrue="1" operator="equal">
      <formula>"Towel"</formula>
    </cfRule>
    <cfRule type="cellIs" dxfId="708" priority="696" stopIfTrue="1" operator="equal">
      <formula>"Napkin Hs"</formula>
    </cfRule>
  </conditionalFormatting>
  <conditionalFormatting sqref="B101:C101">
    <cfRule type="cellIs" dxfId="707" priority="697" stopIfTrue="1" operator="equal">
      <formula>"Towel"</formula>
    </cfRule>
    <cfRule type="cellIs" dxfId="706" priority="698" stopIfTrue="1" operator="equal">
      <formula>"Napkin Hs"</formula>
    </cfRule>
  </conditionalFormatting>
  <conditionalFormatting sqref="C101">
    <cfRule type="cellIs" dxfId="705" priority="693" stopIfTrue="1" operator="equal">
      <formula>"Towel"</formula>
    </cfRule>
    <cfRule type="cellIs" dxfId="704" priority="694" stopIfTrue="1" operator="equal">
      <formula>"Napkin Hs"</formula>
    </cfRule>
  </conditionalFormatting>
  <conditionalFormatting sqref="B101:C101">
    <cfRule type="cellIs" dxfId="703" priority="691" stopIfTrue="1" operator="equal">
      <formula>"Towel"</formula>
    </cfRule>
    <cfRule type="cellIs" dxfId="702" priority="692" stopIfTrue="1" operator="equal">
      <formula>"Napkin Hs"</formula>
    </cfRule>
  </conditionalFormatting>
  <conditionalFormatting sqref="C101">
    <cfRule type="cellIs" dxfId="701" priority="699" stopIfTrue="1" operator="equal">
      <formula>"Towel"</formula>
    </cfRule>
    <cfRule type="cellIs" dxfId="700" priority="700" stopIfTrue="1" operator="equal">
      <formula>"Napkin Hs"</formula>
    </cfRule>
  </conditionalFormatting>
  <conditionalFormatting sqref="C101">
    <cfRule type="cellIs" dxfId="699" priority="701" stopIfTrue="1" operator="equal">
      <formula>"Towel"</formula>
    </cfRule>
    <cfRule type="cellIs" dxfId="698" priority="702" stopIfTrue="1" operator="equal">
      <formula>"Napkin Hs"</formula>
    </cfRule>
  </conditionalFormatting>
  <conditionalFormatting sqref="B101:C101">
    <cfRule type="cellIs" dxfId="697" priority="689" stopIfTrue="1" operator="equal">
      <formula>"Towel"</formula>
    </cfRule>
    <cfRule type="cellIs" dxfId="696" priority="690" stopIfTrue="1" operator="equal">
      <formula>"Napkin Hs"</formula>
    </cfRule>
  </conditionalFormatting>
  <conditionalFormatting sqref="C101">
    <cfRule type="cellIs" dxfId="695" priority="688" stopIfTrue="1" operator="equal">
      <formula>"Napkin Hs"</formula>
    </cfRule>
  </conditionalFormatting>
  <conditionalFormatting sqref="C101">
    <cfRule type="cellIs" dxfId="694" priority="685" stopIfTrue="1" operator="equal">
      <formula>"Towel"</formula>
    </cfRule>
    <cfRule type="cellIs" dxfId="693" priority="686" stopIfTrue="1" operator="equal">
      <formula>"Napkin Hs"</formula>
    </cfRule>
  </conditionalFormatting>
  <conditionalFormatting sqref="C101">
    <cfRule type="cellIs" dxfId="692" priority="687" stopIfTrue="1" operator="equal">
      <formula>"Towel"</formula>
    </cfRule>
  </conditionalFormatting>
  <conditionalFormatting sqref="C102">
    <cfRule type="cellIs" dxfId="691" priority="677" stopIfTrue="1" operator="equal">
      <formula>"Towel"</formula>
    </cfRule>
    <cfRule type="cellIs" dxfId="690" priority="678" stopIfTrue="1" operator="equal">
      <formula>"Napkin Hs"</formula>
    </cfRule>
  </conditionalFormatting>
  <conditionalFormatting sqref="B102:C102">
    <cfRule type="cellIs" dxfId="689" priority="679" stopIfTrue="1" operator="equal">
      <formula>"Towel"</formula>
    </cfRule>
    <cfRule type="cellIs" dxfId="688" priority="680" stopIfTrue="1" operator="equal">
      <formula>"Napkin Hs"</formula>
    </cfRule>
  </conditionalFormatting>
  <conditionalFormatting sqref="C102">
    <cfRule type="cellIs" dxfId="687" priority="675" stopIfTrue="1" operator="equal">
      <formula>"Towel"</formula>
    </cfRule>
    <cfRule type="cellIs" dxfId="686" priority="676" stopIfTrue="1" operator="equal">
      <formula>"Napkin Hs"</formula>
    </cfRule>
  </conditionalFormatting>
  <conditionalFormatting sqref="B102:C102">
    <cfRule type="cellIs" dxfId="685" priority="673" stopIfTrue="1" operator="equal">
      <formula>"Towel"</formula>
    </cfRule>
    <cfRule type="cellIs" dxfId="684" priority="674" stopIfTrue="1" operator="equal">
      <formula>"Napkin Hs"</formula>
    </cfRule>
  </conditionalFormatting>
  <conditionalFormatting sqref="C102">
    <cfRule type="cellIs" dxfId="683" priority="681" stopIfTrue="1" operator="equal">
      <formula>"Towel"</formula>
    </cfRule>
    <cfRule type="cellIs" dxfId="682" priority="682" stopIfTrue="1" operator="equal">
      <formula>"Napkin Hs"</formula>
    </cfRule>
  </conditionalFormatting>
  <conditionalFormatting sqref="C102">
    <cfRule type="cellIs" dxfId="681" priority="683" stopIfTrue="1" operator="equal">
      <formula>"Towel"</formula>
    </cfRule>
    <cfRule type="cellIs" dxfId="680" priority="684" stopIfTrue="1" operator="equal">
      <formula>"Napkin Hs"</formula>
    </cfRule>
  </conditionalFormatting>
  <conditionalFormatting sqref="B102:C102">
    <cfRule type="cellIs" dxfId="679" priority="671" stopIfTrue="1" operator="equal">
      <formula>"Towel"</formula>
    </cfRule>
    <cfRule type="cellIs" dxfId="678" priority="672" stopIfTrue="1" operator="equal">
      <formula>"Napkin Hs"</formula>
    </cfRule>
  </conditionalFormatting>
  <conditionalFormatting sqref="C102">
    <cfRule type="cellIs" dxfId="677" priority="670" stopIfTrue="1" operator="equal">
      <formula>"Napkin Hs"</formula>
    </cfRule>
  </conditionalFormatting>
  <conditionalFormatting sqref="C102">
    <cfRule type="cellIs" dxfId="676" priority="667" stopIfTrue="1" operator="equal">
      <formula>"Towel"</formula>
    </cfRule>
    <cfRule type="cellIs" dxfId="675" priority="668" stopIfTrue="1" operator="equal">
      <formula>"Napkin Hs"</formula>
    </cfRule>
  </conditionalFormatting>
  <conditionalFormatting sqref="C102">
    <cfRule type="cellIs" dxfId="674" priority="669" stopIfTrue="1" operator="equal">
      <formula>"Towel"</formula>
    </cfRule>
  </conditionalFormatting>
  <conditionalFormatting sqref="B109:C109">
    <cfRule type="cellIs" dxfId="673" priority="665" stopIfTrue="1" operator="equal">
      <formula>"Towel"</formula>
    </cfRule>
    <cfRule type="cellIs" dxfId="672" priority="666" stopIfTrue="1" operator="equal">
      <formula>"Napkin Hs"</formula>
    </cfRule>
  </conditionalFormatting>
  <conditionalFormatting sqref="C109">
    <cfRule type="cellIs" dxfId="671" priority="664" stopIfTrue="1" operator="equal">
      <formula>"Napkin Hs"</formula>
    </cfRule>
  </conditionalFormatting>
  <conditionalFormatting sqref="C109">
    <cfRule type="cellIs" dxfId="670" priority="661" stopIfTrue="1" operator="equal">
      <formula>"Towel"</formula>
    </cfRule>
    <cfRule type="cellIs" dxfId="669" priority="662" stopIfTrue="1" operator="equal">
      <formula>"Napkin Hs"</formula>
    </cfRule>
  </conditionalFormatting>
  <conditionalFormatting sqref="C109">
    <cfRule type="cellIs" dxfId="668" priority="663" stopIfTrue="1" operator="equal">
      <formula>"Towel"</formula>
    </cfRule>
  </conditionalFormatting>
  <conditionalFormatting sqref="C106">
    <cfRule type="cellIs" dxfId="667" priority="653" stopIfTrue="1" operator="equal">
      <formula>"Towel"</formula>
    </cfRule>
    <cfRule type="cellIs" dxfId="666" priority="654" stopIfTrue="1" operator="equal">
      <formula>"Napkin Hs"</formula>
    </cfRule>
  </conditionalFormatting>
  <conditionalFormatting sqref="B106:C106">
    <cfRule type="cellIs" dxfId="665" priority="655" stopIfTrue="1" operator="equal">
      <formula>"Towel"</formula>
    </cfRule>
    <cfRule type="cellIs" dxfId="664" priority="656" stopIfTrue="1" operator="equal">
      <formula>"Napkin Hs"</formula>
    </cfRule>
  </conditionalFormatting>
  <conditionalFormatting sqref="C106">
    <cfRule type="cellIs" dxfId="663" priority="651" stopIfTrue="1" operator="equal">
      <formula>"Towel"</formula>
    </cfRule>
    <cfRule type="cellIs" dxfId="662" priority="652" stopIfTrue="1" operator="equal">
      <formula>"Napkin Hs"</formula>
    </cfRule>
  </conditionalFormatting>
  <conditionalFormatting sqref="B106:C106">
    <cfRule type="cellIs" dxfId="661" priority="649" stopIfTrue="1" operator="equal">
      <formula>"Towel"</formula>
    </cfRule>
    <cfRule type="cellIs" dxfId="660" priority="650" stopIfTrue="1" operator="equal">
      <formula>"Napkin Hs"</formula>
    </cfRule>
  </conditionalFormatting>
  <conditionalFormatting sqref="C106">
    <cfRule type="cellIs" dxfId="659" priority="657" stopIfTrue="1" operator="equal">
      <formula>"Towel"</formula>
    </cfRule>
    <cfRule type="cellIs" dxfId="658" priority="658" stopIfTrue="1" operator="equal">
      <formula>"Napkin Hs"</formula>
    </cfRule>
  </conditionalFormatting>
  <conditionalFormatting sqref="C106">
    <cfRule type="cellIs" dxfId="657" priority="659" stopIfTrue="1" operator="equal">
      <formula>"Towel"</formula>
    </cfRule>
    <cfRule type="cellIs" dxfId="656" priority="660" stopIfTrue="1" operator="equal">
      <formula>"Napkin Hs"</formula>
    </cfRule>
  </conditionalFormatting>
  <conditionalFormatting sqref="B106:C106">
    <cfRule type="cellIs" dxfId="655" priority="647" stopIfTrue="1" operator="equal">
      <formula>"Towel"</formula>
    </cfRule>
    <cfRule type="cellIs" dxfId="654" priority="648" stopIfTrue="1" operator="equal">
      <formula>"Napkin Hs"</formula>
    </cfRule>
  </conditionalFormatting>
  <conditionalFormatting sqref="C106">
    <cfRule type="cellIs" dxfId="653" priority="646" stopIfTrue="1" operator="equal">
      <formula>"Napkin Hs"</formula>
    </cfRule>
  </conditionalFormatting>
  <conditionalFormatting sqref="C106">
    <cfRule type="cellIs" dxfId="652" priority="643" stopIfTrue="1" operator="equal">
      <formula>"Towel"</formula>
    </cfRule>
    <cfRule type="cellIs" dxfId="651" priority="644" stopIfTrue="1" operator="equal">
      <formula>"Napkin Hs"</formula>
    </cfRule>
  </conditionalFormatting>
  <conditionalFormatting sqref="C106">
    <cfRule type="cellIs" dxfId="650" priority="645" stopIfTrue="1" operator="equal">
      <formula>"Towel"</formula>
    </cfRule>
  </conditionalFormatting>
  <conditionalFormatting sqref="C107:C108">
    <cfRule type="cellIs" dxfId="649" priority="635" stopIfTrue="1" operator="equal">
      <formula>"Towel"</formula>
    </cfRule>
    <cfRule type="cellIs" dxfId="648" priority="636" stopIfTrue="1" operator="equal">
      <formula>"Napkin Hs"</formula>
    </cfRule>
  </conditionalFormatting>
  <conditionalFormatting sqref="B107:C108">
    <cfRule type="cellIs" dxfId="647" priority="637" stopIfTrue="1" operator="equal">
      <formula>"Towel"</formula>
    </cfRule>
    <cfRule type="cellIs" dxfId="646" priority="638" stopIfTrue="1" operator="equal">
      <formula>"Napkin Hs"</formula>
    </cfRule>
  </conditionalFormatting>
  <conditionalFormatting sqref="C107:C108">
    <cfRule type="cellIs" dxfId="645" priority="633" stopIfTrue="1" operator="equal">
      <formula>"Towel"</formula>
    </cfRule>
    <cfRule type="cellIs" dxfId="644" priority="634" stopIfTrue="1" operator="equal">
      <formula>"Napkin Hs"</formula>
    </cfRule>
  </conditionalFormatting>
  <conditionalFormatting sqref="B107:C108">
    <cfRule type="cellIs" dxfId="643" priority="631" stopIfTrue="1" operator="equal">
      <formula>"Towel"</formula>
    </cfRule>
    <cfRule type="cellIs" dxfId="642" priority="632" stopIfTrue="1" operator="equal">
      <formula>"Napkin Hs"</formula>
    </cfRule>
  </conditionalFormatting>
  <conditionalFormatting sqref="C107:C108">
    <cfRule type="cellIs" dxfId="641" priority="639" stopIfTrue="1" operator="equal">
      <formula>"Towel"</formula>
    </cfRule>
    <cfRule type="cellIs" dxfId="640" priority="640" stopIfTrue="1" operator="equal">
      <formula>"Napkin Hs"</formula>
    </cfRule>
  </conditionalFormatting>
  <conditionalFormatting sqref="C107:C108">
    <cfRule type="cellIs" dxfId="639" priority="641" stopIfTrue="1" operator="equal">
      <formula>"Towel"</formula>
    </cfRule>
    <cfRule type="cellIs" dxfId="638" priority="642" stopIfTrue="1" operator="equal">
      <formula>"Napkin Hs"</formula>
    </cfRule>
  </conditionalFormatting>
  <conditionalFormatting sqref="B107:C108">
    <cfRule type="cellIs" dxfId="637" priority="629" stopIfTrue="1" operator="equal">
      <formula>"Towel"</formula>
    </cfRule>
    <cfRule type="cellIs" dxfId="636" priority="630" stopIfTrue="1" operator="equal">
      <formula>"Napkin Hs"</formula>
    </cfRule>
  </conditionalFormatting>
  <conditionalFormatting sqref="C107:C108">
    <cfRule type="cellIs" dxfId="635" priority="628" stopIfTrue="1" operator="equal">
      <formula>"Napkin Hs"</formula>
    </cfRule>
  </conditionalFormatting>
  <conditionalFormatting sqref="C107:C108">
    <cfRule type="cellIs" dxfId="634" priority="625" stopIfTrue="1" operator="equal">
      <formula>"Towel"</formula>
    </cfRule>
    <cfRule type="cellIs" dxfId="633" priority="626" stopIfTrue="1" operator="equal">
      <formula>"Napkin Hs"</formula>
    </cfRule>
  </conditionalFormatting>
  <conditionalFormatting sqref="C107:C108">
    <cfRule type="cellIs" dxfId="632" priority="627" stopIfTrue="1" operator="equal">
      <formula>"Towel"</formula>
    </cfRule>
  </conditionalFormatting>
  <conditionalFormatting sqref="B113:C114">
    <cfRule type="cellIs" dxfId="631" priority="623" stopIfTrue="1" operator="equal">
      <formula>"Towel"</formula>
    </cfRule>
    <cfRule type="cellIs" dxfId="630" priority="624" stopIfTrue="1" operator="equal">
      <formula>"Napkin Hs"</formula>
    </cfRule>
  </conditionalFormatting>
  <conditionalFormatting sqref="C113:C114">
    <cfRule type="cellIs" dxfId="629" priority="622" stopIfTrue="1" operator="equal">
      <formula>"Napkin Hs"</formula>
    </cfRule>
  </conditionalFormatting>
  <conditionalFormatting sqref="C113:C114">
    <cfRule type="cellIs" dxfId="628" priority="619" stopIfTrue="1" operator="equal">
      <formula>"Towel"</formula>
    </cfRule>
    <cfRule type="cellIs" dxfId="627" priority="620" stopIfTrue="1" operator="equal">
      <formula>"Napkin Hs"</formula>
    </cfRule>
  </conditionalFormatting>
  <conditionalFormatting sqref="C113:C114">
    <cfRule type="cellIs" dxfId="626" priority="621" stopIfTrue="1" operator="equal">
      <formula>"Towel"</formula>
    </cfRule>
  </conditionalFormatting>
  <conditionalFormatting sqref="C111:C112">
    <cfRule type="cellIs" dxfId="625" priority="611" stopIfTrue="1" operator="equal">
      <formula>"Towel"</formula>
    </cfRule>
    <cfRule type="cellIs" dxfId="624" priority="612" stopIfTrue="1" operator="equal">
      <formula>"Napkin Hs"</formula>
    </cfRule>
  </conditionalFormatting>
  <conditionalFormatting sqref="B111:C112">
    <cfRule type="cellIs" dxfId="623" priority="613" stopIfTrue="1" operator="equal">
      <formula>"Towel"</formula>
    </cfRule>
    <cfRule type="cellIs" dxfId="622" priority="614" stopIfTrue="1" operator="equal">
      <formula>"Napkin Hs"</formula>
    </cfRule>
  </conditionalFormatting>
  <conditionalFormatting sqref="C111:C112">
    <cfRule type="cellIs" dxfId="621" priority="609" stopIfTrue="1" operator="equal">
      <formula>"Towel"</formula>
    </cfRule>
    <cfRule type="cellIs" dxfId="620" priority="610" stopIfTrue="1" operator="equal">
      <formula>"Napkin Hs"</formula>
    </cfRule>
  </conditionalFormatting>
  <conditionalFormatting sqref="B111:C112">
    <cfRule type="cellIs" dxfId="619" priority="607" stopIfTrue="1" operator="equal">
      <formula>"Towel"</formula>
    </cfRule>
    <cfRule type="cellIs" dxfId="618" priority="608" stopIfTrue="1" operator="equal">
      <formula>"Napkin Hs"</formula>
    </cfRule>
  </conditionalFormatting>
  <conditionalFormatting sqref="C111:C112">
    <cfRule type="cellIs" dxfId="617" priority="615" stopIfTrue="1" operator="equal">
      <formula>"Towel"</formula>
    </cfRule>
    <cfRule type="cellIs" dxfId="616" priority="616" stopIfTrue="1" operator="equal">
      <formula>"Napkin Hs"</formula>
    </cfRule>
  </conditionalFormatting>
  <conditionalFormatting sqref="C111:C112">
    <cfRule type="cellIs" dxfId="615" priority="617" stopIfTrue="1" operator="equal">
      <formula>"Towel"</formula>
    </cfRule>
    <cfRule type="cellIs" dxfId="614" priority="618" stopIfTrue="1" operator="equal">
      <formula>"Napkin Hs"</formula>
    </cfRule>
  </conditionalFormatting>
  <conditionalFormatting sqref="B111:C112">
    <cfRule type="cellIs" dxfId="613" priority="605" stopIfTrue="1" operator="equal">
      <formula>"Towel"</formula>
    </cfRule>
    <cfRule type="cellIs" dxfId="612" priority="606" stopIfTrue="1" operator="equal">
      <formula>"Napkin Hs"</formula>
    </cfRule>
  </conditionalFormatting>
  <conditionalFormatting sqref="C111:C112">
    <cfRule type="cellIs" dxfId="611" priority="604" stopIfTrue="1" operator="equal">
      <formula>"Napkin Hs"</formula>
    </cfRule>
  </conditionalFormatting>
  <conditionalFormatting sqref="C111:C112">
    <cfRule type="cellIs" dxfId="610" priority="601" stopIfTrue="1" operator="equal">
      <formula>"Towel"</formula>
    </cfRule>
    <cfRule type="cellIs" dxfId="609" priority="602" stopIfTrue="1" operator="equal">
      <formula>"Napkin Hs"</formula>
    </cfRule>
  </conditionalFormatting>
  <conditionalFormatting sqref="C111:C112">
    <cfRule type="cellIs" dxfId="608" priority="603" stopIfTrue="1" operator="equal">
      <formula>"Towel"</formula>
    </cfRule>
  </conditionalFormatting>
  <conditionalFormatting sqref="B118:C119">
    <cfRule type="cellIs" dxfId="607" priority="599" stopIfTrue="1" operator="equal">
      <formula>"Towel"</formula>
    </cfRule>
    <cfRule type="cellIs" dxfId="606" priority="600" stopIfTrue="1" operator="equal">
      <formula>"Napkin Hs"</formula>
    </cfRule>
  </conditionalFormatting>
  <conditionalFormatting sqref="C118:C119">
    <cfRule type="cellIs" dxfId="605" priority="598" stopIfTrue="1" operator="equal">
      <formula>"Napkin Hs"</formula>
    </cfRule>
  </conditionalFormatting>
  <conditionalFormatting sqref="C118:C119">
    <cfRule type="cellIs" dxfId="604" priority="595" stopIfTrue="1" operator="equal">
      <formula>"Towel"</formula>
    </cfRule>
    <cfRule type="cellIs" dxfId="603" priority="596" stopIfTrue="1" operator="equal">
      <formula>"Napkin Hs"</formula>
    </cfRule>
  </conditionalFormatting>
  <conditionalFormatting sqref="C118:C119">
    <cfRule type="cellIs" dxfId="602" priority="597" stopIfTrue="1" operator="equal">
      <formula>"Towel"</formula>
    </cfRule>
  </conditionalFormatting>
  <conditionalFormatting sqref="C117">
    <cfRule type="cellIs" dxfId="601" priority="587" stopIfTrue="1" operator="equal">
      <formula>"Towel"</formula>
    </cfRule>
    <cfRule type="cellIs" dxfId="600" priority="588" stopIfTrue="1" operator="equal">
      <formula>"Napkin Hs"</formula>
    </cfRule>
  </conditionalFormatting>
  <conditionalFormatting sqref="B117:C117">
    <cfRule type="cellIs" dxfId="599" priority="589" stopIfTrue="1" operator="equal">
      <formula>"Towel"</formula>
    </cfRule>
    <cfRule type="cellIs" dxfId="598" priority="590" stopIfTrue="1" operator="equal">
      <formula>"Napkin Hs"</formula>
    </cfRule>
  </conditionalFormatting>
  <conditionalFormatting sqref="C117">
    <cfRule type="cellIs" dxfId="597" priority="585" stopIfTrue="1" operator="equal">
      <formula>"Towel"</formula>
    </cfRule>
    <cfRule type="cellIs" dxfId="596" priority="586" stopIfTrue="1" operator="equal">
      <formula>"Napkin Hs"</formula>
    </cfRule>
  </conditionalFormatting>
  <conditionalFormatting sqref="B117:C117">
    <cfRule type="cellIs" dxfId="595" priority="583" stopIfTrue="1" operator="equal">
      <formula>"Towel"</formula>
    </cfRule>
    <cfRule type="cellIs" dxfId="594" priority="584" stopIfTrue="1" operator="equal">
      <formula>"Napkin Hs"</formula>
    </cfRule>
  </conditionalFormatting>
  <conditionalFormatting sqref="C117">
    <cfRule type="cellIs" dxfId="593" priority="591" stopIfTrue="1" operator="equal">
      <formula>"Towel"</formula>
    </cfRule>
    <cfRule type="cellIs" dxfId="592" priority="592" stopIfTrue="1" operator="equal">
      <formula>"Napkin Hs"</formula>
    </cfRule>
  </conditionalFormatting>
  <conditionalFormatting sqref="C117">
    <cfRule type="cellIs" dxfId="591" priority="593" stopIfTrue="1" operator="equal">
      <formula>"Towel"</formula>
    </cfRule>
    <cfRule type="cellIs" dxfId="590" priority="594" stopIfTrue="1" operator="equal">
      <formula>"Napkin Hs"</formula>
    </cfRule>
  </conditionalFormatting>
  <conditionalFormatting sqref="B117:C117">
    <cfRule type="cellIs" dxfId="589" priority="581" stopIfTrue="1" operator="equal">
      <formula>"Towel"</formula>
    </cfRule>
    <cfRule type="cellIs" dxfId="588" priority="582" stopIfTrue="1" operator="equal">
      <formula>"Napkin Hs"</formula>
    </cfRule>
  </conditionalFormatting>
  <conditionalFormatting sqref="C117">
    <cfRule type="cellIs" dxfId="587" priority="580" stopIfTrue="1" operator="equal">
      <formula>"Napkin Hs"</formula>
    </cfRule>
  </conditionalFormatting>
  <conditionalFormatting sqref="C117">
    <cfRule type="cellIs" dxfId="586" priority="577" stopIfTrue="1" operator="equal">
      <formula>"Towel"</formula>
    </cfRule>
    <cfRule type="cellIs" dxfId="585" priority="578" stopIfTrue="1" operator="equal">
      <formula>"Napkin Hs"</formula>
    </cfRule>
  </conditionalFormatting>
  <conditionalFormatting sqref="C117">
    <cfRule type="cellIs" dxfId="584" priority="579" stopIfTrue="1" operator="equal">
      <formula>"Towel"</formula>
    </cfRule>
  </conditionalFormatting>
  <conditionalFormatting sqref="C116">
    <cfRule type="cellIs" dxfId="583" priority="569" stopIfTrue="1" operator="equal">
      <formula>"Towel"</formula>
    </cfRule>
    <cfRule type="cellIs" dxfId="582" priority="570" stopIfTrue="1" operator="equal">
      <formula>"Napkin Hs"</formula>
    </cfRule>
  </conditionalFormatting>
  <conditionalFormatting sqref="B116:C116">
    <cfRule type="cellIs" dxfId="581" priority="571" stopIfTrue="1" operator="equal">
      <formula>"Towel"</formula>
    </cfRule>
    <cfRule type="cellIs" dxfId="580" priority="572" stopIfTrue="1" operator="equal">
      <formula>"Napkin Hs"</formula>
    </cfRule>
  </conditionalFormatting>
  <conditionalFormatting sqref="C116">
    <cfRule type="cellIs" dxfId="579" priority="567" stopIfTrue="1" operator="equal">
      <formula>"Towel"</formula>
    </cfRule>
    <cfRule type="cellIs" dxfId="578" priority="568" stopIfTrue="1" operator="equal">
      <formula>"Napkin Hs"</formula>
    </cfRule>
  </conditionalFormatting>
  <conditionalFormatting sqref="B116:C116">
    <cfRule type="cellIs" dxfId="577" priority="565" stopIfTrue="1" operator="equal">
      <formula>"Towel"</formula>
    </cfRule>
    <cfRule type="cellIs" dxfId="576" priority="566" stopIfTrue="1" operator="equal">
      <formula>"Napkin Hs"</formula>
    </cfRule>
  </conditionalFormatting>
  <conditionalFormatting sqref="C116">
    <cfRule type="cellIs" dxfId="575" priority="573" stopIfTrue="1" operator="equal">
      <formula>"Towel"</formula>
    </cfRule>
    <cfRule type="cellIs" dxfId="574" priority="574" stopIfTrue="1" operator="equal">
      <formula>"Napkin Hs"</formula>
    </cfRule>
  </conditionalFormatting>
  <conditionalFormatting sqref="C116">
    <cfRule type="cellIs" dxfId="573" priority="575" stopIfTrue="1" operator="equal">
      <formula>"Towel"</formula>
    </cfRule>
    <cfRule type="cellIs" dxfId="572" priority="576" stopIfTrue="1" operator="equal">
      <formula>"Napkin Hs"</formula>
    </cfRule>
  </conditionalFormatting>
  <conditionalFormatting sqref="B116:C116">
    <cfRule type="cellIs" dxfId="571" priority="563" stopIfTrue="1" operator="equal">
      <formula>"Towel"</formula>
    </cfRule>
    <cfRule type="cellIs" dxfId="570" priority="564" stopIfTrue="1" operator="equal">
      <formula>"Napkin Hs"</formula>
    </cfRule>
  </conditionalFormatting>
  <conditionalFormatting sqref="C116">
    <cfRule type="cellIs" dxfId="569" priority="562" stopIfTrue="1" operator="equal">
      <formula>"Napkin Hs"</formula>
    </cfRule>
  </conditionalFormatting>
  <conditionalFormatting sqref="C116">
    <cfRule type="cellIs" dxfId="568" priority="559" stopIfTrue="1" operator="equal">
      <formula>"Towel"</formula>
    </cfRule>
    <cfRule type="cellIs" dxfId="567" priority="560" stopIfTrue="1" operator="equal">
      <formula>"Napkin Hs"</formula>
    </cfRule>
  </conditionalFormatting>
  <conditionalFormatting sqref="C116">
    <cfRule type="cellIs" dxfId="566" priority="561" stopIfTrue="1" operator="equal">
      <formula>"Towel"</formula>
    </cfRule>
  </conditionalFormatting>
  <conditionalFormatting sqref="B123:C125">
    <cfRule type="cellIs" dxfId="565" priority="557" stopIfTrue="1" operator="equal">
      <formula>"Towel"</formula>
    </cfRule>
    <cfRule type="cellIs" dxfId="564" priority="558" stopIfTrue="1" operator="equal">
      <formula>"Napkin Hs"</formula>
    </cfRule>
  </conditionalFormatting>
  <conditionalFormatting sqref="C123:C125">
    <cfRule type="cellIs" dxfId="563" priority="556" stopIfTrue="1" operator="equal">
      <formula>"Napkin Hs"</formula>
    </cfRule>
  </conditionalFormatting>
  <conditionalFormatting sqref="C123:C125">
    <cfRule type="cellIs" dxfId="562" priority="553" stopIfTrue="1" operator="equal">
      <formula>"Towel"</formula>
    </cfRule>
    <cfRule type="cellIs" dxfId="561" priority="554" stopIfTrue="1" operator="equal">
      <formula>"Napkin Hs"</formula>
    </cfRule>
  </conditionalFormatting>
  <conditionalFormatting sqref="C123:C125">
    <cfRule type="cellIs" dxfId="560" priority="555" stopIfTrue="1" operator="equal">
      <formula>"Towel"</formula>
    </cfRule>
  </conditionalFormatting>
  <conditionalFormatting sqref="B122:C122">
    <cfRule type="cellIs" dxfId="559" priority="551" stopIfTrue="1" operator="equal">
      <formula>"Towel"</formula>
    </cfRule>
    <cfRule type="cellIs" dxfId="558" priority="552" stopIfTrue="1" operator="equal">
      <formula>"Napkin Hs"</formula>
    </cfRule>
  </conditionalFormatting>
  <conditionalFormatting sqref="C122">
    <cfRule type="cellIs" dxfId="557" priority="550" stopIfTrue="1" operator="equal">
      <formula>"Napkin Hs"</formula>
    </cfRule>
  </conditionalFormatting>
  <conditionalFormatting sqref="C122">
    <cfRule type="cellIs" dxfId="556" priority="547" stopIfTrue="1" operator="equal">
      <formula>"Towel"</formula>
    </cfRule>
    <cfRule type="cellIs" dxfId="555" priority="548" stopIfTrue="1" operator="equal">
      <formula>"Napkin Hs"</formula>
    </cfRule>
  </conditionalFormatting>
  <conditionalFormatting sqref="C122">
    <cfRule type="cellIs" dxfId="554" priority="549" stopIfTrue="1" operator="equal">
      <formula>"Towel"</formula>
    </cfRule>
  </conditionalFormatting>
  <conditionalFormatting sqref="C121">
    <cfRule type="cellIs" dxfId="553" priority="539" stopIfTrue="1" operator="equal">
      <formula>"Towel"</formula>
    </cfRule>
    <cfRule type="cellIs" dxfId="552" priority="540" stopIfTrue="1" operator="equal">
      <formula>"Napkin Hs"</formula>
    </cfRule>
  </conditionalFormatting>
  <conditionalFormatting sqref="B121:C121">
    <cfRule type="cellIs" dxfId="551" priority="541" stopIfTrue="1" operator="equal">
      <formula>"Towel"</formula>
    </cfRule>
    <cfRule type="cellIs" dxfId="550" priority="542" stopIfTrue="1" operator="equal">
      <formula>"Napkin Hs"</formula>
    </cfRule>
  </conditionalFormatting>
  <conditionalFormatting sqref="C121">
    <cfRule type="cellIs" dxfId="549" priority="537" stopIfTrue="1" operator="equal">
      <formula>"Towel"</formula>
    </cfRule>
    <cfRule type="cellIs" dxfId="548" priority="538" stopIfTrue="1" operator="equal">
      <formula>"Napkin Hs"</formula>
    </cfRule>
  </conditionalFormatting>
  <conditionalFormatting sqref="B121:C121">
    <cfRule type="cellIs" dxfId="547" priority="535" stopIfTrue="1" operator="equal">
      <formula>"Towel"</formula>
    </cfRule>
    <cfRule type="cellIs" dxfId="546" priority="536" stopIfTrue="1" operator="equal">
      <formula>"Napkin Hs"</formula>
    </cfRule>
  </conditionalFormatting>
  <conditionalFormatting sqref="C121">
    <cfRule type="cellIs" dxfId="545" priority="543" stopIfTrue="1" operator="equal">
      <formula>"Towel"</formula>
    </cfRule>
    <cfRule type="cellIs" dxfId="544" priority="544" stopIfTrue="1" operator="equal">
      <formula>"Napkin Hs"</formula>
    </cfRule>
  </conditionalFormatting>
  <conditionalFormatting sqref="C121">
    <cfRule type="cellIs" dxfId="543" priority="545" stopIfTrue="1" operator="equal">
      <formula>"Towel"</formula>
    </cfRule>
    <cfRule type="cellIs" dxfId="542" priority="546" stopIfTrue="1" operator="equal">
      <formula>"Napkin Hs"</formula>
    </cfRule>
  </conditionalFormatting>
  <conditionalFormatting sqref="B121:C121">
    <cfRule type="cellIs" dxfId="541" priority="533" stopIfTrue="1" operator="equal">
      <formula>"Towel"</formula>
    </cfRule>
    <cfRule type="cellIs" dxfId="540" priority="534" stopIfTrue="1" operator="equal">
      <formula>"Napkin Hs"</formula>
    </cfRule>
  </conditionalFormatting>
  <conditionalFormatting sqref="C121">
    <cfRule type="cellIs" dxfId="539" priority="532" stopIfTrue="1" operator="equal">
      <formula>"Napkin Hs"</formula>
    </cfRule>
  </conditionalFormatting>
  <conditionalFormatting sqref="C121">
    <cfRule type="cellIs" dxfId="538" priority="529" stopIfTrue="1" operator="equal">
      <formula>"Towel"</formula>
    </cfRule>
    <cfRule type="cellIs" dxfId="537" priority="530" stopIfTrue="1" operator="equal">
      <formula>"Napkin Hs"</formula>
    </cfRule>
  </conditionalFormatting>
  <conditionalFormatting sqref="C121">
    <cfRule type="cellIs" dxfId="536" priority="531" stopIfTrue="1" operator="equal">
      <formula>"Towel"</formula>
    </cfRule>
  </conditionalFormatting>
  <conditionalFormatting sqref="B129:C131">
    <cfRule type="cellIs" dxfId="535" priority="527" stopIfTrue="1" operator="equal">
      <formula>"Towel"</formula>
    </cfRule>
    <cfRule type="cellIs" dxfId="534" priority="528" stopIfTrue="1" operator="equal">
      <formula>"Napkin Hs"</formula>
    </cfRule>
  </conditionalFormatting>
  <conditionalFormatting sqref="C129:C131">
    <cfRule type="cellIs" dxfId="533" priority="526" stopIfTrue="1" operator="equal">
      <formula>"Napkin Hs"</formula>
    </cfRule>
  </conditionalFormatting>
  <conditionalFormatting sqref="C129:C131">
    <cfRule type="cellIs" dxfId="532" priority="523" stopIfTrue="1" operator="equal">
      <formula>"Towel"</formula>
    </cfRule>
    <cfRule type="cellIs" dxfId="531" priority="524" stopIfTrue="1" operator="equal">
      <formula>"Napkin Hs"</formula>
    </cfRule>
  </conditionalFormatting>
  <conditionalFormatting sqref="C129:C131">
    <cfRule type="cellIs" dxfId="530" priority="525" stopIfTrue="1" operator="equal">
      <formula>"Towel"</formula>
    </cfRule>
  </conditionalFormatting>
  <conditionalFormatting sqref="B129:C129">
    <cfRule type="cellIs" dxfId="529" priority="521" stopIfTrue="1" operator="equal">
      <formula>"Towel"</formula>
    </cfRule>
    <cfRule type="cellIs" dxfId="528" priority="522" stopIfTrue="1" operator="equal">
      <formula>"Napkin Hs"</formula>
    </cfRule>
  </conditionalFormatting>
  <conditionalFormatting sqref="C129">
    <cfRule type="cellIs" dxfId="527" priority="520" stopIfTrue="1" operator="equal">
      <formula>"Napkin Hs"</formula>
    </cfRule>
  </conditionalFormatting>
  <conditionalFormatting sqref="C129">
    <cfRule type="cellIs" dxfId="526" priority="517" stopIfTrue="1" operator="equal">
      <formula>"Towel"</formula>
    </cfRule>
    <cfRule type="cellIs" dxfId="525" priority="518" stopIfTrue="1" operator="equal">
      <formula>"Napkin Hs"</formula>
    </cfRule>
  </conditionalFormatting>
  <conditionalFormatting sqref="C129">
    <cfRule type="cellIs" dxfId="524" priority="519" stopIfTrue="1" operator="equal">
      <formula>"Towel"</formula>
    </cfRule>
  </conditionalFormatting>
  <conditionalFormatting sqref="C128">
    <cfRule type="cellIs" dxfId="523" priority="509" stopIfTrue="1" operator="equal">
      <formula>"Towel"</formula>
    </cfRule>
    <cfRule type="cellIs" dxfId="522" priority="510" stopIfTrue="1" operator="equal">
      <formula>"Napkin Hs"</formula>
    </cfRule>
  </conditionalFormatting>
  <conditionalFormatting sqref="B128:C128">
    <cfRule type="cellIs" dxfId="521" priority="511" stopIfTrue="1" operator="equal">
      <formula>"Towel"</formula>
    </cfRule>
    <cfRule type="cellIs" dxfId="520" priority="512" stopIfTrue="1" operator="equal">
      <formula>"Napkin Hs"</formula>
    </cfRule>
  </conditionalFormatting>
  <conditionalFormatting sqref="C128">
    <cfRule type="cellIs" dxfId="519" priority="507" stopIfTrue="1" operator="equal">
      <formula>"Towel"</formula>
    </cfRule>
    <cfRule type="cellIs" dxfId="518" priority="508" stopIfTrue="1" operator="equal">
      <formula>"Napkin Hs"</formula>
    </cfRule>
  </conditionalFormatting>
  <conditionalFormatting sqref="B128:C128">
    <cfRule type="cellIs" dxfId="517" priority="505" stopIfTrue="1" operator="equal">
      <formula>"Towel"</formula>
    </cfRule>
    <cfRule type="cellIs" dxfId="516" priority="506" stopIfTrue="1" operator="equal">
      <formula>"Napkin Hs"</formula>
    </cfRule>
  </conditionalFormatting>
  <conditionalFormatting sqref="C128">
    <cfRule type="cellIs" dxfId="515" priority="513" stopIfTrue="1" operator="equal">
      <formula>"Towel"</formula>
    </cfRule>
    <cfRule type="cellIs" dxfId="514" priority="514" stopIfTrue="1" operator="equal">
      <formula>"Napkin Hs"</formula>
    </cfRule>
  </conditionalFormatting>
  <conditionalFormatting sqref="C128">
    <cfRule type="cellIs" dxfId="513" priority="515" stopIfTrue="1" operator="equal">
      <formula>"Towel"</formula>
    </cfRule>
    <cfRule type="cellIs" dxfId="512" priority="516" stopIfTrue="1" operator="equal">
      <formula>"Napkin Hs"</formula>
    </cfRule>
  </conditionalFormatting>
  <conditionalFormatting sqref="B128:C128">
    <cfRule type="cellIs" dxfId="511" priority="503" stopIfTrue="1" operator="equal">
      <formula>"Towel"</formula>
    </cfRule>
    <cfRule type="cellIs" dxfId="510" priority="504" stopIfTrue="1" operator="equal">
      <formula>"Napkin Hs"</formula>
    </cfRule>
  </conditionalFormatting>
  <conditionalFormatting sqref="C128">
    <cfRule type="cellIs" dxfId="509" priority="502" stopIfTrue="1" operator="equal">
      <formula>"Napkin Hs"</formula>
    </cfRule>
  </conditionalFormatting>
  <conditionalFormatting sqref="C128">
    <cfRule type="cellIs" dxfId="508" priority="499" stopIfTrue="1" operator="equal">
      <formula>"Towel"</formula>
    </cfRule>
    <cfRule type="cellIs" dxfId="507" priority="500" stopIfTrue="1" operator="equal">
      <formula>"Napkin Hs"</formula>
    </cfRule>
  </conditionalFormatting>
  <conditionalFormatting sqref="C128">
    <cfRule type="cellIs" dxfId="506" priority="501" stopIfTrue="1" operator="equal">
      <formula>"Towel"</formula>
    </cfRule>
  </conditionalFormatting>
  <conditionalFormatting sqref="B128:C128">
    <cfRule type="cellIs" dxfId="505" priority="497" stopIfTrue="1" operator="equal">
      <formula>"Towel"</formula>
    </cfRule>
    <cfRule type="cellIs" dxfId="504" priority="498" stopIfTrue="1" operator="equal">
      <formula>"Napkin Hs"</formula>
    </cfRule>
  </conditionalFormatting>
  <conditionalFormatting sqref="C128">
    <cfRule type="cellIs" dxfId="503" priority="496" stopIfTrue="1" operator="equal">
      <formula>"Napkin Hs"</formula>
    </cfRule>
  </conditionalFormatting>
  <conditionalFormatting sqref="C128">
    <cfRule type="cellIs" dxfId="502" priority="493" stopIfTrue="1" operator="equal">
      <formula>"Towel"</formula>
    </cfRule>
    <cfRule type="cellIs" dxfId="501" priority="494" stopIfTrue="1" operator="equal">
      <formula>"Napkin Hs"</formula>
    </cfRule>
  </conditionalFormatting>
  <conditionalFormatting sqref="C128">
    <cfRule type="cellIs" dxfId="500" priority="495" stopIfTrue="1" operator="equal">
      <formula>"Towel"</formula>
    </cfRule>
  </conditionalFormatting>
  <conditionalFormatting sqref="C127">
    <cfRule type="cellIs" dxfId="499" priority="485" stopIfTrue="1" operator="equal">
      <formula>"Towel"</formula>
    </cfRule>
    <cfRule type="cellIs" dxfId="498" priority="486" stopIfTrue="1" operator="equal">
      <formula>"Napkin Hs"</formula>
    </cfRule>
  </conditionalFormatting>
  <conditionalFormatting sqref="B127:C127">
    <cfRule type="cellIs" dxfId="497" priority="487" stopIfTrue="1" operator="equal">
      <formula>"Towel"</formula>
    </cfRule>
    <cfRule type="cellIs" dxfId="496" priority="488" stopIfTrue="1" operator="equal">
      <formula>"Napkin Hs"</formula>
    </cfRule>
  </conditionalFormatting>
  <conditionalFormatting sqref="C127">
    <cfRule type="cellIs" dxfId="495" priority="483" stopIfTrue="1" operator="equal">
      <formula>"Towel"</formula>
    </cfRule>
    <cfRule type="cellIs" dxfId="494" priority="484" stopIfTrue="1" operator="equal">
      <formula>"Napkin Hs"</formula>
    </cfRule>
  </conditionalFormatting>
  <conditionalFormatting sqref="B127:C127">
    <cfRule type="cellIs" dxfId="493" priority="481" stopIfTrue="1" operator="equal">
      <formula>"Towel"</formula>
    </cfRule>
    <cfRule type="cellIs" dxfId="492" priority="482" stopIfTrue="1" operator="equal">
      <formula>"Napkin Hs"</formula>
    </cfRule>
  </conditionalFormatting>
  <conditionalFormatting sqref="C127">
    <cfRule type="cellIs" dxfId="491" priority="489" stopIfTrue="1" operator="equal">
      <formula>"Towel"</formula>
    </cfRule>
    <cfRule type="cellIs" dxfId="490" priority="490" stopIfTrue="1" operator="equal">
      <formula>"Napkin Hs"</formula>
    </cfRule>
  </conditionalFormatting>
  <conditionalFormatting sqref="C127">
    <cfRule type="cellIs" dxfId="489" priority="491" stopIfTrue="1" operator="equal">
      <formula>"Towel"</formula>
    </cfRule>
    <cfRule type="cellIs" dxfId="488" priority="492" stopIfTrue="1" operator="equal">
      <formula>"Napkin Hs"</formula>
    </cfRule>
  </conditionalFormatting>
  <conditionalFormatting sqref="B127:C127">
    <cfRule type="cellIs" dxfId="487" priority="479" stopIfTrue="1" operator="equal">
      <formula>"Towel"</formula>
    </cfRule>
    <cfRule type="cellIs" dxfId="486" priority="480" stopIfTrue="1" operator="equal">
      <formula>"Napkin Hs"</formula>
    </cfRule>
  </conditionalFormatting>
  <conditionalFormatting sqref="C127">
    <cfRule type="cellIs" dxfId="485" priority="478" stopIfTrue="1" operator="equal">
      <formula>"Napkin Hs"</formula>
    </cfRule>
  </conditionalFormatting>
  <conditionalFormatting sqref="C127">
    <cfRule type="cellIs" dxfId="484" priority="475" stopIfTrue="1" operator="equal">
      <formula>"Towel"</formula>
    </cfRule>
    <cfRule type="cellIs" dxfId="483" priority="476" stopIfTrue="1" operator="equal">
      <formula>"Napkin Hs"</formula>
    </cfRule>
  </conditionalFormatting>
  <conditionalFormatting sqref="C127">
    <cfRule type="cellIs" dxfId="482" priority="477" stopIfTrue="1" operator="equal">
      <formula>"Towel"</formula>
    </cfRule>
  </conditionalFormatting>
  <conditionalFormatting sqref="C132:C133">
    <cfRule type="cellIs" dxfId="481" priority="473" stopIfTrue="1" operator="equal">
      <formula>"Towel"</formula>
    </cfRule>
    <cfRule type="cellIs" dxfId="480" priority="474" stopIfTrue="1" operator="equal">
      <formula>"Napkin Hs"</formula>
    </cfRule>
  </conditionalFormatting>
  <conditionalFormatting sqref="C132:C133">
    <cfRule type="cellIs" dxfId="479" priority="465" stopIfTrue="1" operator="equal">
      <formula>"Towel"</formula>
    </cfRule>
    <cfRule type="cellIs" dxfId="478" priority="466" stopIfTrue="1" operator="equal">
      <formula>"Napkin Hs"</formula>
    </cfRule>
  </conditionalFormatting>
  <conditionalFormatting sqref="C132:C133">
    <cfRule type="cellIs" dxfId="477" priority="463" stopIfTrue="1" operator="equal">
      <formula>"Towel"</formula>
    </cfRule>
    <cfRule type="cellIs" dxfId="476" priority="464" stopIfTrue="1" operator="equal">
      <formula>"Napkin Hs"</formula>
    </cfRule>
  </conditionalFormatting>
  <conditionalFormatting sqref="C132:C133">
    <cfRule type="cellIs" dxfId="475" priority="461" stopIfTrue="1" operator="equal">
      <formula>"Towel"</formula>
    </cfRule>
    <cfRule type="cellIs" dxfId="474" priority="462" stopIfTrue="1" operator="equal">
      <formula>"Napkin Hs"</formula>
    </cfRule>
  </conditionalFormatting>
  <conditionalFormatting sqref="C132:C133">
    <cfRule type="cellIs" dxfId="473" priority="455" stopIfTrue="1" operator="equal">
      <formula>"Towel"</formula>
    </cfRule>
    <cfRule type="cellIs" dxfId="472" priority="456" stopIfTrue="1" operator="equal">
      <formula>"Napkin Hs"</formula>
    </cfRule>
  </conditionalFormatting>
  <conditionalFormatting sqref="C132:C133">
    <cfRule type="cellIs" dxfId="471" priority="457" stopIfTrue="1" operator="equal">
      <formula>"Towel"</formula>
    </cfRule>
    <cfRule type="cellIs" dxfId="470" priority="458" stopIfTrue="1" operator="equal">
      <formula>"Napkin Hs"</formula>
    </cfRule>
  </conditionalFormatting>
  <conditionalFormatting sqref="C132:C133">
    <cfRule type="cellIs" dxfId="469" priority="459" stopIfTrue="1" operator="equal">
      <formula>"Towel"</formula>
    </cfRule>
    <cfRule type="cellIs" dxfId="468" priority="460" stopIfTrue="1" operator="equal">
      <formula>"Napkin Hs"</formula>
    </cfRule>
  </conditionalFormatting>
  <conditionalFormatting sqref="C132:C133">
    <cfRule type="cellIs" dxfId="467" priority="471" stopIfTrue="1" operator="equal">
      <formula>"Towel"</formula>
    </cfRule>
    <cfRule type="cellIs" dxfId="466" priority="472" stopIfTrue="1" operator="equal">
      <formula>"Napkin Hs"</formula>
    </cfRule>
  </conditionalFormatting>
  <conditionalFormatting sqref="C132:C133">
    <cfRule type="cellIs" dxfId="465" priority="469" stopIfTrue="1" operator="equal">
      <formula>"Towel"</formula>
    </cfRule>
    <cfRule type="cellIs" dxfId="464" priority="470" stopIfTrue="1" operator="equal">
      <formula>"Napkin Hs"</formula>
    </cfRule>
  </conditionalFormatting>
  <conditionalFormatting sqref="C132:C133">
    <cfRule type="cellIs" dxfId="463" priority="467" stopIfTrue="1" operator="equal">
      <formula>"Towel"</formula>
    </cfRule>
    <cfRule type="cellIs" dxfId="462" priority="468" stopIfTrue="1" operator="equal">
      <formula>"Napkin Hs"</formula>
    </cfRule>
  </conditionalFormatting>
  <conditionalFormatting sqref="B132:B133">
    <cfRule type="cellIs" dxfId="461" priority="447" stopIfTrue="1" operator="equal">
      <formula>"Towel"</formula>
    </cfRule>
    <cfRule type="cellIs" dxfId="460" priority="448" stopIfTrue="1" operator="equal">
      <formula>"Napkin Hs"</formula>
    </cfRule>
  </conditionalFormatting>
  <conditionalFormatting sqref="B132:B133">
    <cfRule type="cellIs" dxfId="459" priority="445" stopIfTrue="1" operator="equal">
      <formula>"Towel"</formula>
    </cfRule>
    <cfRule type="cellIs" dxfId="458" priority="446" stopIfTrue="1" operator="equal">
      <formula>"Napkin Hs"</formula>
    </cfRule>
  </conditionalFormatting>
  <conditionalFormatting sqref="B132:B133">
    <cfRule type="cellIs" dxfId="457" priority="443" stopIfTrue="1" operator="equal">
      <formula>"Towel"</formula>
    </cfRule>
    <cfRule type="cellIs" dxfId="456" priority="444" stopIfTrue="1" operator="equal">
      <formula>"Napkin Hs"</formula>
    </cfRule>
  </conditionalFormatting>
  <conditionalFormatting sqref="C132:C133">
    <cfRule type="cellIs" dxfId="455" priority="453" stopIfTrue="1" operator="equal">
      <formula>"Towel"</formula>
    </cfRule>
    <cfRule type="cellIs" dxfId="454" priority="454" stopIfTrue="1" operator="equal">
      <formula>"Napkin Hs"</formula>
    </cfRule>
  </conditionalFormatting>
  <conditionalFormatting sqref="C132:C133">
    <cfRule type="cellIs" dxfId="453" priority="451" stopIfTrue="1" operator="equal">
      <formula>"Towel"</formula>
    </cfRule>
    <cfRule type="cellIs" dxfId="452" priority="452" stopIfTrue="1" operator="equal">
      <formula>"Napkin Hs"</formula>
    </cfRule>
  </conditionalFormatting>
  <conditionalFormatting sqref="B132:B133">
    <cfRule type="cellIs" dxfId="451" priority="449" stopIfTrue="1" operator="equal">
      <formula>"Towel"</formula>
    </cfRule>
    <cfRule type="cellIs" dxfId="450" priority="450" stopIfTrue="1" operator="equal">
      <formula>"Napkin Hs"</formula>
    </cfRule>
  </conditionalFormatting>
  <conditionalFormatting sqref="B134:C135">
    <cfRule type="cellIs" dxfId="449" priority="441" stopIfTrue="1" operator="equal">
      <formula>"Towel"</formula>
    </cfRule>
    <cfRule type="cellIs" dxfId="448" priority="442" stopIfTrue="1" operator="equal">
      <formula>"Napkin Hs"</formula>
    </cfRule>
  </conditionalFormatting>
  <conditionalFormatting sqref="C134:C135">
    <cfRule type="cellIs" dxfId="447" priority="440" stopIfTrue="1" operator="equal">
      <formula>"Napkin Hs"</formula>
    </cfRule>
  </conditionalFormatting>
  <conditionalFormatting sqref="C134:C135">
    <cfRule type="cellIs" dxfId="446" priority="437" stopIfTrue="1" operator="equal">
      <formula>"Towel"</formula>
    </cfRule>
    <cfRule type="cellIs" dxfId="445" priority="438" stopIfTrue="1" operator="equal">
      <formula>"Napkin Hs"</formula>
    </cfRule>
  </conditionalFormatting>
  <conditionalFormatting sqref="C134:C135">
    <cfRule type="cellIs" dxfId="444" priority="439" stopIfTrue="1" operator="equal">
      <formula>"Towel"</formula>
    </cfRule>
  </conditionalFormatting>
  <conditionalFormatting sqref="B134:C134">
    <cfRule type="cellIs" dxfId="443" priority="435" stopIfTrue="1" operator="equal">
      <formula>"Towel"</formula>
    </cfRule>
    <cfRule type="cellIs" dxfId="442" priority="436" stopIfTrue="1" operator="equal">
      <formula>"Napkin Hs"</formula>
    </cfRule>
  </conditionalFormatting>
  <conditionalFormatting sqref="C134">
    <cfRule type="cellIs" dxfId="441" priority="434" stopIfTrue="1" operator="equal">
      <formula>"Napkin Hs"</formula>
    </cfRule>
  </conditionalFormatting>
  <conditionalFormatting sqref="C134">
    <cfRule type="cellIs" dxfId="440" priority="431" stopIfTrue="1" operator="equal">
      <formula>"Towel"</formula>
    </cfRule>
    <cfRule type="cellIs" dxfId="439" priority="432" stopIfTrue="1" operator="equal">
      <formula>"Napkin Hs"</formula>
    </cfRule>
  </conditionalFormatting>
  <conditionalFormatting sqref="C134">
    <cfRule type="cellIs" dxfId="438" priority="433" stopIfTrue="1" operator="equal">
      <formula>"Towel"</formula>
    </cfRule>
  </conditionalFormatting>
  <conditionalFormatting sqref="C132:C133">
    <cfRule type="cellIs" dxfId="437" priority="423" stopIfTrue="1" operator="equal">
      <formula>"Towel"</formula>
    </cfRule>
    <cfRule type="cellIs" dxfId="436" priority="424" stopIfTrue="1" operator="equal">
      <formula>"Napkin Hs"</formula>
    </cfRule>
  </conditionalFormatting>
  <conditionalFormatting sqref="B132:C133">
    <cfRule type="cellIs" dxfId="435" priority="425" stopIfTrue="1" operator="equal">
      <formula>"Towel"</formula>
    </cfRule>
    <cfRule type="cellIs" dxfId="434" priority="426" stopIfTrue="1" operator="equal">
      <formula>"Napkin Hs"</formula>
    </cfRule>
  </conditionalFormatting>
  <conditionalFormatting sqref="C132:C133">
    <cfRule type="cellIs" dxfId="433" priority="421" stopIfTrue="1" operator="equal">
      <formula>"Towel"</formula>
    </cfRule>
    <cfRule type="cellIs" dxfId="432" priority="422" stopIfTrue="1" operator="equal">
      <formula>"Napkin Hs"</formula>
    </cfRule>
  </conditionalFormatting>
  <conditionalFormatting sqref="B132:C133">
    <cfRule type="cellIs" dxfId="431" priority="419" stopIfTrue="1" operator="equal">
      <formula>"Towel"</formula>
    </cfRule>
    <cfRule type="cellIs" dxfId="430" priority="420" stopIfTrue="1" operator="equal">
      <formula>"Napkin Hs"</formula>
    </cfRule>
  </conditionalFormatting>
  <conditionalFormatting sqref="C132:C133">
    <cfRule type="cellIs" dxfId="429" priority="427" stopIfTrue="1" operator="equal">
      <formula>"Towel"</formula>
    </cfRule>
    <cfRule type="cellIs" dxfId="428" priority="428" stopIfTrue="1" operator="equal">
      <formula>"Napkin Hs"</formula>
    </cfRule>
  </conditionalFormatting>
  <conditionalFormatting sqref="C132:C133">
    <cfRule type="cellIs" dxfId="427" priority="429" stopIfTrue="1" operator="equal">
      <formula>"Towel"</formula>
    </cfRule>
    <cfRule type="cellIs" dxfId="426" priority="430" stopIfTrue="1" operator="equal">
      <formula>"Napkin Hs"</formula>
    </cfRule>
  </conditionalFormatting>
  <conditionalFormatting sqref="B132:C133">
    <cfRule type="cellIs" dxfId="425" priority="417" stopIfTrue="1" operator="equal">
      <formula>"Towel"</formula>
    </cfRule>
    <cfRule type="cellIs" dxfId="424" priority="418" stopIfTrue="1" operator="equal">
      <formula>"Napkin Hs"</formula>
    </cfRule>
  </conditionalFormatting>
  <conditionalFormatting sqref="C132:C133">
    <cfRule type="cellIs" dxfId="423" priority="416" stopIfTrue="1" operator="equal">
      <formula>"Napkin Hs"</formula>
    </cfRule>
  </conditionalFormatting>
  <conditionalFormatting sqref="C132:C133">
    <cfRule type="cellIs" dxfId="422" priority="413" stopIfTrue="1" operator="equal">
      <formula>"Towel"</formula>
    </cfRule>
    <cfRule type="cellIs" dxfId="421" priority="414" stopIfTrue="1" operator="equal">
      <formula>"Napkin Hs"</formula>
    </cfRule>
  </conditionalFormatting>
  <conditionalFormatting sqref="C132:C133">
    <cfRule type="cellIs" dxfId="420" priority="415" stopIfTrue="1" operator="equal">
      <formula>"Towel"</formula>
    </cfRule>
  </conditionalFormatting>
  <conditionalFormatting sqref="B139:C140">
    <cfRule type="cellIs" dxfId="419" priority="411" stopIfTrue="1" operator="equal">
      <formula>"Towel"</formula>
    </cfRule>
    <cfRule type="cellIs" dxfId="418" priority="412" stopIfTrue="1" operator="equal">
      <formula>"Napkin Hs"</formula>
    </cfRule>
  </conditionalFormatting>
  <conditionalFormatting sqref="C139:C140">
    <cfRule type="cellIs" dxfId="417" priority="410" stopIfTrue="1" operator="equal">
      <formula>"Napkin Hs"</formula>
    </cfRule>
  </conditionalFormatting>
  <conditionalFormatting sqref="C139:C140">
    <cfRule type="cellIs" dxfId="416" priority="407" stopIfTrue="1" operator="equal">
      <formula>"Towel"</formula>
    </cfRule>
    <cfRule type="cellIs" dxfId="415" priority="408" stopIfTrue="1" operator="equal">
      <formula>"Napkin Hs"</formula>
    </cfRule>
  </conditionalFormatting>
  <conditionalFormatting sqref="C139:C140">
    <cfRule type="cellIs" dxfId="414" priority="409" stopIfTrue="1" operator="equal">
      <formula>"Towel"</formula>
    </cfRule>
  </conditionalFormatting>
  <conditionalFormatting sqref="B139:C139">
    <cfRule type="cellIs" dxfId="413" priority="405" stopIfTrue="1" operator="equal">
      <formula>"Towel"</formula>
    </cfRule>
    <cfRule type="cellIs" dxfId="412" priority="406" stopIfTrue="1" operator="equal">
      <formula>"Napkin Hs"</formula>
    </cfRule>
  </conditionalFormatting>
  <conditionalFormatting sqref="C139">
    <cfRule type="cellIs" dxfId="411" priority="404" stopIfTrue="1" operator="equal">
      <formula>"Napkin Hs"</formula>
    </cfRule>
  </conditionalFormatting>
  <conditionalFormatting sqref="C139">
    <cfRule type="cellIs" dxfId="410" priority="401" stopIfTrue="1" operator="equal">
      <formula>"Towel"</formula>
    </cfRule>
    <cfRule type="cellIs" dxfId="409" priority="402" stopIfTrue="1" operator="equal">
      <formula>"Napkin Hs"</formula>
    </cfRule>
  </conditionalFormatting>
  <conditionalFormatting sqref="C139">
    <cfRule type="cellIs" dxfId="408" priority="403" stopIfTrue="1" operator="equal">
      <formula>"Towel"</formula>
    </cfRule>
  </conditionalFormatting>
  <conditionalFormatting sqref="C138">
    <cfRule type="cellIs" dxfId="407" priority="393" stopIfTrue="1" operator="equal">
      <formula>"Towel"</formula>
    </cfRule>
    <cfRule type="cellIs" dxfId="406" priority="394" stopIfTrue="1" operator="equal">
      <formula>"Napkin Hs"</formula>
    </cfRule>
  </conditionalFormatting>
  <conditionalFormatting sqref="B138:C138">
    <cfRule type="cellIs" dxfId="405" priority="395" stopIfTrue="1" operator="equal">
      <formula>"Towel"</formula>
    </cfRule>
    <cfRule type="cellIs" dxfId="404" priority="396" stopIfTrue="1" operator="equal">
      <formula>"Napkin Hs"</formula>
    </cfRule>
  </conditionalFormatting>
  <conditionalFormatting sqref="C138">
    <cfRule type="cellIs" dxfId="403" priority="391" stopIfTrue="1" operator="equal">
      <formula>"Towel"</formula>
    </cfRule>
    <cfRule type="cellIs" dxfId="402" priority="392" stopIfTrue="1" operator="equal">
      <formula>"Napkin Hs"</formula>
    </cfRule>
  </conditionalFormatting>
  <conditionalFormatting sqref="B138:C138">
    <cfRule type="cellIs" dxfId="401" priority="389" stopIfTrue="1" operator="equal">
      <formula>"Towel"</formula>
    </cfRule>
    <cfRule type="cellIs" dxfId="400" priority="390" stopIfTrue="1" operator="equal">
      <formula>"Napkin Hs"</formula>
    </cfRule>
  </conditionalFormatting>
  <conditionalFormatting sqref="C138">
    <cfRule type="cellIs" dxfId="399" priority="397" stopIfTrue="1" operator="equal">
      <formula>"Towel"</formula>
    </cfRule>
    <cfRule type="cellIs" dxfId="398" priority="398" stopIfTrue="1" operator="equal">
      <formula>"Napkin Hs"</formula>
    </cfRule>
  </conditionalFormatting>
  <conditionalFormatting sqref="C138">
    <cfRule type="cellIs" dxfId="397" priority="399" stopIfTrue="1" operator="equal">
      <formula>"Towel"</formula>
    </cfRule>
    <cfRule type="cellIs" dxfId="396" priority="400" stopIfTrue="1" operator="equal">
      <formula>"Napkin Hs"</formula>
    </cfRule>
  </conditionalFormatting>
  <conditionalFormatting sqref="B138:C138">
    <cfRule type="cellIs" dxfId="395" priority="387" stopIfTrue="1" operator="equal">
      <formula>"Towel"</formula>
    </cfRule>
    <cfRule type="cellIs" dxfId="394" priority="388" stopIfTrue="1" operator="equal">
      <formula>"Napkin Hs"</formula>
    </cfRule>
  </conditionalFormatting>
  <conditionalFormatting sqref="C138">
    <cfRule type="cellIs" dxfId="393" priority="386" stopIfTrue="1" operator="equal">
      <formula>"Napkin Hs"</formula>
    </cfRule>
  </conditionalFormatting>
  <conditionalFormatting sqref="C138">
    <cfRule type="cellIs" dxfId="392" priority="383" stopIfTrue="1" operator="equal">
      <formula>"Towel"</formula>
    </cfRule>
    <cfRule type="cellIs" dxfId="391" priority="384" stopIfTrue="1" operator="equal">
      <formula>"Napkin Hs"</formula>
    </cfRule>
  </conditionalFormatting>
  <conditionalFormatting sqref="C138">
    <cfRule type="cellIs" dxfId="390" priority="385" stopIfTrue="1" operator="equal">
      <formula>"Towel"</formula>
    </cfRule>
  </conditionalFormatting>
  <conditionalFormatting sqref="B138:C138">
    <cfRule type="cellIs" dxfId="389" priority="381" stopIfTrue="1" operator="equal">
      <formula>"Towel"</formula>
    </cfRule>
    <cfRule type="cellIs" dxfId="388" priority="382" stopIfTrue="1" operator="equal">
      <formula>"Napkin Hs"</formula>
    </cfRule>
  </conditionalFormatting>
  <conditionalFormatting sqref="C138">
    <cfRule type="cellIs" dxfId="387" priority="380" stopIfTrue="1" operator="equal">
      <formula>"Napkin Hs"</formula>
    </cfRule>
  </conditionalFormatting>
  <conditionalFormatting sqref="C138">
    <cfRule type="cellIs" dxfId="386" priority="377" stopIfTrue="1" operator="equal">
      <formula>"Towel"</formula>
    </cfRule>
    <cfRule type="cellIs" dxfId="385" priority="378" stopIfTrue="1" operator="equal">
      <formula>"Napkin Hs"</formula>
    </cfRule>
  </conditionalFormatting>
  <conditionalFormatting sqref="C138">
    <cfRule type="cellIs" dxfId="384" priority="379" stopIfTrue="1" operator="equal">
      <formula>"Towel"</formula>
    </cfRule>
  </conditionalFormatting>
  <conditionalFormatting sqref="C137">
    <cfRule type="cellIs" dxfId="383" priority="375" stopIfTrue="1" operator="equal">
      <formula>"Towel"</formula>
    </cfRule>
    <cfRule type="cellIs" dxfId="382" priority="376" stopIfTrue="1" operator="equal">
      <formula>"Napkin Hs"</formula>
    </cfRule>
  </conditionalFormatting>
  <conditionalFormatting sqref="C137">
    <cfRule type="cellIs" dxfId="381" priority="367" stopIfTrue="1" operator="equal">
      <formula>"Towel"</formula>
    </cfRule>
    <cfRule type="cellIs" dxfId="380" priority="368" stopIfTrue="1" operator="equal">
      <formula>"Napkin Hs"</formula>
    </cfRule>
  </conditionalFormatting>
  <conditionalFormatting sqref="C137">
    <cfRule type="cellIs" dxfId="379" priority="365" stopIfTrue="1" operator="equal">
      <formula>"Towel"</formula>
    </cfRule>
    <cfRule type="cellIs" dxfId="378" priority="366" stopIfTrue="1" operator="equal">
      <formula>"Napkin Hs"</formula>
    </cfRule>
  </conditionalFormatting>
  <conditionalFormatting sqref="C137">
    <cfRule type="cellIs" dxfId="377" priority="363" stopIfTrue="1" operator="equal">
      <formula>"Towel"</formula>
    </cfRule>
    <cfRule type="cellIs" dxfId="376" priority="364" stopIfTrue="1" operator="equal">
      <formula>"Napkin Hs"</formula>
    </cfRule>
  </conditionalFormatting>
  <conditionalFormatting sqref="C137">
    <cfRule type="cellIs" dxfId="375" priority="357" stopIfTrue="1" operator="equal">
      <formula>"Towel"</formula>
    </cfRule>
    <cfRule type="cellIs" dxfId="374" priority="358" stopIfTrue="1" operator="equal">
      <formula>"Napkin Hs"</formula>
    </cfRule>
  </conditionalFormatting>
  <conditionalFormatting sqref="C137">
    <cfRule type="cellIs" dxfId="373" priority="359" stopIfTrue="1" operator="equal">
      <formula>"Towel"</formula>
    </cfRule>
    <cfRule type="cellIs" dxfId="372" priority="360" stopIfTrue="1" operator="equal">
      <formula>"Napkin Hs"</formula>
    </cfRule>
  </conditionalFormatting>
  <conditionalFormatting sqref="C137">
    <cfRule type="cellIs" dxfId="371" priority="361" stopIfTrue="1" operator="equal">
      <formula>"Towel"</formula>
    </cfRule>
    <cfRule type="cellIs" dxfId="370" priority="362" stopIfTrue="1" operator="equal">
      <formula>"Napkin Hs"</formula>
    </cfRule>
  </conditionalFormatting>
  <conditionalFormatting sqref="C137">
    <cfRule type="cellIs" dxfId="369" priority="373" stopIfTrue="1" operator="equal">
      <formula>"Towel"</formula>
    </cfRule>
    <cfRule type="cellIs" dxfId="368" priority="374" stopIfTrue="1" operator="equal">
      <formula>"Napkin Hs"</formula>
    </cfRule>
  </conditionalFormatting>
  <conditionalFormatting sqref="C137">
    <cfRule type="cellIs" dxfId="367" priority="371" stopIfTrue="1" operator="equal">
      <formula>"Towel"</formula>
    </cfRule>
    <cfRule type="cellIs" dxfId="366" priority="372" stopIfTrue="1" operator="equal">
      <formula>"Napkin Hs"</formula>
    </cfRule>
  </conditionalFormatting>
  <conditionalFormatting sqref="C137">
    <cfRule type="cellIs" dxfId="365" priority="369" stopIfTrue="1" operator="equal">
      <formula>"Towel"</formula>
    </cfRule>
    <cfRule type="cellIs" dxfId="364" priority="370" stopIfTrue="1" operator="equal">
      <formula>"Napkin Hs"</formula>
    </cfRule>
  </conditionalFormatting>
  <conditionalFormatting sqref="B137">
    <cfRule type="cellIs" dxfId="363" priority="349" stopIfTrue="1" operator="equal">
      <formula>"Towel"</formula>
    </cfRule>
    <cfRule type="cellIs" dxfId="362" priority="350" stopIfTrue="1" operator="equal">
      <formula>"Napkin Hs"</formula>
    </cfRule>
  </conditionalFormatting>
  <conditionalFormatting sqref="B137">
    <cfRule type="cellIs" dxfId="361" priority="347" stopIfTrue="1" operator="equal">
      <formula>"Towel"</formula>
    </cfRule>
    <cfRule type="cellIs" dxfId="360" priority="348" stopIfTrue="1" operator="equal">
      <formula>"Napkin Hs"</formula>
    </cfRule>
  </conditionalFormatting>
  <conditionalFormatting sqref="B137">
    <cfRule type="cellIs" dxfId="359" priority="345" stopIfTrue="1" operator="equal">
      <formula>"Towel"</formula>
    </cfRule>
    <cfRule type="cellIs" dxfId="358" priority="346" stopIfTrue="1" operator="equal">
      <formula>"Napkin Hs"</formula>
    </cfRule>
  </conditionalFormatting>
  <conditionalFormatting sqref="C137">
    <cfRule type="cellIs" dxfId="357" priority="355" stopIfTrue="1" operator="equal">
      <formula>"Towel"</formula>
    </cfRule>
    <cfRule type="cellIs" dxfId="356" priority="356" stopIfTrue="1" operator="equal">
      <formula>"Napkin Hs"</formula>
    </cfRule>
  </conditionalFormatting>
  <conditionalFormatting sqref="C137">
    <cfRule type="cellIs" dxfId="355" priority="353" stopIfTrue="1" operator="equal">
      <formula>"Towel"</formula>
    </cfRule>
    <cfRule type="cellIs" dxfId="354" priority="354" stopIfTrue="1" operator="equal">
      <formula>"Napkin Hs"</formula>
    </cfRule>
  </conditionalFormatting>
  <conditionalFormatting sqref="B137">
    <cfRule type="cellIs" dxfId="353" priority="351" stopIfTrue="1" operator="equal">
      <formula>"Towel"</formula>
    </cfRule>
    <cfRule type="cellIs" dxfId="352" priority="352" stopIfTrue="1" operator="equal">
      <formula>"Napkin Hs"</formula>
    </cfRule>
  </conditionalFormatting>
  <conditionalFormatting sqref="C137">
    <cfRule type="cellIs" dxfId="351" priority="337" stopIfTrue="1" operator="equal">
      <formula>"Towel"</formula>
    </cfRule>
    <cfRule type="cellIs" dxfId="350" priority="338" stopIfTrue="1" operator="equal">
      <formula>"Napkin Hs"</formula>
    </cfRule>
  </conditionalFormatting>
  <conditionalFormatting sqref="B137:C137">
    <cfRule type="cellIs" dxfId="349" priority="339" stopIfTrue="1" operator="equal">
      <formula>"Towel"</formula>
    </cfRule>
    <cfRule type="cellIs" dxfId="348" priority="340" stopIfTrue="1" operator="equal">
      <formula>"Napkin Hs"</formula>
    </cfRule>
  </conditionalFormatting>
  <conditionalFormatting sqref="C137">
    <cfRule type="cellIs" dxfId="347" priority="335" stopIfTrue="1" operator="equal">
      <formula>"Towel"</formula>
    </cfRule>
    <cfRule type="cellIs" dxfId="346" priority="336" stopIfTrue="1" operator="equal">
      <formula>"Napkin Hs"</formula>
    </cfRule>
  </conditionalFormatting>
  <conditionalFormatting sqref="B137:C137">
    <cfRule type="cellIs" dxfId="345" priority="333" stopIfTrue="1" operator="equal">
      <formula>"Towel"</formula>
    </cfRule>
    <cfRule type="cellIs" dxfId="344" priority="334" stopIfTrue="1" operator="equal">
      <formula>"Napkin Hs"</formula>
    </cfRule>
  </conditionalFormatting>
  <conditionalFormatting sqref="C137">
    <cfRule type="cellIs" dxfId="343" priority="341" stopIfTrue="1" operator="equal">
      <formula>"Towel"</formula>
    </cfRule>
    <cfRule type="cellIs" dxfId="342" priority="342" stopIfTrue="1" operator="equal">
      <formula>"Napkin Hs"</formula>
    </cfRule>
  </conditionalFormatting>
  <conditionalFormatting sqref="C137">
    <cfRule type="cellIs" dxfId="341" priority="343" stopIfTrue="1" operator="equal">
      <formula>"Towel"</formula>
    </cfRule>
    <cfRule type="cellIs" dxfId="340" priority="344" stopIfTrue="1" operator="equal">
      <formula>"Napkin Hs"</formula>
    </cfRule>
  </conditionalFormatting>
  <conditionalFormatting sqref="B137:C137">
    <cfRule type="cellIs" dxfId="339" priority="331" stopIfTrue="1" operator="equal">
      <formula>"Towel"</formula>
    </cfRule>
    <cfRule type="cellIs" dxfId="338" priority="332" stopIfTrue="1" operator="equal">
      <formula>"Napkin Hs"</formula>
    </cfRule>
  </conditionalFormatting>
  <conditionalFormatting sqref="C137">
    <cfRule type="cellIs" dxfId="337" priority="330" stopIfTrue="1" operator="equal">
      <formula>"Napkin Hs"</formula>
    </cfRule>
  </conditionalFormatting>
  <conditionalFormatting sqref="C137">
    <cfRule type="cellIs" dxfId="336" priority="327" stopIfTrue="1" operator="equal">
      <formula>"Towel"</formula>
    </cfRule>
    <cfRule type="cellIs" dxfId="335" priority="328" stopIfTrue="1" operator="equal">
      <formula>"Napkin Hs"</formula>
    </cfRule>
  </conditionalFormatting>
  <conditionalFormatting sqref="C137">
    <cfRule type="cellIs" dxfId="334" priority="329" stopIfTrue="1" operator="equal">
      <formula>"Towel"</formula>
    </cfRule>
  </conditionalFormatting>
  <conditionalFormatting sqref="B144:C145">
    <cfRule type="cellIs" dxfId="333" priority="325" stopIfTrue="1" operator="equal">
      <formula>"Towel"</formula>
    </cfRule>
    <cfRule type="cellIs" dxfId="332" priority="326" stopIfTrue="1" operator="equal">
      <formula>"Napkin Hs"</formula>
    </cfRule>
  </conditionalFormatting>
  <conditionalFormatting sqref="C144:C145">
    <cfRule type="cellIs" dxfId="331" priority="324" stopIfTrue="1" operator="equal">
      <formula>"Napkin Hs"</formula>
    </cfRule>
  </conditionalFormatting>
  <conditionalFormatting sqref="C144:C145">
    <cfRule type="cellIs" dxfId="330" priority="321" stopIfTrue="1" operator="equal">
      <formula>"Towel"</formula>
    </cfRule>
    <cfRule type="cellIs" dxfId="329" priority="322" stopIfTrue="1" operator="equal">
      <formula>"Napkin Hs"</formula>
    </cfRule>
  </conditionalFormatting>
  <conditionalFormatting sqref="C144:C145">
    <cfRule type="cellIs" dxfId="328" priority="323" stopIfTrue="1" operator="equal">
      <formula>"Towel"</formula>
    </cfRule>
  </conditionalFormatting>
  <conditionalFormatting sqref="B144:C144">
    <cfRule type="cellIs" dxfId="327" priority="319" stopIfTrue="1" operator="equal">
      <formula>"Towel"</formula>
    </cfRule>
    <cfRule type="cellIs" dxfId="326" priority="320" stopIfTrue="1" operator="equal">
      <formula>"Napkin Hs"</formula>
    </cfRule>
  </conditionalFormatting>
  <conditionalFormatting sqref="C144">
    <cfRule type="cellIs" dxfId="325" priority="318" stopIfTrue="1" operator="equal">
      <formula>"Napkin Hs"</formula>
    </cfRule>
  </conditionalFormatting>
  <conditionalFormatting sqref="C144">
    <cfRule type="cellIs" dxfId="324" priority="315" stopIfTrue="1" operator="equal">
      <formula>"Towel"</formula>
    </cfRule>
    <cfRule type="cellIs" dxfId="323" priority="316" stopIfTrue="1" operator="equal">
      <formula>"Napkin Hs"</formula>
    </cfRule>
  </conditionalFormatting>
  <conditionalFormatting sqref="C144">
    <cfRule type="cellIs" dxfId="322" priority="317" stopIfTrue="1" operator="equal">
      <formula>"Towel"</formula>
    </cfRule>
  </conditionalFormatting>
  <conditionalFormatting sqref="C143">
    <cfRule type="cellIs" dxfId="321" priority="307" stopIfTrue="1" operator="equal">
      <formula>"Towel"</formula>
    </cfRule>
    <cfRule type="cellIs" dxfId="320" priority="308" stopIfTrue="1" operator="equal">
      <formula>"Napkin Hs"</formula>
    </cfRule>
  </conditionalFormatting>
  <conditionalFormatting sqref="B143:C143">
    <cfRule type="cellIs" dxfId="319" priority="309" stopIfTrue="1" operator="equal">
      <formula>"Towel"</formula>
    </cfRule>
    <cfRule type="cellIs" dxfId="318" priority="310" stopIfTrue="1" operator="equal">
      <formula>"Napkin Hs"</formula>
    </cfRule>
  </conditionalFormatting>
  <conditionalFormatting sqref="C143">
    <cfRule type="cellIs" dxfId="317" priority="305" stopIfTrue="1" operator="equal">
      <formula>"Towel"</formula>
    </cfRule>
    <cfRule type="cellIs" dxfId="316" priority="306" stopIfTrue="1" operator="equal">
      <formula>"Napkin Hs"</formula>
    </cfRule>
  </conditionalFormatting>
  <conditionalFormatting sqref="B143:C143">
    <cfRule type="cellIs" dxfId="315" priority="303" stopIfTrue="1" operator="equal">
      <formula>"Towel"</formula>
    </cfRule>
    <cfRule type="cellIs" dxfId="314" priority="304" stopIfTrue="1" operator="equal">
      <formula>"Napkin Hs"</formula>
    </cfRule>
  </conditionalFormatting>
  <conditionalFormatting sqref="C143">
    <cfRule type="cellIs" dxfId="313" priority="311" stopIfTrue="1" operator="equal">
      <formula>"Towel"</formula>
    </cfRule>
    <cfRule type="cellIs" dxfId="312" priority="312" stopIfTrue="1" operator="equal">
      <formula>"Napkin Hs"</formula>
    </cfRule>
  </conditionalFormatting>
  <conditionalFormatting sqref="C143">
    <cfRule type="cellIs" dxfId="311" priority="313" stopIfTrue="1" operator="equal">
      <formula>"Towel"</formula>
    </cfRule>
    <cfRule type="cellIs" dxfId="310" priority="314" stopIfTrue="1" operator="equal">
      <formula>"Napkin Hs"</formula>
    </cfRule>
  </conditionalFormatting>
  <conditionalFormatting sqref="B143:C143">
    <cfRule type="cellIs" dxfId="309" priority="301" stopIfTrue="1" operator="equal">
      <formula>"Towel"</formula>
    </cfRule>
    <cfRule type="cellIs" dxfId="308" priority="302" stopIfTrue="1" operator="equal">
      <formula>"Napkin Hs"</formula>
    </cfRule>
  </conditionalFormatting>
  <conditionalFormatting sqref="C143">
    <cfRule type="cellIs" dxfId="307" priority="300" stopIfTrue="1" operator="equal">
      <formula>"Napkin Hs"</formula>
    </cfRule>
  </conditionalFormatting>
  <conditionalFormatting sqref="C143">
    <cfRule type="cellIs" dxfId="306" priority="297" stopIfTrue="1" operator="equal">
      <formula>"Towel"</formula>
    </cfRule>
    <cfRule type="cellIs" dxfId="305" priority="298" stopIfTrue="1" operator="equal">
      <formula>"Napkin Hs"</formula>
    </cfRule>
  </conditionalFormatting>
  <conditionalFormatting sqref="C143">
    <cfRule type="cellIs" dxfId="304" priority="299" stopIfTrue="1" operator="equal">
      <formula>"Towel"</formula>
    </cfRule>
  </conditionalFormatting>
  <conditionalFormatting sqref="B143:C143">
    <cfRule type="cellIs" dxfId="303" priority="295" stopIfTrue="1" operator="equal">
      <formula>"Towel"</formula>
    </cfRule>
    <cfRule type="cellIs" dxfId="302" priority="296" stopIfTrue="1" operator="equal">
      <formula>"Napkin Hs"</formula>
    </cfRule>
  </conditionalFormatting>
  <conditionalFormatting sqref="C143">
    <cfRule type="cellIs" dxfId="301" priority="294" stopIfTrue="1" operator="equal">
      <formula>"Napkin Hs"</formula>
    </cfRule>
  </conditionalFormatting>
  <conditionalFormatting sqref="C143">
    <cfRule type="cellIs" dxfId="300" priority="291" stopIfTrue="1" operator="equal">
      <formula>"Towel"</formula>
    </cfRule>
    <cfRule type="cellIs" dxfId="299" priority="292" stopIfTrue="1" operator="equal">
      <formula>"Napkin Hs"</formula>
    </cfRule>
  </conditionalFormatting>
  <conditionalFormatting sqref="C143">
    <cfRule type="cellIs" dxfId="298" priority="293" stopIfTrue="1" operator="equal">
      <formula>"Towel"</formula>
    </cfRule>
  </conditionalFormatting>
  <conditionalFormatting sqref="C142">
    <cfRule type="cellIs" dxfId="297" priority="289" stopIfTrue="1" operator="equal">
      <formula>"Towel"</formula>
    </cfRule>
    <cfRule type="cellIs" dxfId="296" priority="290" stopIfTrue="1" operator="equal">
      <formula>"Napkin Hs"</formula>
    </cfRule>
  </conditionalFormatting>
  <conditionalFormatting sqref="C142">
    <cfRule type="cellIs" dxfId="295" priority="281" stopIfTrue="1" operator="equal">
      <formula>"Towel"</formula>
    </cfRule>
    <cfRule type="cellIs" dxfId="294" priority="282" stopIfTrue="1" operator="equal">
      <formula>"Napkin Hs"</formula>
    </cfRule>
  </conditionalFormatting>
  <conditionalFormatting sqref="C142">
    <cfRule type="cellIs" dxfId="293" priority="279" stopIfTrue="1" operator="equal">
      <formula>"Towel"</formula>
    </cfRule>
    <cfRule type="cellIs" dxfId="292" priority="280" stopIfTrue="1" operator="equal">
      <formula>"Napkin Hs"</formula>
    </cfRule>
  </conditionalFormatting>
  <conditionalFormatting sqref="C142">
    <cfRule type="cellIs" dxfId="291" priority="277" stopIfTrue="1" operator="equal">
      <formula>"Towel"</formula>
    </cfRule>
    <cfRule type="cellIs" dxfId="290" priority="278" stopIfTrue="1" operator="equal">
      <formula>"Napkin Hs"</formula>
    </cfRule>
  </conditionalFormatting>
  <conditionalFormatting sqref="C142">
    <cfRule type="cellIs" dxfId="289" priority="271" stopIfTrue="1" operator="equal">
      <formula>"Towel"</formula>
    </cfRule>
    <cfRule type="cellIs" dxfId="288" priority="272" stopIfTrue="1" operator="equal">
      <formula>"Napkin Hs"</formula>
    </cfRule>
  </conditionalFormatting>
  <conditionalFormatting sqref="C142">
    <cfRule type="cellIs" dxfId="287" priority="273" stopIfTrue="1" operator="equal">
      <formula>"Towel"</formula>
    </cfRule>
    <cfRule type="cellIs" dxfId="286" priority="274" stopIfTrue="1" operator="equal">
      <formula>"Napkin Hs"</formula>
    </cfRule>
  </conditionalFormatting>
  <conditionalFormatting sqref="C142">
    <cfRule type="cellIs" dxfId="285" priority="275" stopIfTrue="1" operator="equal">
      <formula>"Towel"</formula>
    </cfRule>
    <cfRule type="cellIs" dxfId="284" priority="276" stopIfTrue="1" operator="equal">
      <formula>"Napkin Hs"</formula>
    </cfRule>
  </conditionalFormatting>
  <conditionalFormatting sqref="C142">
    <cfRule type="cellIs" dxfId="283" priority="287" stopIfTrue="1" operator="equal">
      <formula>"Towel"</formula>
    </cfRule>
    <cfRule type="cellIs" dxfId="282" priority="288" stopIfTrue="1" operator="equal">
      <formula>"Napkin Hs"</formula>
    </cfRule>
  </conditionalFormatting>
  <conditionalFormatting sqref="C142">
    <cfRule type="cellIs" dxfId="281" priority="285" stopIfTrue="1" operator="equal">
      <formula>"Towel"</formula>
    </cfRule>
    <cfRule type="cellIs" dxfId="280" priority="286" stopIfTrue="1" operator="equal">
      <formula>"Napkin Hs"</formula>
    </cfRule>
  </conditionalFormatting>
  <conditionalFormatting sqref="C142">
    <cfRule type="cellIs" dxfId="279" priority="283" stopIfTrue="1" operator="equal">
      <formula>"Towel"</formula>
    </cfRule>
    <cfRule type="cellIs" dxfId="278" priority="284" stopIfTrue="1" operator="equal">
      <formula>"Napkin Hs"</formula>
    </cfRule>
  </conditionalFormatting>
  <conditionalFormatting sqref="B142">
    <cfRule type="cellIs" dxfId="277" priority="263" stopIfTrue="1" operator="equal">
      <formula>"Towel"</formula>
    </cfRule>
    <cfRule type="cellIs" dxfId="276" priority="264" stopIfTrue="1" operator="equal">
      <formula>"Napkin Hs"</formula>
    </cfRule>
  </conditionalFormatting>
  <conditionalFormatting sqref="B142">
    <cfRule type="cellIs" dxfId="275" priority="261" stopIfTrue="1" operator="equal">
      <formula>"Towel"</formula>
    </cfRule>
    <cfRule type="cellIs" dxfId="274" priority="262" stopIfTrue="1" operator="equal">
      <formula>"Napkin Hs"</formula>
    </cfRule>
  </conditionalFormatting>
  <conditionalFormatting sqref="B142">
    <cfRule type="cellIs" dxfId="273" priority="259" stopIfTrue="1" operator="equal">
      <formula>"Towel"</formula>
    </cfRule>
    <cfRule type="cellIs" dxfId="272" priority="260" stopIfTrue="1" operator="equal">
      <formula>"Napkin Hs"</formula>
    </cfRule>
  </conditionalFormatting>
  <conditionalFormatting sqref="C142">
    <cfRule type="cellIs" dxfId="271" priority="269" stopIfTrue="1" operator="equal">
      <formula>"Towel"</formula>
    </cfRule>
    <cfRule type="cellIs" dxfId="270" priority="270" stopIfTrue="1" operator="equal">
      <formula>"Napkin Hs"</formula>
    </cfRule>
  </conditionalFormatting>
  <conditionalFormatting sqref="C142">
    <cfRule type="cellIs" dxfId="269" priority="267" stopIfTrue="1" operator="equal">
      <formula>"Towel"</formula>
    </cfRule>
    <cfRule type="cellIs" dxfId="268" priority="268" stopIfTrue="1" operator="equal">
      <formula>"Napkin Hs"</formula>
    </cfRule>
  </conditionalFormatting>
  <conditionalFormatting sqref="B142">
    <cfRule type="cellIs" dxfId="267" priority="265" stopIfTrue="1" operator="equal">
      <formula>"Towel"</formula>
    </cfRule>
    <cfRule type="cellIs" dxfId="266" priority="266" stopIfTrue="1" operator="equal">
      <formula>"Napkin Hs"</formula>
    </cfRule>
  </conditionalFormatting>
  <conditionalFormatting sqref="C142">
    <cfRule type="cellIs" dxfId="265" priority="251" stopIfTrue="1" operator="equal">
      <formula>"Towel"</formula>
    </cfRule>
    <cfRule type="cellIs" dxfId="264" priority="252" stopIfTrue="1" operator="equal">
      <formula>"Napkin Hs"</formula>
    </cfRule>
  </conditionalFormatting>
  <conditionalFormatting sqref="B142:C142">
    <cfRule type="cellIs" dxfId="263" priority="253" stopIfTrue="1" operator="equal">
      <formula>"Towel"</formula>
    </cfRule>
    <cfRule type="cellIs" dxfId="262" priority="254" stopIfTrue="1" operator="equal">
      <formula>"Napkin Hs"</formula>
    </cfRule>
  </conditionalFormatting>
  <conditionalFormatting sqref="C142">
    <cfRule type="cellIs" dxfId="261" priority="249" stopIfTrue="1" operator="equal">
      <formula>"Towel"</formula>
    </cfRule>
    <cfRule type="cellIs" dxfId="260" priority="250" stopIfTrue="1" operator="equal">
      <formula>"Napkin Hs"</formula>
    </cfRule>
  </conditionalFormatting>
  <conditionalFormatting sqref="B142:C142">
    <cfRule type="cellIs" dxfId="259" priority="247" stopIfTrue="1" operator="equal">
      <formula>"Towel"</formula>
    </cfRule>
    <cfRule type="cellIs" dxfId="258" priority="248" stopIfTrue="1" operator="equal">
      <formula>"Napkin Hs"</formula>
    </cfRule>
  </conditionalFormatting>
  <conditionalFormatting sqref="C142">
    <cfRule type="cellIs" dxfId="257" priority="255" stopIfTrue="1" operator="equal">
      <formula>"Towel"</formula>
    </cfRule>
    <cfRule type="cellIs" dxfId="256" priority="256" stopIfTrue="1" operator="equal">
      <formula>"Napkin Hs"</formula>
    </cfRule>
  </conditionalFormatting>
  <conditionalFormatting sqref="C142">
    <cfRule type="cellIs" dxfId="255" priority="257" stopIfTrue="1" operator="equal">
      <formula>"Towel"</formula>
    </cfRule>
    <cfRule type="cellIs" dxfId="254" priority="258" stopIfTrue="1" operator="equal">
      <formula>"Napkin Hs"</formula>
    </cfRule>
  </conditionalFormatting>
  <conditionalFormatting sqref="B142:C142">
    <cfRule type="cellIs" dxfId="253" priority="245" stopIfTrue="1" operator="equal">
      <formula>"Towel"</formula>
    </cfRule>
    <cfRule type="cellIs" dxfId="252" priority="246" stopIfTrue="1" operator="equal">
      <formula>"Napkin Hs"</formula>
    </cfRule>
  </conditionalFormatting>
  <conditionalFormatting sqref="C142">
    <cfRule type="cellIs" dxfId="251" priority="244" stopIfTrue="1" operator="equal">
      <formula>"Napkin Hs"</formula>
    </cfRule>
  </conditionalFormatting>
  <conditionalFormatting sqref="C142">
    <cfRule type="cellIs" dxfId="250" priority="241" stopIfTrue="1" operator="equal">
      <formula>"Towel"</formula>
    </cfRule>
    <cfRule type="cellIs" dxfId="249" priority="242" stopIfTrue="1" operator="equal">
      <formula>"Napkin Hs"</formula>
    </cfRule>
  </conditionalFormatting>
  <conditionalFormatting sqref="C142">
    <cfRule type="cellIs" dxfId="248" priority="243" stopIfTrue="1" operator="equal">
      <formula>"Towel"</formula>
    </cfRule>
  </conditionalFormatting>
  <conditionalFormatting sqref="B146:C146">
    <cfRule type="cellIs" dxfId="247" priority="239" stopIfTrue="1" operator="equal">
      <formula>"Towel"</formula>
    </cfRule>
    <cfRule type="cellIs" dxfId="246" priority="240" stopIfTrue="1" operator="equal">
      <formula>"Napkin Hs"</formula>
    </cfRule>
  </conditionalFormatting>
  <conditionalFormatting sqref="C146">
    <cfRule type="cellIs" dxfId="245" priority="238" stopIfTrue="1" operator="equal">
      <formula>"Napkin Hs"</formula>
    </cfRule>
  </conditionalFormatting>
  <conditionalFormatting sqref="C146">
    <cfRule type="cellIs" dxfId="244" priority="235" stopIfTrue="1" operator="equal">
      <formula>"Towel"</formula>
    </cfRule>
    <cfRule type="cellIs" dxfId="243" priority="236" stopIfTrue="1" operator="equal">
      <formula>"Napkin Hs"</formula>
    </cfRule>
  </conditionalFormatting>
  <conditionalFormatting sqref="C146">
    <cfRule type="cellIs" dxfId="242" priority="237" stopIfTrue="1" operator="equal">
      <formula>"Towel"</formula>
    </cfRule>
  </conditionalFormatting>
  <conditionalFormatting sqref="B150:C151">
    <cfRule type="cellIs" dxfId="241" priority="233" stopIfTrue="1" operator="equal">
      <formula>"Towel"</formula>
    </cfRule>
    <cfRule type="cellIs" dxfId="240" priority="234" stopIfTrue="1" operator="equal">
      <formula>"Napkin Hs"</formula>
    </cfRule>
  </conditionalFormatting>
  <conditionalFormatting sqref="C150:C151">
    <cfRule type="cellIs" dxfId="239" priority="232" stopIfTrue="1" operator="equal">
      <formula>"Napkin Hs"</formula>
    </cfRule>
  </conditionalFormatting>
  <conditionalFormatting sqref="C150:C151">
    <cfRule type="cellIs" dxfId="238" priority="229" stopIfTrue="1" operator="equal">
      <formula>"Towel"</formula>
    </cfRule>
    <cfRule type="cellIs" dxfId="237" priority="230" stopIfTrue="1" operator="equal">
      <formula>"Napkin Hs"</formula>
    </cfRule>
  </conditionalFormatting>
  <conditionalFormatting sqref="C150:C151">
    <cfRule type="cellIs" dxfId="236" priority="231" stopIfTrue="1" operator="equal">
      <formula>"Towel"</formula>
    </cfRule>
  </conditionalFormatting>
  <conditionalFormatting sqref="B150:C150">
    <cfRule type="cellIs" dxfId="235" priority="227" stopIfTrue="1" operator="equal">
      <formula>"Towel"</formula>
    </cfRule>
    <cfRule type="cellIs" dxfId="234" priority="228" stopIfTrue="1" operator="equal">
      <formula>"Napkin Hs"</formula>
    </cfRule>
  </conditionalFormatting>
  <conditionalFormatting sqref="C150">
    <cfRule type="cellIs" dxfId="233" priority="226" stopIfTrue="1" operator="equal">
      <formula>"Napkin Hs"</formula>
    </cfRule>
  </conditionalFormatting>
  <conditionalFormatting sqref="C150">
    <cfRule type="cellIs" dxfId="232" priority="223" stopIfTrue="1" operator="equal">
      <formula>"Towel"</formula>
    </cfRule>
    <cfRule type="cellIs" dxfId="231" priority="224" stopIfTrue="1" operator="equal">
      <formula>"Napkin Hs"</formula>
    </cfRule>
  </conditionalFormatting>
  <conditionalFormatting sqref="C150">
    <cfRule type="cellIs" dxfId="230" priority="225" stopIfTrue="1" operator="equal">
      <formula>"Towel"</formula>
    </cfRule>
  </conditionalFormatting>
  <conditionalFormatting sqref="C149">
    <cfRule type="cellIs" dxfId="229" priority="215" stopIfTrue="1" operator="equal">
      <formula>"Towel"</formula>
    </cfRule>
    <cfRule type="cellIs" dxfId="228" priority="216" stopIfTrue="1" operator="equal">
      <formula>"Napkin Hs"</formula>
    </cfRule>
  </conditionalFormatting>
  <conditionalFormatting sqref="B149:C149">
    <cfRule type="cellIs" dxfId="227" priority="217" stopIfTrue="1" operator="equal">
      <formula>"Towel"</formula>
    </cfRule>
    <cfRule type="cellIs" dxfId="226" priority="218" stopIfTrue="1" operator="equal">
      <formula>"Napkin Hs"</formula>
    </cfRule>
  </conditionalFormatting>
  <conditionalFormatting sqref="C149">
    <cfRule type="cellIs" dxfId="225" priority="213" stopIfTrue="1" operator="equal">
      <formula>"Towel"</formula>
    </cfRule>
    <cfRule type="cellIs" dxfId="224" priority="214" stopIfTrue="1" operator="equal">
      <formula>"Napkin Hs"</formula>
    </cfRule>
  </conditionalFormatting>
  <conditionalFormatting sqref="B149:C149">
    <cfRule type="cellIs" dxfId="223" priority="211" stopIfTrue="1" operator="equal">
      <formula>"Towel"</formula>
    </cfRule>
    <cfRule type="cellIs" dxfId="222" priority="212" stopIfTrue="1" operator="equal">
      <formula>"Napkin Hs"</formula>
    </cfRule>
  </conditionalFormatting>
  <conditionalFormatting sqref="C149">
    <cfRule type="cellIs" dxfId="221" priority="219" stopIfTrue="1" operator="equal">
      <formula>"Towel"</formula>
    </cfRule>
    <cfRule type="cellIs" dxfId="220" priority="220" stopIfTrue="1" operator="equal">
      <formula>"Napkin Hs"</formula>
    </cfRule>
  </conditionalFormatting>
  <conditionalFormatting sqref="C149">
    <cfRule type="cellIs" dxfId="219" priority="221" stopIfTrue="1" operator="equal">
      <formula>"Towel"</formula>
    </cfRule>
    <cfRule type="cellIs" dxfId="218" priority="222" stopIfTrue="1" operator="equal">
      <formula>"Napkin Hs"</formula>
    </cfRule>
  </conditionalFormatting>
  <conditionalFormatting sqref="B149:C149">
    <cfRule type="cellIs" dxfId="217" priority="209" stopIfTrue="1" operator="equal">
      <formula>"Towel"</formula>
    </cfRule>
    <cfRule type="cellIs" dxfId="216" priority="210" stopIfTrue="1" operator="equal">
      <formula>"Napkin Hs"</formula>
    </cfRule>
  </conditionalFormatting>
  <conditionalFormatting sqref="C149">
    <cfRule type="cellIs" dxfId="215" priority="208" stopIfTrue="1" operator="equal">
      <formula>"Napkin Hs"</formula>
    </cfRule>
  </conditionalFormatting>
  <conditionalFormatting sqref="C149">
    <cfRule type="cellIs" dxfId="214" priority="205" stopIfTrue="1" operator="equal">
      <formula>"Towel"</formula>
    </cfRule>
    <cfRule type="cellIs" dxfId="213" priority="206" stopIfTrue="1" operator="equal">
      <formula>"Napkin Hs"</formula>
    </cfRule>
  </conditionalFormatting>
  <conditionalFormatting sqref="C149">
    <cfRule type="cellIs" dxfId="212" priority="207" stopIfTrue="1" operator="equal">
      <formula>"Towel"</formula>
    </cfRule>
  </conditionalFormatting>
  <conditionalFormatting sqref="B149:C149">
    <cfRule type="cellIs" dxfId="211" priority="203" stopIfTrue="1" operator="equal">
      <formula>"Towel"</formula>
    </cfRule>
    <cfRule type="cellIs" dxfId="210" priority="204" stopIfTrue="1" operator="equal">
      <formula>"Napkin Hs"</formula>
    </cfRule>
  </conditionalFormatting>
  <conditionalFormatting sqref="C149">
    <cfRule type="cellIs" dxfId="209" priority="202" stopIfTrue="1" operator="equal">
      <formula>"Napkin Hs"</formula>
    </cfRule>
  </conditionalFormatting>
  <conditionalFormatting sqref="C149">
    <cfRule type="cellIs" dxfId="208" priority="199" stopIfTrue="1" operator="equal">
      <formula>"Towel"</formula>
    </cfRule>
    <cfRule type="cellIs" dxfId="207" priority="200" stopIfTrue="1" operator="equal">
      <formula>"Napkin Hs"</formula>
    </cfRule>
  </conditionalFormatting>
  <conditionalFormatting sqref="C149">
    <cfRule type="cellIs" dxfId="206" priority="201" stopIfTrue="1" operator="equal">
      <formula>"Towel"</formula>
    </cfRule>
  </conditionalFormatting>
  <conditionalFormatting sqref="C148">
    <cfRule type="cellIs" dxfId="205" priority="197" stopIfTrue="1" operator="equal">
      <formula>"Towel"</formula>
    </cfRule>
    <cfRule type="cellIs" dxfId="204" priority="198" stopIfTrue="1" operator="equal">
      <formula>"Napkin Hs"</formula>
    </cfRule>
  </conditionalFormatting>
  <conditionalFormatting sqref="C148">
    <cfRule type="cellIs" dxfId="203" priority="189" stopIfTrue="1" operator="equal">
      <formula>"Towel"</formula>
    </cfRule>
    <cfRule type="cellIs" dxfId="202" priority="190" stopIfTrue="1" operator="equal">
      <formula>"Napkin Hs"</formula>
    </cfRule>
  </conditionalFormatting>
  <conditionalFormatting sqref="C148">
    <cfRule type="cellIs" dxfId="201" priority="187" stopIfTrue="1" operator="equal">
      <formula>"Towel"</formula>
    </cfRule>
    <cfRule type="cellIs" dxfId="200" priority="188" stopIfTrue="1" operator="equal">
      <formula>"Napkin Hs"</formula>
    </cfRule>
  </conditionalFormatting>
  <conditionalFormatting sqref="C148">
    <cfRule type="cellIs" dxfId="199" priority="185" stopIfTrue="1" operator="equal">
      <formula>"Towel"</formula>
    </cfRule>
    <cfRule type="cellIs" dxfId="198" priority="186" stopIfTrue="1" operator="equal">
      <formula>"Napkin Hs"</formula>
    </cfRule>
  </conditionalFormatting>
  <conditionalFormatting sqref="C148">
    <cfRule type="cellIs" dxfId="197" priority="179" stopIfTrue="1" operator="equal">
      <formula>"Towel"</formula>
    </cfRule>
    <cfRule type="cellIs" dxfId="196" priority="180" stopIfTrue="1" operator="equal">
      <formula>"Napkin Hs"</formula>
    </cfRule>
  </conditionalFormatting>
  <conditionalFormatting sqref="C148">
    <cfRule type="cellIs" dxfId="195" priority="181" stopIfTrue="1" operator="equal">
      <formula>"Towel"</formula>
    </cfRule>
    <cfRule type="cellIs" dxfId="194" priority="182" stopIfTrue="1" operator="equal">
      <formula>"Napkin Hs"</formula>
    </cfRule>
  </conditionalFormatting>
  <conditionalFormatting sqref="C148">
    <cfRule type="cellIs" dxfId="193" priority="183" stopIfTrue="1" operator="equal">
      <formula>"Towel"</formula>
    </cfRule>
    <cfRule type="cellIs" dxfId="192" priority="184" stopIfTrue="1" operator="equal">
      <formula>"Napkin Hs"</formula>
    </cfRule>
  </conditionalFormatting>
  <conditionalFormatting sqref="C148">
    <cfRule type="cellIs" dxfId="191" priority="195" stopIfTrue="1" operator="equal">
      <formula>"Towel"</formula>
    </cfRule>
    <cfRule type="cellIs" dxfId="190" priority="196" stopIfTrue="1" operator="equal">
      <formula>"Napkin Hs"</formula>
    </cfRule>
  </conditionalFormatting>
  <conditionalFormatting sqref="C148">
    <cfRule type="cellIs" dxfId="189" priority="193" stopIfTrue="1" operator="equal">
      <formula>"Towel"</formula>
    </cfRule>
    <cfRule type="cellIs" dxfId="188" priority="194" stopIfTrue="1" operator="equal">
      <formula>"Napkin Hs"</formula>
    </cfRule>
  </conditionalFormatting>
  <conditionalFormatting sqref="C148">
    <cfRule type="cellIs" dxfId="187" priority="191" stopIfTrue="1" operator="equal">
      <formula>"Towel"</formula>
    </cfRule>
    <cfRule type="cellIs" dxfId="186" priority="192" stopIfTrue="1" operator="equal">
      <formula>"Napkin Hs"</formula>
    </cfRule>
  </conditionalFormatting>
  <conditionalFormatting sqref="B148">
    <cfRule type="cellIs" dxfId="185" priority="171" stopIfTrue="1" operator="equal">
      <formula>"Towel"</formula>
    </cfRule>
    <cfRule type="cellIs" dxfId="184" priority="172" stopIfTrue="1" operator="equal">
      <formula>"Napkin Hs"</formula>
    </cfRule>
  </conditionalFormatting>
  <conditionalFormatting sqref="B148">
    <cfRule type="cellIs" dxfId="183" priority="169" stopIfTrue="1" operator="equal">
      <formula>"Towel"</formula>
    </cfRule>
    <cfRule type="cellIs" dxfId="182" priority="170" stopIfTrue="1" operator="equal">
      <formula>"Napkin Hs"</formula>
    </cfRule>
  </conditionalFormatting>
  <conditionalFormatting sqref="B148">
    <cfRule type="cellIs" dxfId="181" priority="167" stopIfTrue="1" operator="equal">
      <formula>"Towel"</formula>
    </cfRule>
    <cfRule type="cellIs" dxfId="180" priority="168" stopIfTrue="1" operator="equal">
      <formula>"Napkin Hs"</formula>
    </cfRule>
  </conditionalFormatting>
  <conditionalFormatting sqref="C148">
    <cfRule type="cellIs" dxfId="179" priority="177" stopIfTrue="1" operator="equal">
      <formula>"Towel"</formula>
    </cfRule>
    <cfRule type="cellIs" dxfId="178" priority="178" stopIfTrue="1" operator="equal">
      <formula>"Napkin Hs"</formula>
    </cfRule>
  </conditionalFormatting>
  <conditionalFormatting sqref="C148">
    <cfRule type="cellIs" dxfId="177" priority="175" stopIfTrue="1" operator="equal">
      <formula>"Towel"</formula>
    </cfRule>
    <cfRule type="cellIs" dxfId="176" priority="176" stopIfTrue="1" operator="equal">
      <formula>"Napkin Hs"</formula>
    </cfRule>
  </conditionalFormatting>
  <conditionalFormatting sqref="B148">
    <cfRule type="cellIs" dxfId="175" priority="173" stopIfTrue="1" operator="equal">
      <formula>"Towel"</formula>
    </cfRule>
    <cfRule type="cellIs" dxfId="174" priority="174" stopIfTrue="1" operator="equal">
      <formula>"Napkin Hs"</formula>
    </cfRule>
  </conditionalFormatting>
  <conditionalFormatting sqref="C148">
    <cfRule type="cellIs" dxfId="173" priority="159" stopIfTrue="1" operator="equal">
      <formula>"Towel"</formula>
    </cfRule>
    <cfRule type="cellIs" dxfId="172" priority="160" stopIfTrue="1" operator="equal">
      <formula>"Napkin Hs"</formula>
    </cfRule>
  </conditionalFormatting>
  <conditionalFormatting sqref="B148:C148">
    <cfRule type="cellIs" dxfId="171" priority="161" stopIfTrue="1" operator="equal">
      <formula>"Towel"</formula>
    </cfRule>
    <cfRule type="cellIs" dxfId="170" priority="162" stopIfTrue="1" operator="equal">
      <formula>"Napkin Hs"</formula>
    </cfRule>
  </conditionalFormatting>
  <conditionalFormatting sqref="C148">
    <cfRule type="cellIs" dxfId="169" priority="157" stopIfTrue="1" operator="equal">
      <formula>"Towel"</formula>
    </cfRule>
    <cfRule type="cellIs" dxfId="168" priority="158" stopIfTrue="1" operator="equal">
      <formula>"Napkin Hs"</formula>
    </cfRule>
  </conditionalFormatting>
  <conditionalFormatting sqref="B148:C148">
    <cfRule type="cellIs" dxfId="167" priority="155" stopIfTrue="1" operator="equal">
      <formula>"Towel"</formula>
    </cfRule>
    <cfRule type="cellIs" dxfId="166" priority="156" stopIfTrue="1" operator="equal">
      <formula>"Napkin Hs"</formula>
    </cfRule>
  </conditionalFormatting>
  <conditionalFormatting sqref="C148">
    <cfRule type="cellIs" dxfId="165" priority="163" stopIfTrue="1" operator="equal">
      <formula>"Towel"</formula>
    </cfRule>
    <cfRule type="cellIs" dxfId="164" priority="164" stopIfTrue="1" operator="equal">
      <formula>"Napkin Hs"</formula>
    </cfRule>
  </conditionalFormatting>
  <conditionalFormatting sqref="C148">
    <cfRule type="cellIs" dxfId="163" priority="165" stopIfTrue="1" operator="equal">
      <formula>"Towel"</formula>
    </cfRule>
    <cfRule type="cellIs" dxfId="162" priority="166" stopIfTrue="1" operator="equal">
      <formula>"Napkin Hs"</formula>
    </cfRule>
  </conditionalFormatting>
  <conditionalFormatting sqref="B148:C148">
    <cfRule type="cellIs" dxfId="161" priority="153" stopIfTrue="1" operator="equal">
      <formula>"Towel"</formula>
    </cfRule>
    <cfRule type="cellIs" dxfId="160" priority="154" stopIfTrue="1" operator="equal">
      <formula>"Napkin Hs"</formula>
    </cfRule>
  </conditionalFormatting>
  <conditionalFormatting sqref="C148">
    <cfRule type="cellIs" dxfId="159" priority="152" stopIfTrue="1" operator="equal">
      <formula>"Napkin Hs"</formula>
    </cfRule>
  </conditionalFormatting>
  <conditionalFormatting sqref="C148">
    <cfRule type="cellIs" dxfId="158" priority="149" stopIfTrue="1" operator="equal">
      <formula>"Towel"</formula>
    </cfRule>
    <cfRule type="cellIs" dxfId="157" priority="150" stopIfTrue="1" operator="equal">
      <formula>"Napkin Hs"</formula>
    </cfRule>
  </conditionalFormatting>
  <conditionalFormatting sqref="C148">
    <cfRule type="cellIs" dxfId="156" priority="151" stopIfTrue="1" operator="equal">
      <formula>"Towel"</formula>
    </cfRule>
  </conditionalFormatting>
  <conditionalFormatting sqref="B155:C156">
    <cfRule type="cellIs" dxfId="155" priority="147" stopIfTrue="1" operator="equal">
      <formula>"Towel"</formula>
    </cfRule>
    <cfRule type="cellIs" dxfId="154" priority="148" stopIfTrue="1" operator="equal">
      <formula>"Napkin Hs"</formula>
    </cfRule>
  </conditionalFormatting>
  <conditionalFormatting sqref="C155:C156">
    <cfRule type="cellIs" dxfId="153" priority="146" stopIfTrue="1" operator="equal">
      <formula>"Napkin Hs"</formula>
    </cfRule>
  </conditionalFormatting>
  <conditionalFormatting sqref="C155:C156">
    <cfRule type="cellIs" dxfId="152" priority="143" stopIfTrue="1" operator="equal">
      <formula>"Towel"</formula>
    </cfRule>
    <cfRule type="cellIs" dxfId="151" priority="144" stopIfTrue="1" operator="equal">
      <formula>"Napkin Hs"</formula>
    </cfRule>
  </conditionalFormatting>
  <conditionalFormatting sqref="C155:C156">
    <cfRule type="cellIs" dxfId="150" priority="145" stopIfTrue="1" operator="equal">
      <formula>"Towel"</formula>
    </cfRule>
  </conditionalFormatting>
  <conditionalFormatting sqref="B155:C155">
    <cfRule type="cellIs" dxfId="149" priority="141" stopIfTrue="1" operator="equal">
      <formula>"Towel"</formula>
    </cfRule>
    <cfRule type="cellIs" dxfId="148" priority="142" stopIfTrue="1" operator="equal">
      <formula>"Napkin Hs"</formula>
    </cfRule>
  </conditionalFormatting>
  <conditionalFormatting sqref="C155">
    <cfRule type="cellIs" dxfId="147" priority="140" stopIfTrue="1" operator="equal">
      <formula>"Napkin Hs"</formula>
    </cfRule>
  </conditionalFormatting>
  <conditionalFormatting sqref="C155">
    <cfRule type="cellIs" dxfId="146" priority="137" stopIfTrue="1" operator="equal">
      <formula>"Towel"</formula>
    </cfRule>
    <cfRule type="cellIs" dxfId="145" priority="138" stopIfTrue="1" operator="equal">
      <formula>"Napkin Hs"</formula>
    </cfRule>
  </conditionalFormatting>
  <conditionalFormatting sqref="C155">
    <cfRule type="cellIs" dxfId="144" priority="139" stopIfTrue="1" operator="equal">
      <formula>"Towel"</formula>
    </cfRule>
  </conditionalFormatting>
  <conditionalFormatting sqref="C154">
    <cfRule type="cellIs" dxfId="143" priority="129" stopIfTrue="1" operator="equal">
      <formula>"Towel"</formula>
    </cfRule>
    <cfRule type="cellIs" dxfId="142" priority="130" stopIfTrue="1" operator="equal">
      <formula>"Napkin Hs"</formula>
    </cfRule>
  </conditionalFormatting>
  <conditionalFormatting sqref="B154:C154">
    <cfRule type="cellIs" dxfId="141" priority="131" stopIfTrue="1" operator="equal">
      <formula>"Towel"</formula>
    </cfRule>
    <cfRule type="cellIs" dxfId="140" priority="132" stopIfTrue="1" operator="equal">
      <formula>"Napkin Hs"</formula>
    </cfRule>
  </conditionalFormatting>
  <conditionalFormatting sqref="C154">
    <cfRule type="cellIs" dxfId="139" priority="127" stopIfTrue="1" operator="equal">
      <formula>"Towel"</formula>
    </cfRule>
    <cfRule type="cellIs" dxfId="138" priority="128" stopIfTrue="1" operator="equal">
      <formula>"Napkin Hs"</formula>
    </cfRule>
  </conditionalFormatting>
  <conditionalFormatting sqref="B154:C154">
    <cfRule type="cellIs" dxfId="137" priority="125" stopIfTrue="1" operator="equal">
      <formula>"Towel"</formula>
    </cfRule>
    <cfRule type="cellIs" dxfId="136" priority="126" stopIfTrue="1" operator="equal">
      <formula>"Napkin Hs"</formula>
    </cfRule>
  </conditionalFormatting>
  <conditionalFormatting sqref="C154">
    <cfRule type="cellIs" dxfId="135" priority="133" stopIfTrue="1" operator="equal">
      <formula>"Towel"</formula>
    </cfRule>
    <cfRule type="cellIs" dxfId="134" priority="134" stopIfTrue="1" operator="equal">
      <formula>"Napkin Hs"</formula>
    </cfRule>
  </conditionalFormatting>
  <conditionalFormatting sqref="C154">
    <cfRule type="cellIs" dxfId="133" priority="135" stopIfTrue="1" operator="equal">
      <formula>"Towel"</formula>
    </cfRule>
    <cfRule type="cellIs" dxfId="132" priority="136" stopIfTrue="1" operator="equal">
      <formula>"Napkin Hs"</formula>
    </cfRule>
  </conditionalFormatting>
  <conditionalFormatting sqref="B154:C154">
    <cfRule type="cellIs" dxfId="131" priority="123" stopIfTrue="1" operator="equal">
      <formula>"Towel"</formula>
    </cfRule>
    <cfRule type="cellIs" dxfId="130" priority="124" stopIfTrue="1" operator="equal">
      <formula>"Napkin Hs"</formula>
    </cfRule>
  </conditionalFormatting>
  <conditionalFormatting sqref="C154">
    <cfRule type="cellIs" dxfId="129" priority="122" stopIfTrue="1" operator="equal">
      <formula>"Napkin Hs"</formula>
    </cfRule>
  </conditionalFormatting>
  <conditionalFormatting sqref="C154">
    <cfRule type="cellIs" dxfId="128" priority="119" stopIfTrue="1" operator="equal">
      <formula>"Towel"</formula>
    </cfRule>
    <cfRule type="cellIs" dxfId="127" priority="120" stopIfTrue="1" operator="equal">
      <formula>"Napkin Hs"</formula>
    </cfRule>
  </conditionalFormatting>
  <conditionalFormatting sqref="C154">
    <cfRule type="cellIs" dxfId="126" priority="121" stopIfTrue="1" operator="equal">
      <formula>"Towel"</formula>
    </cfRule>
  </conditionalFormatting>
  <conditionalFormatting sqref="B154:C154">
    <cfRule type="cellIs" dxfId="125" priority="117" stopIfTrue="1" operator="equal">
      <formula>"Towel"</formula>
    </cfRule>
    <cfRule type="cellIs" dxfId="124" priority="118" stopIfTrue="1" operator="equal">
      <formula>"Napkin Hs"</formula>
    </cfRule>
  </conditionalFormatting>
  <conditionalFormatting sqref="C154">
    <cfRule type="cellIs" dxfId="123" priority="116" stopIfTrue="1" operator="equal">
      <formula>"Napkin Hs"</formula>
    </cfRule>
  </conditionalFormatting>
  <conditionalFormatting sqref="C154">
    <cfRule type="cellIs" dxfId="122" priority="113" stopIfTrue="1" operator="equal">
      <formula>"Towel"</formula>
    </cfRule>
    <cfRule type="cellIs" dxfId="121" priority="114" stopIfTrue="1" operator="equal">
      <formula>"Napkin Hs"</formula>
    </cfRule>
  </conditionalFormatting>
  <conditionalFormatting sqref="C154">
    <cfRule type="cellIs" dxfId="120" priority="115" stopIfTrue="1" operator="equal">
      <formula>"Towel"</formula>
    </cfRule>
  </conditionalFormatting>
  <conditionalFormatting sqref="C153">
    <cfRule type="cellIs" dxfId="119" priority="111" stopIfTrue="1" operator="equal">
      <formula>"Towel"</formula>
    </cfRule>
    <cfRule type="cellIs" dxfId="118" priority="112" stopIfTrue="1" operator="equal">
      <formula>"Napkin Hs"</formula>
    </cfRule>
  </conditionalFormatting>
  <conditionalFormatting sqref="C153">
    <cfRule type="cellIs" dxfId="117" priority="103" stopIfTrue="1" operator="equal">
      <formula>"Towel"</formula>
    </cfRule>
    <cfRule type="cellIs" dxfId="116" priority="104" stopIfTrue="1" operator="equal">
      <formula>"Napkin Hs"</formula>
    </cfRule>
  </conditionalFormatting>
  <conditionalFormatting sqref="C153">
    <cfRule type="cellIs" dxfId="115" priority="101" stopIfTrue="1" operator="equal">
      <formula>"Towel"</formula>
    </cfRule>
    <cfRule type="cellIs" dxfId="114" priority="102" stopIfTrue="1" operator="equal">
      <formula>"Napkin Hs"</formula>
    </cfRule>
  </conditionalFormatting>
  <conditionalFormatting sqref="C153">
    <cfRule type="cellIs" dxfId="113" priority="99" stopIfTrue="1" operator="equal">
      <formula>"Towel"</formula>
    </cfRule>
    <cfRule type="cellIs" dxfId="112" priority="100" stopIfTrue="1" operator="equal">
      <formula>"Napkin Hs"</formula>
    </cfRule>
  </conditionalFormatting>
  <conditionalFormatting sqref="C153">
    <cfRule type="cellIs" dxfId="111" priority="93" stopIfTrue="1" operator="equal">
      <formula>"Towel"</formula>
    </cfRule>
    <cfRule type="cellIs" dxfId="110" priority="94" stopIfTrue="1" operator="equal">
      <formula>"Napkin Hs"</formula>
    </cfRule>
  </conditionalFormatting>
  <conditionalFormatting sqref="C153">
    <cfRule type="cellIs" dxfId="109" priority="95" stopIfTrue="1" operator="equal">
      <formula>"Towel"</formula>
    </cfRule>
    <cfRule type="cellIs" dxfId="108" priority="96" stopIfTrue="1" operator="equal">
      <formula>"Napkin Hs"</formula>
    </cfRule>
  </conditionalFormatting>
  <conditionalFormatting sqref="C153">
    <cfRule type="cellIs" dxfId="107" priority="97" stopIfTrue="1" operator="equal">
      <formula>"Towel"</formula>
    </cfRule>
    <cfRule type="cellIs" dxfId="106" priority="98" stopIfTrue="1" operator="equal">
      <formula>"Napkin Hs"</formula>
    </cfRule>
  </conditionalFormatting>
  <conditionalFormatting sqref="C153">
    <cfRule type="cellIs" dxfId="105" priority="109" stopIfTrue="1" operator="equal">
      <formula>"Towel"</formula>
    </cfRule>
    <cfRule type="cellIs" dxfId="104" priority="110" stopIfTrue="1" operator="equal">
      <formula>"Napkin Hs"</formula>
    </cfRule>
  </conditionalFormatting>
  <conditionalFormatting sqref="C153">
    <cfRule type="cellIs" dxfId="103" priority="107" stopIfTrue="1" operator="equal">
      <formula>"Towel"</formula>
    </cfRule>
    <cfRule type="cellIs" dxfId="102" priority="108" stopIfTrue="1" operator="equal">
      <formula>"Napkin Hs"</formula>
    </cfRule>
  </conditionalFormatting>
  <conditionalFormatting sqref="C153">
    <cfRule type="cellIs" dxfId="101" priority="105" stopIfTrue="1" operator="equal">
      <formula>"Towel"</formula>
    </cfRule>
    <cfRule type="cellIs" dxfId="100" priority="106" stopIfTrue="1" operator="equal">
      <formula>"Napkin Hs"</formula>
    </cfRule>
  </conditionalFormatting>
  <conditionalFormatting sqref="B153">
    <cfRule type="cellIs" dxfId="99" priority="85" stopIfTrue="1" operator="equal">
      <formula>"Towel"</formula>
    </cfRule>
    <cfRule type="cellIs" dxfId="98" priority="86" stopIfTrue="1" operator="equal">
      <formula>"Napkin Hs"</formula>
    </cfRule>
  </conditionalFormatting>
  <conditionalFormatting sqref="B153">
    <cfRule type="cellIs" dxfId="97" priority="83" stopIfTrue="1" operator="equal">
      <formula>"Towel"</formula>
    </cfRule>
    <cfRule type="cellIs" dxfId="96" priority="84" stopIfTrue="1" operator="equal">
      <formula>"Napkin Hs"</formula>
    </cfRule>
  </conditionalFormatting>
  <conditionalFormatting sqref="B153">
    <cfRule type="cellIs" dxfId="95" priority="81" stopIfTrue="1" operator="equal">
      <formula>"Towel"</formula>
    </cfRule>
    <cfRule type="cellIs" dxfId="94" priority="82" stopIfTrue="1" operator="equal">
      <formula>"Napkin Hs"</formula>
    </cfRule>
  </conditionalFormatting>
  <conditionalFormatting sqref="C153">
    <cfRule type="cellIs" dxfId="93" priority="91" stopIfTrue="1" operator="equal">
      <formula>"Towel"</formula>
    </cfRule>
    <cfRule type="cellIs" dxfId="92" priority="92" stopIfTrue="1" operator="equal">
      <formula>"Napkin Hs"</formula>
    </cfRule>
  </conditionalFormatting>
  <conditionalFormatting sqref="C153">
    <cfRule type="cellIs" dxfId="91" priority="89" stopIfTrue="1" operator="equal">
      <formula>"Towel"</formula>
    </cfRule>
    <cfRule type="cellIs" dxfId="90" priority="90" stopIfTrue="1" operator="equal">
      <formula>"Napkin Hs"</formula>
    </cfRule>
  </conditionalFormatting>
  <conditionalFormatting sqref="B153">
    <cfRule type="cellIs" dxfId="89" priority="87" stopIfTrue="1" operator="equal">
      <formula>"Towel"</formula>
    </cfRule>
    <cfRule type="cellIs" dxfId="88" priority="88" stopIfTrue="1" operator="equal">
      <formula>"Napkin Hs"</formula>
    </cfRule>
  </conditionalFormatting>
  <conditionalFormatting sqref="C153">
    <cfRule type="cellIs" dxfId="87" priority="73" stopIfTrue="1" operator="equal">
      <formula>"Towel"</formula>
    </cfRule>
    <cfRule type="cellIs" dxfId="86" priority="74" stopIfTrue="1" operator="equal">
      <formula>"Napkin Hs"</formula>
    </cfRule>
  </conditionalFormatting>
  <conditionalFormatting sqref="B153:C153">
    <cfRule type="cellIs" dxfId="85" priority="75" stopIfTrue="1" operator="equal">
      <formula>"Towel"</formula>
    </cfRule>
    <cfRule type="cellIs" dxfId="84" priority="76" stopIfTrue="1" operator="equal">
      <formula>"Napkin Hs"</formula>
    </cfRule>
  </conditionalFormatting>
  <conditionalFormatting sqref="C153">
    <cfRule type="cellIs" dxfId="83" priority="71" stopIfTrue="1" operator="equal">
      <formula>"Towel"</formula>
    </cfRule>
    <cfRule type="cellIs" dxfId="82" priority="72" stopIfTrue="1" operator="equal">
      <formula>"Napkin Hs"</formula>
    </cfRule>
  </conditionalFormatting>
  <conditionalFormatting sqref="B153:C153">
    <cfRule type="cellIs" dxfId="81" priority="69" stopIfTrue="1" operator="equal">
      <formula>"Towel"</formula>
    </cfRule>
    <cfRule type="cellIs" dxfId="80" priority="70" stopIfTrue="1" operator="equal">
      <formula>"Napkin Hs"</formula>
    </cfRule>
  </conditionalFormatting>
  <conditionalFormatting sqref="C153">
    <cfRule type="cellIs" dxfId="79" priority="77" stopIfTrue="1" operator="equal">
      <formula>"Towel"</formula>
    </cfRule>
    <cfRule type="cellIs" dxfId="78" priority="78" stopIfTrue="1" operator="equal">
      <formula>"Napkin Hs"</formula>
    </cfRule>
  </conditionalFormatting>
  <conditionalFormatting sqref="C153">
    <cfRule type="cellIs" dxfId="77" priority="79" stopIfTrue="1" operator="equal">
      <formula>"Towel"</formula>
    </cfRule>
    <cfRule type="cellIs" dxfId="76" priority="80" stopIfTrue="1" operator="equal">
      <formula>"Napkin Hs"</formula>
    </cfRule>
  </conditionalFormatting>
  <conditionalFormatting sqref="B153:C153">
    <cfRule type="cellIs" dxfId="75" priority="67" stopIfTrue="1" operator="equal">
      <formula>"Towel"</formula>
    </cfRule>
    <cfRule type="cellIs" dxfId="74" priority="68" stopIfTrue="1" operator="equal">
      <formula>"Napkin Hs"</formula>
    </cfRule>
  </conditionalFormatting>
  <conditionalFormatting sqref="C153">
    <cfRule type="cellIs" dxfId="73" priority="66" stopIfTrue="1" operator="equal">
      <formula>"Napkin Hs"</formula>
    </cfRule>
  </conditionalFormatting>
  <conditionalFormatting sqref="C153">
    <cfRule type="cellIs" dxfId="72" priority="63" stopIfTrue="1" operator="equal">
      <formula>"Towel"</formula>
    </cfRule>
    <cfRule type="cellIs" dxfId="71" priority="64" stopIfTrue="1" operator="equal">
      <formula>"Napkin Hs"</formula>
    </cfRule>
  </conditionalFormatting>
  <conditionalFormatting sqref="C153">
    <cfRule type="cellIs" dxfId="70" priority="65" stopIfTrue="1" operator="equal">
      <formula>"Towel"</formula>
    </cfRule>
  </conditionalFormatting>
  <conditionalFormatting sqref="B160:C161">
    <cfRule type="cellIs" dxfId="69" priority="61" stopIfTrue="1" operator="equal">
      <formula>"Towel"</formula>
    </cfRule>
    <cfRule type="cellIs" dxfId="68" priority="62" stopIfTrue="1" operator="equal">
      <formula>"Napkin Hs"</formula>
    </cfRule>
  </conditionalFormatting>
  <conditionalFormatting sqref="C160:C161">
    <cfRule type="cellIs" dxfId="67" priority="60" stopIfTrue="1" operator="equal">
      <formula>"Napkin Hs"</formula>
    </cfRule>
  </conditionalFormatting>
  <conditionalFormatting sqref="C160:C161">
    <cfRule type="cellIs" dxfId="66" priority="57" stopIfTrue="1" operator="equal">
      <formula>"Towel"</formula>
    </cfRule>
    <cfRule type="cellIs" dxfId="65" priority="58" stopIfTrue="1" operator="equal">
      <formula>"Napkin Hs"</formula>
    </cfRule>
  </conditionalFormatting>
  <conditionalFormatting sqref="C160:C161">
    <cfRule type="cellIs" dxfId="64" priority="59" stopIfTrue="1" operator="equal">
      <formula>"Towel"</formula>
    </cfRule>
  </conditionalFormatting>
  <conditionalFormatting sqref="B160:C160">
    <cfRule type="cellIs" dxfId="63" priority="55" stopIfTrue="1" operator="equal">
      <formula>"Towel"</formula>
    </cfRule>
    <cfRule type="cellIs" dxfId="62" priority="56" stopIfTrue="1" operator="equal">
      <formula>"Napkin Hs"</formula>
    </cfRule>
  </conditionalFormatting>
  <conditionalFormatting sqref="C160">
    <cfRule type="cellIs" dxfId="61" priority="54" stopIfTrue="1" operator="equal">
      <formula>"Napkin Hs"</formula>
    </cfRule>
  </conditionalFormatting>
  <conditionalFormatting sqref="C160">
    <cfRule type="cellIs" dxfId="60" priority="51" stopIfTrue="1" operator="equal">
      <formula>"Towel"</formula>
    </cfRule>
    <cfRule type="cellIs" dxfId="59" priority="52" stopIfTrue="1" operator="equal">
      <formula>"Napkin Hs"</formula>
    </cfRule>
  </conditionalFormatting>
  <conditionalFormatting sqref="C160">
    <cfRule type="cellIs" dxfId="58" priority="53" stopIfTrue="1" operator="equal">
      <formula>"Towel"</formula>
    </cfRule>
  </conditionalFormatting>
  <conditionalFormatting sqref="C158:C159">
    <cfRule type="cellIs" dxfId="57" priority="49" stopIfTrue="1" operator="equal">
      <formula>"Towel"</formula>
    </cfRule>
    <cfRule type="cellIs" dxfId="56" priority="50" stopIfTrue="1" operator="equal">
      <formula>"Napkin Hs"</formula>
    </cfRule>
  </conditionalFormatting>
  <conditionalFormatting sqref="C158:C159">
    <cfRule type="cellIs" dxfId="55" priority="41" stopIfTrue="1" operator="equal">
      <formula>"Towel"</formula>
    </cfRule>
    <cfRule type="cellIs" dxfId="54" priority="42" stopIfTrue="1" operator="equal">
      <formula>"Napkin Hs"</formula>
    </cfRule>
  </conditionalFormatting>
  <conditionalFormatting sqref="C158:C159">
    <cfRule type="cellIs" dxfId="53" priority="39" stopIfTrue="1" operator="equal">
      <formula>"Towel"</formula>
    </cfRule>
    <cfRule type="cellIs" dxfId="52" priority="40" stopIfTrue="1" operator="equal">
      <formula>"Napkin Hs"</formula>
    </cfRule>
  </conditionalFormatting>
  <conditionalFormatting sqref="C158:C159">
    <cfRule type="cellIs" dxfId="51" priority="37" stopIfTrue="1" operator="equal">
      <formula>"Towel"</formula>
    </cfRule>
    <cfRule type="cellIs" dxfId="50" priority="38" stopIfTrue="1" operator="equal">
      <formula>"Napkin Hs"</formula>
    </cfRule>
  </conditionalFormatting>
  <conditionalFormatting sqref="C158:C159">
    <cfRule type="cellIs" dxfId="49" priority="31" stopIfTrue="1" operator="equal">
      <formula>"Towel"</formula>
    </cfRule>
    <cfRule type="cellIs" dxfId="48" priority="32" stopIfTrue="1" operator="equal">
      <formula>"Napkin Hs"</formula>
    </cfRule>
  </conditionalFormatting>
  <conditionalFormatting sqref="C158:C159">
    <cfRule type="cellIs" dxfId="47" priority="33" stopIfTrue="1" operator="equal">
      <formula>"Towel"</formula>
    </cfRule>
    <cfRule type="cellIs" dxfId="46" priority="34" stopIfTrue="1" operator="equal">
      <formula>"Napkin Hs"</formula>
    </cfRule>
  </conditionalFormatting>
  <conditionalFormatting sqref="C158:C159">
    <cfRule type="cellIs" dxfId="45" priority="35" stopIfTrue="1" operator="equal">
      <formula>"Towel"</formula>
    </cfRule>
    <cfRule type="cellIs" dxfId="44" priority="36" stopIfTrue="1" operator="equal">
      <formula>"Napkin Hs"</formula>
    </cfRule>
  </conditionalFormatting>
  <conditionalFormatting sqref="C158:C159">
    <cfRule type="cellIs" dxfId="43" priority="47" stopIfTrue="1" operator="equal">
      <formula>"Towel"</formula>
    </cfRule>
    <cfRule type="cellIs" dxfId="42" priority="48" stopIfTrue="1" operator="equal">
      <formula>"Napkin Hs"</formula>
    </cfRule>
  </conditionalFormatting>
  <conditionalFormatting sqref="C158:C159">
    <cfRule type="cellIs" dxfId="41" priority="45" stopIfTrue="1" operator="equal">
      <formula>"Towel"</formula>
    </cfRule>
    <cfRule type="cellIs" dxfId="40" priority="46" stopIfTrue="1" operator="equal">
      <formula>"Napkin Hs"</formula>
    </cfRule>
  </conditionalFormatting>
  <conditionalFormatting sqref="C158:C159">
    <cfRule type="cellIs" dxfId="39" priority="43" stopIfTrue="1" operator="equal">
      <formula>"Towel"</formula>
    </cfRule>
    <cfRule type="cellIs" dxfId="38" priority="44" stopIfTrue="1" operator="equal">
      <formula>"Napkin Hs"</formula>
    </cfRule>
  </conditionalFormatting>
  <conditionalFormatting sqref="B158:B159">
    <cfRule type="cellIs" dxfId="37" priority="23" stopIfTrue="1" operator="equal">
      <formula>"Towel"</formula>
    </cfRule>
    <cfRule type="cellIs" dxfId="36" priority="24" stopIfTrue="1" operator="equal">
      <formula>"Napkin Hs"</formula>
    </cfRule>
  </conditionalFormatting>
  <conditionalFormatting sqref="B158:B159">
    <cfRule type="cellIs" dxfId="35" priority="21" stopIfTrue="1" operator="equal">
      <formula>"Towel"</formula>
    </cfRule>
    <cfRule type="cellIs" dxfId="34" priority="22" stopIfTrue="1" operator="equal">
      <formula>"Napkin Hs"</formula>
    </cfRule>
  </conditionalFormatting>
  <conditionalFormatting sqref="B158:B159">
    <cfRule type="cellIs" dxfId="33" priority="19" stopIfTrue="1" operator="equal">
      <formula>"Towel"</formula>
    </cfRule>
    <cfRule type="cellIs" dxfId="32" priority="20" stopIfTrue="1" operator="equal">
      <formula>"Napkin Hs"</formula>
    </cfRule>
  </conditionalFormatting>
  <conditionalFormatting sqref="C158:C159">
    <cfRule type="cellIs" dxfId="31" priority="29" stopIfTrue="1" operator="equal">
      <formula>"Towel"</formula>
    </cfRule>
    <cfRule type="cellIs" dxfId="30" priority="30" stopIfTrue="1" operator="equal">
      <formula>"Napkin Hs"</formula>
    </cfRule>
  </conditionalFormatting>
  <conditionalFormatting sqref="C158:C159">
    <cfRule type="cellIs" dxfId="29" priority="27" stopIfTrue="1" operator="equal">
      <formula>"Towel"</formula>
    </cfRule>
    <cfRule type="cellIs" dxfId="28" priority="28" stopIfTrue="1" operator="equal">
      <formula>"Napkin Hs"</formula>
    </cfRule>
  </conditionalFormatting>
  <conditionalFormatting sqref="B158:B159">
    <cfRule type="cellIs" dxfId="27" priority="25" stopIfTrue="1" operator="equal">
      <formula>"Towel"</formula>
    </cfRule>
    <cfRule type="cellIs" dxfId="26" priority="26" stopIfTrue="1" operator="equal">
      <formula>"Napkin Hs"</formula>
    </cfRule>
  </conditionalFormatting>
  <conditionalFormatting sqref="C158:C159">
    <cfRule type="cellIs" dxfId="25" priority="11" stopIfTrue="1" operator="equal">
      <formula>"Towel"</formula>
    </cfRule>
    <cfRule type="cellIs" dxfId="24" priority="12" stopIfTrue="1" operator="equal">
      <formula>"Napkin Hs"</formula>
    </cfRule>
  </conditionalFormatting>
  <conditionalFormatting sqref="B158:C159">
    <cfRule type="cellIs" dxfId="23" priority="13" stopIfTrue="1" operator="equal">
      <formula>"Towel"</formula>
    </cfRule>
    <cfRule type="cellIs" dxfId="22" priority="14" stopIfTrue="1" operator="equal">
      <formula>"Napkin Hs"</formula>
    </cfRule>
  </conditionalFormatting>
  <conditionalFormatting sqref="C158:C159">
    <cfRule type="cellIs" dxfId="21" priority="9" stopIfTrue="1" operator="equal">
      <formula>"Towel"</formula>
    </cfRule>
    <cfRule type="cellIs" dxfId="20" priority="10" stopIfTrue="1" operator="equal">
      <formula>"Napkin Hs"</formula>
    </cfRule>
  </conditionalFormatting>
  <conditionalFormatting sqref="B158:C159">
    <cfRule type="cellIs" dxfId="19" priority="7" stopIfTrue="1" operator="equal">
      <formula>"Towel"</formula>
    </cfRule>
    <cfRule type="cellIs" dxfId="18" priority="8" stopIfTrue="1" operator="equal">
      <formula>"Napkin Hs"</formula>
    </cfRule>
  </conditionalFormatting>
  <conditionalFormatting sqref="C158:C159">
    <cfRule type="cellIs" dxfId="17" priority="15" stopIfTrue="1" operator="equal">
      <formula>"Towel"</formula>
    </cfRule>
    <cfRule type="cellIs" dxfId="16" priority="16" stopIfTrue="1" operator="equal">
      <formula>"Napkin Hs"</formula>
    </cfRule>
  </conditionalFormatting>
  <conditionalFormatting sqref="C158:C159">
    <cfRule type="cellIs" dxfId="15" priority="17" stopIfTrue="1" operator="equal">
      <formula>"Towel"</formula>
    </cfRule>
    <cfRule type="cellIs" dxfId="14" priority="18" stopIfTrue="1" operator="equal">
      <formula>"Napkin Hs"</formula>
    </cfRule>
  </conditionalFormatting>
  <conditionalFormatting sqref="B158:C159">
    <cfRule type="cellIs" dxfId="13" priority="5" stopIfTrue="1" operator="equal">
      <formula>"Towel"</formula>
    </cfRule>
    <cfRule type="cellIs" dxfId="12" priority="6" stopIfTrue="1" operator="equal">
      <formula>"Napkin Hs"</formula>
    </cfRule>
  </conditionalFormatting>
  <conditionalFormatting sqref="C158:C159">
    <cfRule type="cellIs" dxfId="11" priority="4" stopIfTrue="1" operator="equal">
      <formula>"Napkin Hs"</formula>
    </cfRule>
  </conditionalFormatting>
  <conditionalFormatting sqref="C158:C159">
    <cfRule type="cellIs" dxfId="10" priority="1" stopIfTrue="1" operator="equal">
      <formula>"Towel"</formula>
    </cfRule>
    <cfRule type="cellIs" dxfId="9" priority="2" stopIfTrue="1" operator="equal">
      <formula>"Napkin Hs"</formula>
    </cfRule>
  </conditionalFormatting>
  <conditionalFormatting sqref="C158:C159">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KE9" activePane="bottomRight" state="frozen"/>
      <selection pane="topRight" activeCell="E1" sqref="E1"/>
      <selection pane="bottomLeft" activeCell="A9" sqref="A9"/>
      <selection pane="bottomRight" activeCell="KV41" sqref="KV41"/>
    </sheetView>
  </sheetViews>
  <sheetFormatPr defaultColWidth="10.42578125" defaultRowHeight="15" customHeight="1"/>
  <cols>
    <col min="1" max="1" width="8.140625" style="261" customWidth="1"/>
    <col min="2" max="2" width="13.5703125" style="261" customWidth="1"/>
    <col min="3" max="3" width="12.5703125" style="262" customWidth="1"/>
    <col min="4" max="4" width="11.140625" style="262" customWidth="1"/>
    <col min="5" max="5" width="11" style="263" customWidth="1"/>
    <col min="6" max="41" width="12.42578125" style="518" customWidth="1"/>
    <col min="42" max="47" width="12.42578125" style="518" hidden="1" customWidth="1"/>
    <col min="48" max="56" width="12.42578125" style="518" customWidth="1"/>
    <col min="57" max="65" width="12.42578125" style="518" hidden="1" customWidth="1"/>
    <col min="66" max="269" width="12.42578125" style="518" customWidth="1"/>
    <col min="270" max="272" width="9.28515625" style="518" customWidth="1"/>
    <col min="273" max="273" width="5.5703125" style="518" customWidth="1"/>
    <col min="274" max="274" width="12.28515625" style="518" bestFit="1" customWidth="1"/>
    <col min="275" max="303" width="5.5703125" style="518" customWidth="1"/>
    <col min="304" max="304" width="8.7109375" style="518" bestFit="1" customWidth="1"/>
    <col min="305" max="305" width="7.7109375" style="518" customWidth="1"/>
    <col min="306" max="306" width="21" style="518" bestFit="1" customWidth="1"/>
    <col min="307" max="307" width="19.85546875" style="518" bestFit="1" customWidth="1"/>
    <col min="308" max="16384" width="10.42578125" style="261"/>
  </cols>
  <sheetData>
    <row r="1" spans="1:309" ht="15" customHeight="1">
      <c r="A1" s="257"/>
      <c r="B1" s="258"/>
      <c r="C1" s="259"/>
      <c r="D1" s="259"/>
      <c r="E1" s="260"/>
    </row>
    <row r="2" spans="1:309" ht="15" customHeight="1">
      <c r="A2" s="257"/>
    </row>
    <row r="3" spans="1:309" ht="15" customHeight="1">
      <c r="A3" s="265"/>
    </row>
    <row r="4" spans="1:309" ht="15" customHeight="1">
      <c r="A4" s="495" t="s">
        <v>386</v>
      </c>
    </row>
    <row r="5" spans="1:309" ht="15" customHeight="1" thickBot="1">
      <c r="F5" s="714" t="s">
        <v>304</v>
      </c>
      <c r="G5" s="715"/>
      <c r="H5" s="715"/>
      <c r="I5" s="715"/>
      <c r="J5" s="715"/>
      <c r="K5" s="715"/>
      <c r="L5" s="715"/>
      <c r="M5" s="715"/>
      <c r="N5" s="715"/>
      <c r="O5" s="715"/>
      <c r="P5" s="715"/>
      <c r="Q5" s="715"/>
      <c r="R5" s="715"/>
      <c r="S5" s="715"/>
      <c r="T5" s="715"/>
      <c r="U5" s="715"/>
      <c r="V5" s="715"/>
      <c r="W5" s="715"/>
      <c r="X5" s="715"/>
      <c r="Y5" s="715"/>
      <c r="Z5" s="715"/>
      <c r="AA5" s="715"/>
      <c r="AB5" s="715"/>
      <c r="AC5" s="715"/>
      <c r="AD5" s="715"/>
      <c r="AE5" s="715"/>
      <c r="AF5" s="715"/>
      <c r="AG5" s="715"/>
      <c r="AH5" s="715"/>
      <c r="AI5" s="715"/>
      <c r="AJ5" s="715"/>
      <c r="AK5" s="715"/>
      <c r="AL5" s="715"/>
      <c r="AM5" s="715"/>
      <c r="AN5" s="715"/>
      <c r="AO5" s="715"/>
      <c r="AP5" s="715"/>
      <c r="AQ5" s="715"/>
      <c r="AR5" s="715"/>
      <c r="AS5" s="715"/>
      <c r="AT5" s="715"/>
      <c r="AU5" s="715"/>
      <c r="AV5" s="715"/>
      <c r="AW5" s="715"/>
      <c r="AX5" s="715"/>
      <c r="AY5" s="715"/>
      <c r="AZ5" s="715"/>
      <c r="BA5" s="715"/>
      <c r="BB5" s="715"/>
      <c r="BC5" s="715"/>
      <c r="BD5" s="715"/>
      <c r="BE5" s="715"/>
      <c r="BF5" s="715"/>
      <c r="BG5" s="715"/>
      <c r="BH5" s="715"/>
      <c r="BI5" s="715"/>
      <c r="BJ5" s="715"/>
      <c r="BK5" s="715"/>
      <c r="BL5" s="715"/>
      <c r="BM5" s="715"/>
      <c r="BN5" s="715"/>
      <c r="BO5" s="715"/>
      <c r="BP5" s="715"/>
      <c r="BQ5" s="715"/>
      <c r="BR5" s="715"/>
      <c r="BS5" s="715"/>
      <c r="BT5" s="715"/>
      <c r="BU5" s="715"/>
      <c r="BV5" s="715"/>
      <c r="BW5" s="715"/>
      <c r="BX5" s="715"/>
      <c r="BY5" s="715"/>
      <c r="BZ5" s="715"/>
      <c r="CA5" s="715"/>
      <c r="CB5" s="715"/>
      <c r="CC5" s="715"/>
      <c r="CD5" s="715"/>
      <c r="CE5" s="715"/>
      <c r="CF5" s="715"/>
      <c r="CG5" s="715"/>
      <c r="CH5" s="715"/>
      <c r="CI5" s="715"/>
      <c r="CJ5" s="715"/>
      <c r="CK5" s="715"/>
      <c r="CL5" s="715"/>
      <c r="CM5" s="715"/>
      <c r="CN5" s="715"/>
      <c r="CO5" s="715"/>
      <c r="CP5" s="715"/>
      <c r="CQ5" s="715"/>
      <c r="CR5" s="715"/>
      <c r="CS5" s="715"/>
      <c r="CT5" s="715"/>
      <c r="CU5" s="715"/>
      <c r="CV5" s="715"/>
      <c r="CW5" s="715"/>
      <c r="CX5" s="715"/>
      <c r="CY5" s="715"/>
      <c r="CZ5" s="715"/>
      <c r="DA5" s="715"/>
      <c r="DB5" s="715"/>
      <c r="DC5" s="715"/>
      <c r="DD5" s="715"/>
      <c r="DE5" s="715"/>
      <c r="DF5" s="715"/>
      <c r="DG5" s="715"/>
      <c r="DH5" s="715"/>
      <c r="DI5" s="715"/>
      <c r="DJ5" s="715"/>
      <c r="DK5" s="715"/>
      <c r="DL5" s="715"/>
      <c r="DM5" s="715"/>
      <c r="DN5" s="715"/>
      <c r="DO5" s="715"/>
      <c r="DP5" s="715"/>
      <c r="DQ5" s="715"/>
      <c r="DR5" s="715"/>
      <c r="DS5" s="715"/>
      <c r="DT5" s="715"/>
      <c r="DU5" s="715"/>
      <c r="DV5" s="715"/>
      <c r="DW5" s="715"/>
      <c r="DX5" s="715"/>
      <c r="DY5" s="715"/>
      <c r="DZ5" s="715"/>
      <c r="EA5" s="715"/>
      <c r="EB5" s="715"/>
      <c r="EC5" s="715"/>
      <c r="ED5" s="715"/>
      <c r="EE5" s="715"/>
      <c r="EF5" s="715"/>
      <c r="EG5" s="715"/>
      <c r="EH5" s="715"/>
      <c r="EI5" s="715"/>
      <c r="EJ5" s="715"/>
      <c r="EK5" s="715"/>
      <c r="EL5" s="715"/>
      <c r="EM5" s="715"/>
      <c r="EN5" s="715"/>
      <c r="EO5" s="715"/>
      <c r="EP5" s="715"/>
      <c r="EQ5" s="715"/>
      <c r="ER5" s="715"/>
      <c r="ES5" s="715"/>
      <c r="ET5" s="715"/>
      <c r="EU5" s="715"/>
      <c r="EV5" s="715"/>
      <c r="EW5" s="715"/>
      <c r="EX5" s="715"/>
      <c r="EY5" s="715"/>
      <c r="EZ5" s="715"/>
      <c r="FA5" s="715"/>
      <c r="FB5" s="715"/>
      <c r="FC5" s="715"/>
      <c r="FD5" s="715"/>
      <c r="FE5" s="715"/>
      <c r="FF5" s="715"/>
      <c r="FG5" s="715"/>
      <c r="FH5" s="715"/>
      <c r="FI5" s="715"/>
      <c r="FJ5" s="715"/>
      <c r="FK5" s="715"/>
      <c r="FL5" s="715"/>
      <c r="FM5" s="715"/>
      <c r="FN5" s="715"/>
      <c r="FO5" s="715"/>
      <c r="FP5" s="715"/>
      <c r="FQ5" s="715"/>
      <c r="FR5" s="715"/>
      <c r="FS5" s="715"/>
      <c r="FT5" s="715"/>
      <c r="FU5" s="715"/>
      <c r="FV5" s="715"/>
      <c r="FW5" s="715"/>
      <c r="FX5" s="715"/>
      <c r="FY5" s="715"/>
      <c r="FZ5" s="715"/>
      <c r="GA5" s="715"/>
      <c r="GB5" s="715"/>
      <c r="GC5" s="716"/>
      <c r="GD5" s="714" t="s">
        <v>305</v>
      </c>
      <c r="GE5" s="715"/>
      <c r="GF5" s="715"/>
      <c r="GG5" s="715"/>
      <c r="GH5" s="715"/>
      <c r="GI5" s="715"/>
      <c r="GJ5" s="715"/>
      <c r="GK5" s="715"/>
      <c r="GL5" s="715"/>
      <c r="GM5" s="715"/>
      <c r="GN5" s="715"/>
      <c r="GO5" s="715"/>
      <c r="GP5" s="715"/>
      <c r="GQ5" s="715"/>
      <c r="GR5" s="715"/>
      <c r="GS5" s="715"/>
      <c r="GT5" s="715"/>
      <c r="GU5" s="715"/>
      <c r="GV5" s="715"/>
      <c r="GW5" s="715"/>
      <c r="GX5" s="715"/>
      <c r="GY5" s="715"/>
      <c r="GZ5" s="715"/>
      <c r="HA5" s="715"/>
      <c r="HB5" s="715"/>
      <c r="HC5" s="715"/>
      <c r="HD5" s="715"/>
      <c r="HE5" s="715"/>
      <c r="HF5" s="715"/>
      <c r="HG5" s="715"/>
      <c r="HH5" s="715"/>
      <c r="HI5" s="715"/>
      <c r="HJ5" s="715"/>
      <c r="HK5" s="715"/>
      <c r="HL5" s="715"/>
      <c r="HM5" s="715"/>
      <c r="HN5" s="715"/>
      <c r="HO5" s="715"/>
      <c r="HP5" s="715"/>
      <c r="HQ5" s="715"/>
      <c r="HR5" s="715"/>
      <c r="HS5" s="715"/>
      <c r="HT5" s="715"/>
      <c r="HU5" s="715"/>
      <c r="HV5" s="715"/>
      <c r="HW5" s="715"/>
      <c r="HX5" s="715"/>
      <c r="HY5" s="715"/>
      <c r="HZ5" s="715"/>
      <c r="IA5" s="715"/>
      <c r="IB5" s="715"/>
      <c r="IC5" s="715"/>
      <c r="ID5" s="715"/>
      <c r="IE5" s="715"/>
      <c r="IF5" s="715"/>
      <c r="IG5" s="715"/>
      <c r="IH5" s="715"/>
      <c r="II5" s="715"/>
      <c r="IJ5" s="715"/>
      <c r="IK5" s="715"/>
      <c r="IL5" s="715"/>
      <c r="IM5" s="715"/>
      <c r="IN5" s="715"/>
      <c r="IO5" s="715"/>
      <c r="IP5" s="715"/>
      <c r="IQ5" s="715"/>
      <c r="IR5" s="715"/>
      <c r="IS5" s="715"/>
      <c r="IT5" s="715"/>
      <c r="IU5" s="715"/>
      <c r="IV5" s="715"/>
      <c r="IW5" s="715"/>
      <c r="IX5" s="715"/>
      <c r="IY5" s="715"/>
      <c r="IZ5" s="715"/>
      <c r="JA5" s="715"/>
      <c r="JB5" s="715"/>
      <c r="JC5" s="715"/>
      <c r="JD5" s="715"/>
      <c r="JE5" s="715"/>
      <c r="JF5" s="715"/>
      <c r="JG5" s="715"/>
      <c r="JH5" s="715"/>
      <c r="JI5" s="715"/>
      <c r="JJ5" s="715"/>
      <c r="JK5" s="715"/>
      <c r="JL5" s="715"/>
      <c r="JM5" s="715"/>
      <c r="JN5" s="715"/>
      <c r="JO5" s="715"/>
      <c r="JP5" s="715"/>
      <c r="JQ5" s="715"/>
      <c r="JR5" s="715"/>
      <c r="JS5" s="715"/>
      <c r="JT5" s="715"/>
      <c r="JU5" s="715"/>
      <c r="JV5" s="715"/>
      <c r="JW5" s="715"/>
      <c r="JX5" s="715"/>
      <c r="JY5" s="715"/>
      <c r="JZ5" s="715"/>
      <c r="KA5" s="715"/>
      <c r="KB5" s="715"/>
      <c r="KC5" s="715"/>
      <c r="KD5" s="715"/>
      <c r="KE5" s="715"/>
      <c r="KF5" s="715"/>
      <c r="KG5" s="715"/>
      <c r="KH5" s="715"/>
      <c r="KI5" s="715"/>
      <c r="KJ5" s="715"/>
      <c r="KK5" s="715"/>
      <c r="KL5" s="715"/>
      <c r="KM5" s="715"/>
      <c r="KN5" s="715"/>
      <c r="KO5" s="715"/>
      <c r="KP5" s="715"/>
      <c r="KQ5" s="715"/>
      <c r="KR5" s="715"/>
      <c r="KS5" s="716"/>
      <c r="KT5" s="722" t="s">
        <v>306</v>
      </c>
      <c r="KU5" s="722" t="s">
        <v>305</v>
      </c>
    </row>
    <row r="6" spans="1:309" ht="31.5" customHeight="1">
      <c r="A6" s="702" t="s">
        <v>30</v>
      </c>
      <c r="B6" s="705" t="s">
        <v>6</v>
      </c>
      <c r="C6" s="705" t="s">
        <v>7</v>
      </c>
      <c r="D6" s="711" t="s">
        <v>45</v>
      </c>
      <c r="E6" s="708" t="s">
        <v>43</v>
      </c>
      <c r="F6" s="720" t="s">
        <v>307</v>
      </c>
      <c r="G6" s="723"/>
      <c r="H6" s="721"/>
      <c r="I6" s="720" t="s">
        <v>308</v>
      </c>
      <c r="J6" s="723"/>
      <c r="K6" s="721"/>
      <c r="L6" s="720" t="s">
        <v>309</v>
      </c>
      <c r="M6" s="723"/>
      <c r="N6" s="721"/>
      <c r="O6" s="720" t="s">
        <v>310</v>
      </c>
      <c r="P6" s="723"/>
      <c r="Q6" s="721"/>
      <c r="R6" s="720" t="s">
        <v>311</v>
      </c>
      <c r="S6" s="723"/>
      <c r="T6" s="721"/>
      <c r="U6" s="720" t="s">
        <v>312</v>
      </c>
      <c r="V6" s="723"/>
      <c r="W6" s="721"/>
      <c r="X6" s="720" t="s">
        <v>313</v>
      </c>
      <c r="Y6" s="723"/>
      <c r="Z6" s="721"/>
      <c r="AA6" s="720" t="s">
        <v>314</v>
      </c>
      <c r="AB6" s="723"/>
      <c r="AC6" s="721"/>
      <c r="AD6" s="720" t="s">
        <v>315</v>
      </c>
      <c r="AE6" s="723"/>
      <c r="AF6" s="721"/>
      <c r="AG6" s="720" t="s">
        <v>316</v>
      </c>
      <c r="AH6" s="723"/>
      <c r="AI6" s="721"/>
      <c r="AJ6" s="720" t="s">
        <v>317</v>
      </c>
      <c r="AK6" s="723"/>
      <c r="AL6" s="721"/>
      <c r="AM6" s="720" t="s">
        <v>318</v>
      </c>
      <c r="AN6" s="723"/>
      <c r="AO6" s="721"/>
      <c r="AP6" s="720" t="s">
        <v>319</v>
      </c>
      <c r="AQ6" s="723"/>
      <c r="AR6" s="721"/>
      <c r="AS6" s="720" t="s">
        <v>320</v>
      </c>
      <c r="AT6" s="723"/>
      <c r="AU6" s="721"/>
      <c r="AV6" s="720" t="s">
        <v>321</v>
      </c>
      <c r="AW6" s="723"/>
      <c r="AX6" s="721"/>
      <c r="AY6" s="717" t="s">
        <v>322</v>
      </c>
      <c r="AZ6" s="718"/>
      <c r="BA6" s="718"/>
      <c r="BB6" s="717" t="s">
        <v>323</v>
      </c>
      <c r="BC6" s="718"/>
      <c r="BD6" s="719"/>
      <c r="BE6" s="717" t="s">
        <v>324</v>
      </c>
      <c r="BF6" s="718"/>
      <c r="BG6" s="718"/>
      <c r="BH6" s="717" t="s">
        <v>325</v>
      </c>
      <c r="BI6" s="718"/>
      <c r="BJ6" s="719"/>
      <c r="BK6" s="717" t="s">
        <v>326</v>
      </c>
      <c r="BL6" s="718"/>
      <c r="BM6" s="718"/>
      <c r="BN6" s="717" t="s">
        <v>327</v>
      </c>
      <c r="BO6" s="718"/>
      <c r="BP6" s="719"/>
      <c r="BQ6" s="717" t="s">
        <v>328</v>
      </c>
      <c r="BR6" s="718"/>
      <c r="BS6" s="718"/>
      <c r="BT6" s="717" t="s">
        <v>329</v>
      </c>
      <c r="BU6" s="718"/>
      <c r="BV6" s="719"/>
      <c r="BW6" s="717" t="s">
        <v>330</v>
      </c>
      <c r="BX6" s="718"/>
      <c r="BY6" s="718"/>
      <c r="BZ6" s="717" t="s">
        <v>331</v>
      </c>
      <c r="CA6" s="718"/>
      <c r="CB6" s="719"/>
      <c r="CC6" s="717" t="s">
        <v>332</v>
      </c>
      <c r="CD6" s="718"/>
      <c r="CE6" s="718"/>
      <c r="CF6" s="717" t="s">
        <v>333</v>
      </c>
      <c r="CG6" s="718"/>
      <c r="CH6" s="719"/>
      <c r="CI6" s="717" t="s">
        <v>334</v>
      </c>
      <c r="CJ6" s="718"/>
      <c r="CK6" s="718"/>
      <c r="CL6" s="717" t="s">
        <v>335</v>
      </c>
      <c r="CM6" s="718"/>
      <c r="CN6" s="719"/>
      <c r="CO6" s="717" t="s">
        <v>336</v>
      </c>
      <c r="CP6" s="718"/>
      <c r="CQ6" s="718"/>
      <c r="CR6" s="717" t="s">
        <v>337</v>
      </c>
      <c r="CS6" s="718"/>
      <c r="CT6" s="719"/>
      <c r="CU6" s="717" t="s">
        <v>230</v>
      </c>
      <c r="CV6" s="718"/>
      <c r="CW6" s="718"/>
      <c r="CX6" s="717" t="s">
        <v>338</v>
      </c>
      <c r="CY6" s="718"/>
      <c r="CZ6" s="719"/>
      <c r="DA6" s="717" t="s">
        <v>339</v>
      </c>
      <c r="DB6" s="718"/>
      <c r="DC6" s="718"/>
      <c r="DD6" s="717" t="s">
        <v>340</v>
      </c>
      <c r="DE6" s="718"/>
      <c r="DF6" s="719"/>
      <c r="DG6" s="717" t="s">
        <v>341</v>
      </c>
      <c r="DH6" s="718"/>
      <c r="DI6" s="718"/>
      <c r="DJ6" s="717" t="s">
        <v>342</v>
      </c>
      <c r="DK6" s="718"/>
      <c r="DL6" s="719"/>
      <c r="DM6" s="717" t="s">
        <v>343</v>
      </c>
      <c r="DN6" s="718"/>
      <c r="DO6" s="718"/>
      <c r="DP6" s="717" t="s">
        <v>344</v>
      </c>
      <c r="DQ6" s="718"/>
      <c r="DR6" s="719"/>
      <c r="DS6" s="717" t="s">
        <v>345</v>
      </c>
      <c r="DT6" s="718"/>
      <c r="DU6" s="718"/>
      <c r="DV6" s="717" t="s">
        <v>346</v>
      </c>
      <c r="DW6" s="718"/>
      <c r="DX6" s="719"/>
      <c r="DY6" s="717" t="s">
        <v>347</v>
      </c>
      <c r="DZ6" s="718"/>
      <c r="EA6" s="718"/>
      <c r="EB6" s="717" t="s">
        <v>369</v>
      </c>
      <c r="EC6" s="718"/>
      <c r="ED6" s="719"/>
      <c r="EE6" s="717" t="s">
        <v>452</v>
      </c>
      <c r="EF6" s="718"/>
      <c r="EG6" s="718"/>
      <c r="EH6" s="717" t="s">
        <v>453</v>
      </c>
      <c r="EI6" s="718"/>
      <c r="EJ6" s="719"/>
      <c r="EK6" s="717" t="s">
        <v>454</v>
      </c>
      <c r="EL6" s="718"/>
      <c r="EM6" s="718"/>
      <c r="EN6" s="717" t="s">
        <v>455</v>
      </c>
      <c r="EO6" s="718"/>
      <c r="EP6" s="719"/>
      <c r="EQ6" s="717" t="s">
        <v>369</v>
      </c>
      <c r="ER6" s="718"/>
      <c r="ES6" s="718"/>
      <c r="ET6" s="717"/>
      <c r="EU6" s="718"/>
      <c r="EV6" s="719"/>
      <c r="EW6" s="717"/>
      <c r="EX6" s="718"/>
      <c r="EY6" s="718"/>
      <c r="EZ6" s="717"/>
      <c r="FA6" s="718"/>
      <c r="FB6" s="719"/>
      <c r="FC6" s="717"/>
      <c r="FD6" s="718"/>
      <c r="FE6" s="718"/>
      <c r="FF6" s="717"/>
      <c r="FG6" s="718"/>
      <c r="FH6" s="719"/>
      <c r="FI6" s="717"/>
      <c r="FJ6" s="718"/>
      <c r="FK6" s="718"/>
      <c r="FL6" s="717"/>
      <c r="FM6" s="718"/>
      <c r="FN6" s="719"/>
      <c r="FO6" s="717"/>
      <c r="FP6" s="718"/>
      <c r="FQ6" s="718"/>
      <c r="FR6" s="717"/>
      <c r="FS6" s="718"/>
      <c r="FT6" s="719"/>
      <c r="FU6" s="717"/>
      <c r="FV6" s="718"/>
      <c r="FW6" s="718"/>
      <c r="FX6" s="717"/>
      <c r="FY6" s="718"/>
      <c r="FZ6" s="719"/>
      <c r="GA6" s="717" t="s">
        <v>329</v>
      </c>
      <c r="GB6" s="718"/>
      <c r="GC6" s="718"/>
      <c r="GD6" s="717" t="s">
        <v>348</v>
      </c>
      <c r="GE6" s="718"/>
      <c r="GF6" s="719"/>
      <c r="GG6" s="717" t="s">
        <v>300</v>
      </c>
      <c r="GH6" s="718"/>
      <c r="GI6" s="718"/>
      <c r="GJ6" s="717" t="s">
        <v>349</v>
      </c>
      <c r="GK6" s="718"/>
      <c r="GL6" s="719"/>
      <c r="GM6" s="717" t="s">
        <v>350</v>
      </c>
      <c r="GN6" s="718"/>
      <c r="GO6" s="718"/>
      <c r="GP6" s="717" t="s">
        <v>351</v>
      </c>
      <c r="GQ6" s="718"/>
      <c r="GR6" s="719"/>
      <c r="GS6" s="717" t="s">
        <v>352</v>
      </c>
      <c r="GT6" s="718"/>
      <c r="GU6" s="718"/>
      <c r="GV6" s="717" t="s">
        <v>353</v>
      </c>
      <c r="GW6" s="718"/>
      <c r="GX6" s="719"/>
      <c r="GY6" s="717" t="s">
        <v>354</v>
      </c>
      <c r="GZ6" s="718"/>
      <c r="HA6" s="718"/>
      <c r="HB6" s="717" t="s">
        <v>331</v>
      </c>
      <c r="HC6" s="718"/>
      <c r="HD6" s="719"/>
      <c r="HE6" s="717" t="s">
        <v>346</v>
      </c>
      <c r="HF6" s="718"/>
      <c r="HG6" s="718"/>
      <c r="HH6" s="717" t="s">
        <v>345</v>
      </c>
      <c r="HI6" s="718"/>
      <c r="HJ6" s="719"/>
      <c r="HK6" s="717" t="s">
        <v>327</v>
      </c>
      <c r="HL6" s="718"/>
      <c r="HM6" s="718"/>
      <c r="HN6" s="717" t="s">
        <v>231</v>
      </c>
      <c r="HO6" s="718"/>
      <c r="HP6" s="719"/>
      <c r="HQ6" s="717" t="s">
        <v>230</v>
      </c>
      <c r="HR6" s="718"/>
      <c r="HS6" s="718"/>
      <c r="HT6" s="717" t="s">
        <v>355</v>
      </c>
      <c r="HU6" s="718"/>
      <c r="HV6" s="719"/>
      <c r="HW6" s="717" t="s">
        <v>356</v>
      </c>
      <c r="HX6" s="718"/>
      <c r="HY6" s="718"/>
      <c r="HZ6" s="717" t="s">
        <v>357</v>
      </c>
      <c r="IA6" s="718"/>
      <c r="IB6" s="719"/>
      <c r="IC6" s="717" t="s">
        <v>358</v>
      </c>
      <c r="ID6" s="718"/>
      <c r="IE6" s="718"/>
      <c r="IF6" s="717" t="s">
        <v>359</v>
      </c>
      <c r="IG6" s="718"/>
      <c r="IH6" s="719"/>
      <c r="II6" s="724" t="s">
        <v>333</v>
      </c>
      <c r="IJ6" s="724"/>
      <c r="IK6" s="724"/>
      <c r="IL6" s="717" t="s">
        <v>336</v>
      </c>
      <c r="IM6" s="718"/>
      <c r="IN6" s="719"/>
      <c r="IO6" s="717" t="s">
        <v>337</v>
      </c>
      <c r="IP6" s="718"/>
      <c r="IQ6" s="718"/>
      <c r="IR6" s="717" t="s">
        <v>332</v>
      </c>
      <c r="IS6" s="718"/>
      <c r="IT6" s="719"/>
      <c r="IU6" s="717" t="s">
        <v>360</v>
      </c>
      <c r="IV6" s="718"/>
      <c r="IW6" s="718"/>
      <c r="IX6" s="717" t="s">
        <v>339</v>
      </c>
      <c r="IY6" s="718"/>
      <c r="IZ6" s="719"/>
      <c r="JA6" s="717" t="s">
        <v>361</v>
      </c>
      <c r="JB6" s="718"/>
      <c r="JC6" s="718"/>
      <c r="JD6" s="717" t="s">
        <v>186</v>
      </c>
      <c r="JE6" s="718"/>
      <c r="JF6" s="719"/>
      <c r="JG6" s="717" t="s">
        <v>362</v>
      </c>
      <c r="JH6" s="718"/>
      <c r="JI6" s="718"/>
      <c r="JJ6" s="717" t="s">
        <v>379</v>
      </c>
      <c r="JK6" s="718"/>
      <c r="JL6" s="719"/>
      <c r="JM6" s="717" t="s">
        <v>456</v>
      </c>
      <c r="JN6" s="718"/>
      <c r="JO6" s="718"/>
      <c r="JP6" s="717"/>
      <c r="JQ6" s="718"/>
      <c r="JR6" s="719"/>
      <c r="JS6" s="717"/>
      <c r="JT6" s="718"/>
      <c r="JU6" s="718"/>
      <c r="JV6" s="717"/>
      <c r="JW6" s="718"/>
      <c r="JX6" s="719"/>
      <c r="JY6" s="717"/>
      <c r="JZ6" s="718"/>
      <c r="KA6" s="718"/>
      <c r="KB6" s="717"/>
      <c r="KC6" s="718"/>
      <c r="KD6" s="719"/>
      <c r="KE6" s="717"/>
      <c r="KF6" s="718"/>
      <c r="KG6" s="718"/>
      <c r="KH6" s="717"/>
      <c r="KI6" s="718"/>
      <c r="KJ6" s="719"/>
      <c r="KK6" s="717"/>
      <c r="KL6" s="718"/>
      <c r="KM6" s="718"/>
      <c r="KN6" s="717"/>
      <c r="KO6" s="718"/>
      <c r="KP6" s="719"/>
      <c r="KQ6" s="724"/>
      <c r="KR6" s="724"/>
      <c r="KS6" s="724"/>
      <c r="KT6" s="722"/>
      <c r="KU6" s="722"/>
    </row>
    <row r="7" spans="1:309" ht="15" customHeight="1">
      <c r="A7" s="703"/>
      <c r="B7" s="706"/>
      <c r="C7" s="706"/>
      <c r="D7" s="712"/>
      <c r="E7" s="709"/>
      <c r="F7" s="720" t="s">
        <v>148</v>
      </c>
      <c r="G7" s="721"/>
      <c r="H7" s="519" t="s">
        <v>363</v>
      </c>
      <c r="I7" s="720" t="s">
        <v>148</v>
      </c>
      <c r="J7" s="721"/>
      <c r="K7" s="519" t="s">
        <v>363</v>
      </c>
      <c r="L7" s="720" t="s">
        <v>148</v>
      </c>
      <c r="M7" s="721"/>
      <c r="N7" s="519" t="s">
        <v>363</v>
      </c>
      <c r="O7" s="720" t="s">
        <v>148</v>
      </c>
      <c r="P7" s="721"/>
      <c r="Q7" s="519" t="s">
        <v>363</v>
      </c>
      <c r="R7" s="720" t="s">
        <v>148</v>
      </c>
      <c r="S7" s="721"/>
      <c r="T7" s="519" t="s">
        <v>363</v>
      </c>
      <c r="U7" s="720" t="s">
        <v>148</v>
      </c>
      <c r="V7" s="721"/>
      <c r="W7" s="519" t="s">
        <v>363</v>
      </c>
      <c r="X7" s="720" t="s">
        <v>148</v>
      </c>
      <c r="Y7" s="721"/>
      <c r="Z7" s="519" t="s">
        <v>363</v>
      </c>
      <c r="AA7" s="720" t="s">
        <v>148</v>
      </c>
      <c r="AB7" s="721"/>
      <c r="AC7" s="519" t="s">
        <v>363</v>
      </c>
      <c r="AD7" s="720" t="s">
        <v>148</v>
      </c>
      <c r="AE7" s="721"/>
      <c r="AF7" s="519" t="s">
        <v>363</v>
      </c>
      <c r="AG7" s="720" t="s">
        <v>148</v>
      </c>
      <c r="AH7" s="721"/>
      <c r="AI7" s="519" t="s">
        <v>363</v>
      </c>
      <c r="AJ7" s="720" t="s">
        <v>148</v>
      </c>
      <c r="AK7" s="721"/>
      <c r="AL7" s="519" t="s">
        <v>363</v>
      </c>
      <c r="AM7" s="720" t="s">
        <v>148</v>
      </c>
      <c r="AN7" s="721"/>
      <c r="AO7" s="519" t="s">
        <v>363</v>
      </c>
      <c r="AP7" s="720" t="s">
        <v>148</v>
      </c>
      <c r="AQ7" s="721"/>
      <c r="AR7" s="519" t="s">
        <v>363</v>
      </c>
      <c r="AS7" s="720" t="s">
        <v>148</v>
      </c>
      <c r="AT7" s="721"/>
      <c r="AU7" s="519" t="s">
        <v>363</v>
      </c>
      <c r="AV7" s="720" t="s">
        <v>148</v>
      </c>
      <c r="AW7" s="721"/>
      <c r="AX7" s="519" t="s">
        <v>363</v>
      </c>
      <c r="AY7" s="720" t="s">
        <v>148</v>
      </c>
      <c r="AZ7" s="721"/>
      <c r="BA7" s="519" t="s">
        <v>363</v>
      </c>
      <c r="BB7" s="720" t="s">
        <v>148</v>
      </c>
      <c r="BC7" s="721"/>
      <c r="BD7" s="519" t="s">
        <v>363</v>
      </c>
      <c r="BE7" s="720" t="s">
        <v>148</v>
      </c>
      <c r="BF7" s="721"/>
      <c r="BG7" s="519" t="s">
        <v>363</v>
      </c>
      <c r="BH7" s="720" t="s">
        <v>148</v>
      </c>
      <c r="BI7" s="721"/>
      <c r="BJ7" s="519" t="s">
        <v>363</v>
      </c>
      <c r="BK7" s="720" t="s">
        <v>148</v>
      </c>
      <c r="BL7" s="721"/>
      <c r="BM7" s="519" t="s">
        <v>363</v>
      </c>
      <c r="BN7" s="720" t="s">
        <v>148</v>
      </c>
      <c r="BO7" s="721"/>
      <c r="BP7" s="519" t="s">
        <v>363</v>
      </c>
      <c r="BQ7" s="720" t="s">
        <v>148</v>
      </c>
      <c r="BR7" s="721"/>
      <c r="BS7" s="519" t="s">
        <v>363</v>
      </c>
      <c r="BT7" s="720" t="s">
        <v>148</v>
      </c>
      <c r="BU7" s="721"/>
      <c r="BV7" s="519" t="s">
        <v>363</v>
      </c>
      <c r="BW7" s="720" t="s">
        <v>148</v>
      </c>
      <c r="BX7" s="721"/>
      <c r="BY7" s="519" t="s">
        <v>363</v>
      </c>
      <c r="BZ7" s="720" t="s">
        <v>148</v>
      </c>
      <c r="CA7" s="721"/>
      <c r="CB7" s="519" t="s">
        <v>363</v>
      </c>
      <c r="CC7" s="720" t="s">
        <v>148</v>
      </c>
      <c r="CD7" s="721"/>
      <c r="CE7" s="519" t="s">
        <v>363</v>
      </c>
      <c r="CF7" s="720" t="s">
        <v>148</v>
      </c>
      <c r="CG7" s="721"/>
      <c r="CH7" s="519" t="s">
        <v>363</v>
      </c>
      <c r="CI7" s="720" t="s">
        <v>148</v>
      </c>
      <c r="CJ7" s="721"/>
      <c r="CK7" s="519" t="s">
        <v>363</v>
      </c>
      <c r="CL7" s="720" t="s">
        <v>148</v>
      </c>
      <c r="CM7" s="721"/>
      <c r="CN7" s="519" t="s">
        <v>363</v>
      </c>
      <c r="CO7" s="720" t="s">
        <v>148</v>
      </c>
      <c r="CP7" s="721"/>
      <c r="CQ7" s="519" t="s">
        <v>363</v>
      </c>
      <c r="CR7" s="720" t="s">
        <v>148</v>
      </c>
      <c r="CS7" s="721"/>
      <c r="CT7" s="519" t="s">
        <v>363</v>
      </c>
      <c r="CU7" s="720" t="s">
        <v>148</v>
      </c>
      <c r="CV7" s="721"/>
      <c r="CW7" s="519" t="s">
        <v>363</v>
      </c>
      <c r="CX7" s="720" t="s">
        <v>148</v>
      </c>
      <c r="CY7" s="721"/>
      <c r="CZ7" s="519" t="s">
        <v>363</v>
      </c>
      <c r="DA7" s="720" t="s">
        <v>148</v>
      </c>
      <c r="DB7" s="721"/>
      <c r="DC7" s="519" t="s">
        <v>363</v>
      </c>
      <c r="DD7" s="720" t="s">
        <v>148</v>
      </c>
      <c r="DE7" s="721"/>
      <c r="DF7" s="519" t="s">
        <v>363</v>
      </c>
      <c r="DG7" s="720" t="s">
        <v>148</v>
      </c>
      <c r="DH7" s="721"/>
      <c r="DI7" s="519" t="s">
        <v>363</v>
      </c>
      <c r="DJ7" s="720" t="s">
        <v>148</v>
      </c>
      <c r="DK7" s="721"/>
      <c r="DL7" s="519" t="s">
        <v>363</v>
      </c>
      <c r="DM7" s="720" t="s">
        <v>148</v>
      </c>
      <c r="DN7" s="721"/>
      <c r="DO7" s="519" t="s">
        <v>363</v>
      </c>
      <c r="DP7" s="720" t="s">
        <v>148</v>
      </c>
      <c r="DQ7" s="721"/>
      <c r="DR7" s="519" t="s">
        <v>363</v>
      </c>
      <c r="DS7" s="720" t="s">
        <v>148</v>
      </c>
      <c r="DT7" s="721"/>
      <c r="DU7" s="519" t="s">
        <v>363</v>
      </c>
      <c r="DV7" s="720" t="s">
        <v>148</v>
      </c>
      <c r="DW7" s="721"/>
      <c r="DX7" s="519" t="s">
        <v>363</v>
      </c>
      <c r="DY7" s="720" t="s">
        <v>148</v>
      </c>
      <c r="DZ7" s="721"/>
      <c r="EA7" s="519" t="s">
        <v>363</v>
      </c>
      <c r="EB7" s="720" t="s">
        <v>148</v>
      </c>
      <c r="EC7" s="721"/>
      <c r="ED7" s="519" t="s">
        <v>363</v>
      </c>
      <c r="EE7" s="720" t="s">
        <v>148</v>
      </c>
      <c r="EF7" s="721"/>
      <c r="EG7" s="519" t="s">
        <v>363</v>
      </c>
      <c r="EH7" s="720" t="s">
        <v>148</v>
      </c>
      <c r="EI7" s="721"/>
      <c r="EJ7" s="519" t="s">
        <v>363</v>
      </c>
      <c r="EK7" s="720" t="s">
        <v>148</v>
      </c>
      <c r="EL7" s="721"/>
      <c r="EM7" s="519" t="s">
        <v>363</v>
      </c>
      <c r="EN7" s="720" t="s">
        <v>148</v>
      </c>
      <c r="EO7" s="721"/>
      <c r="EP7" s="519" t="s">
        <v>363</v>
      </c>
      <c r="EQ7" s="720" t="s">
        <v>148</v>
      </c>
      <c r="ER7" s="721"/>
      <c r="ES7" s="519" t="s">
        <v>363</v>
      </c>
      <c r="ET7" s="720" t="s">
        <v>148</v>
      </c>
      <c r="EU7" s="721"/>
      <c r="EV7" s="519" t="s">
        <v>363</v>
      </c>
      <c r="EW7" s="720" t="s">
        <v>148</v>
      </c>
      <c r="EX7" s="721"/>
      <c r="EY7" s="519" t="s">
        <v>363</v>
      </c>
      <c r="EZ7" s="720" t="s">
        <v>148</v>
      </c>
      <c r="FA7" s="721"/>
      <c r="FB7" s="519" t="s">
        <v>363</v>
      </c>
      <c r="FC7" s="720" t="s">
        <v>148</v>
      </c>
      <c r="FD7" s="721"/>
      <c r="FE7" s="519" t="s">
        <v>363</v>
      </c>
      <c r="FF7" s="720" t="s">
        <v>148</v>
      </c>
      <c r="FG7" s="721"/>
      <c r="FH7" s="519" t="s">
        <v>363</v>
      </c>
      <c r="FI7" s="720" t="s">
        <v>148</v>
      </c>
      <c r="FJ7" s="721"/>
      <c r="FK7" s="519" t="s">
        <v>363</v>
      </c>
      <c r="FL7" s="720" t="s">
        <v>148</v>
      </c>
      <c r="FM7" s="721"/>
      <c r="FN7" s="519" t="s">
        <v>363</v>
      </c>
      <c r="FO7" s="720" t="s">
        <v>148</v>
      </c>
      <c r="FP7" s="721"/>
      <c r="FQ7" s="519" t="s">
        <v>363</v>
      </c>
      <c r="FR7" s="720" t="s">
        <v>148</v>
      </c>
      <c r="FS7" s="721"/>
      <c r="FT7" s="519" t="s">
        <v>363</v>
      </c>
      <c r="FU7" s="720" t="s">
        <v>148</v>
      </c>
      <c r="FV7" s="721"/>
      <c r="FW7" s="519" t="s">
        <v>363</v>
      </c>
      <c r="FX7" s="720" t="s">
        <v>148</v>
      </c>
      <c r="FY7" s="721"/>
      <c r="FZ7" s="519" t="s">
        <v>363</v>
      </c>
      <c r="GA7" s="720" t="s">
        <v>148</v>
      </c>
      <c r="GB7" s="721"/>
      <c r="GC7" s="519" t="s">
        <v>363</v>
      </c>
      <c r="GD7" s="720" t="s">
        <v>148</v>
      </c>
      <c r="GE7" s="721"/>
      <c r="GF7" s="519" t="s">
        <v>363</v>
      </c>
      <c r="GG7" s="720" t="s">
        <v>148</v>
      </c>
      <c r="GH7" s="721"/>
      <c r="GI7" s="519" t="s">
        <v>363</v>
      </c>
      <c r="GJ7" s="720" t="s">
        <v>148</v>
      </c>
      <c r="GK7" s="721"/>
      <c r="GL7" s="519" t="s">
        <v>363</v>
      </c>
      <c r="GM7" s="720" t="s">
        <v>148</v>
      </c>
      <c r="GN7" s="721"/>
      <c r="GO7" s="519" t="s">
        <v>363</v>
      </c>
      <c r="GP7" s="720" t="s">
        <v>148</v>
      </c>
      <c r="GQ7" s="721"/>
      <c r="GR7" s="519" t="s">
        <v>363</v>
      </c>
      <c r="GS7" s="720" t="s">
        <v>148</v>
      </c>
      <c r="GT7" s="721"/>
      <c r="GU7" s="519" t="s">
        <v>363</v>
      </c>
      <c r="GV7" s="720" t="s">
        <v>148</v>
      </c>
      <c r="GW7" s="721"/>
      <c r="GX7" s="519" t="s">
        <v>363</v>
      </c>
      <c r="GY7" s="720" t="s">
        <v>148</v>
      </c>
      <c r="GZ7" s="721"/>
      <c r="HA7" s="519" t="s">
        <v>363</v>
      </c>
      <c r="HB7" s="720" t="s">
        <v>148</v>
      </c>
      <c r="HC7" s="721"/>
      <c r="HD7" s="519" t="s">
        <v>363</v>
      </c>
      <c r="HE7" s="720" t="s">
        <v>148</v>
      </c>
      <c r="HF7" s="721"/>
      <c r="HG7" s="519" t="s">
        <v>363</v>
      </c>
      <c r="HH7" s="720" t="s">
        <v>148</v>
      </c>
      <c r="HI7" s="721"/>
      <c r="HJ7" s="519" t="s">
        <v>363</v>
      </c>
      <c r="HK7" s="720" t="s">
        <v>148</v>
      </c>
      <c r="HL7" s="721"/>
      <c r="HM7" s="519" t="s">
        <v>363</v>
      </c>
      <c r="HN7" s="720" t="s">
        <v>148</v>
      </c>
      <c r="HO7" s="721"/>
      <c r="HP7" s="519" t="s">
        <v>363</v>
      </c>
      <c r="HQ7" s="720" t="s">
        <v>148</v>
      </c>
      <c r="HR7" s="721"/>
      <c r="HS7" s="519" t="s">
        <v>363</v>
      </c>
      <c r="HT7" s="720" t="s">
        <v>148</v>
      </c>
      <c r="HU7" s="721"/>
      <c r="HV7" s="519" t="s">
        <v>363</v>
      </c>
      <c r="HW7" s="720" t="s">
        <v>148</v>
      </c>
      <c r="HX7" s="721"/>
      <c r="HY7" s="519" t="s">
        <v>363</v>
      </c>
      <c r="HZ7" s="720" t="s">
        <v>148</v>
      </c>
      <c r="IA7" s="721"/>
      <c r="IB7" s="519" t="s">
        <v>363</v>
      </c>
      <c r="IC7" s="720" t="s">
        <v>148</v>
      </c>
      <c r="ID7" s="721"/>
      <c r="IE7" s="519" t="s">
        <v>363</v>
      </c>
      <c r="IF7" s="720" t="s">
        <v>148</v>
      </c>
      <c r="IG7" s="721"/>
      <c r="IH7" s="519" t="s">
        <v>363</v>
      </c>
      <c r="II7" s="724" t="s">
        <v>148</v>
      </c>
      <c r="IJ7" s="724"/>
      <c r="IK7" s="520" t="s">
        <v>363</v>
      </c>
      <c r="IL7" s="720" t="s">
        <v>148</v>
      </c>
      <c r="IM7" s="721"/>
      <c r="IN7" s="519" t="s">
        <v>363</v>
      </c>
      <c r="IO7" s="720" t="s">
        <v>148</v>
      </c>
      <c r="IP7" s="721"/>
      <c r="IQ7" s="519" t="s">
        <v>363</v>
      </c>
      <c r="IR7" s="720" t="s">
        <v>148</v>
      </c>
      <c r="IS7" s="721"/>
      <c r="IT7" s="519" t="s">
        <v>363</v>
      </c>
      <c r="IU7" s="720" t="s">
        <v>148</v>
      </c>
      <c r="IV7" s="721"/>
      <c r="IW7" s="519" t="s">
        <v>363</v>
      </c>
      <c r="IX7" s="720" t="s">
        <v>148</v>
      </c>
      <c r="IY7" s="721"/>
      <c r="IZ7" s="519" t="s">
        <v>363</v>
      </c>
      <c r="JA7" s="720" t="s">
        <v>148</v>
      </c>
      <c r="JB7" s="721"/>
      <c r="JC7" s="519" t="s">
        <v>363</v>
      </c>
      <c r="JD7" s="720" t="s">
        <v>148</v>
      </c>
      <c r="JE7" s="721"/>
      <c r="JF7" s="519" t="s">
        <v>363</v>
      </c>
      <c r="JG7" s="720" t="s">
        <v>148</v>
      </c>
      <c r="JH7" s="721"/>
      <c r="JI7" s="519" t="s">
        <v>363</v>
      </c>
      <c r="JJ7" s="720" t="s">
        <v>148</v>
      </c>
      <c r="JK7" s="721"/>
      <c r="JL7" s="519" t="s">
        <v>363</v>
      </c>
      <c r="JM7" s="720" t="s">
        <v>148</v>
      </c>
      <c r="JN7" s="721"/>
      <c r="JO7" s="519" t="s">
        <v>363</v>
      </c>
      <c r="JP7" s="720" t="s">
        <v>148</v>
      </c>
      <c r="JQ7" s="721"/>
      <c r="JR7" s="519" t="s">
        <v>363</v>
      </c>
      <c r="JS7" s="720" t="s">
        <v>148</v>
      </c>
      <c r="JT7" s="721"/>
      <c r="JU7" s="519" t="s">
        <v>363</v>
      </c>
      <c r="JV7" s="720" t="s">
        <v>148</v>
      </c>
      <c r="JW7" s="721"/>
      <c r="JX7" s="519" t="s">
        <v>363</v>
      </c>
      <c r="JY7" s="720" t="s">
        <v>148</v>
      </c>
      <c r="JZ7" s="721"/>
      <c r="KA7" s="519" t="s">
        <v>363</v>
      </c>
      <c r="KB7" s="720" t="s">
        <v>148</v>
      </c>
      <c r="KC7" s="721"/>
      <c r="KD7" s="519" t="s">
        <v>363</v>
      </c>
      <c r="KE7" s="720" t="s">
        <v>148</v>
      </c>
      <c r="KF7" s="721"/>
      <c r="KG7" s="519" t="s">
        <v>363</v>
      </c>
      <c r="KH7" s="720" t="s">
        <v>148</v>
      </c>
      <c r="KI7" s="721"/>
      <c r="KJ7" s="519" t="s">
        <v>363</v>
      </c>
      <c r="KK7" s="720" t="s">
        <v>148</v>
      </c>
      <c r="KL7" s="721"/>
      <c r="KM7" s="519" t="s">
        <v>363</v>
      </c>
      <c r="KN7" s="720" t="s">
        <v>148</v>
      </c>
      <c r="KO7" s="721"/>
      <c r="KP7" s="519" t="s">
        <v>363</v>
      </c>
      <c r="KQ7" s="724" t="s">
        <v>148</v>
      </c>
      <c r="KR7" s="724"/>
      <c r="KS7" s="520" t="s">
        <v>363</v>
      </c>
      <c r="KT7" s="722"/>
      <c r="KU7" s="722"/>
    </row>
    <row r="8" spans="1:309" ht="15" customHeight="1" thickBot="1">
      <c r="A8" s="704"/>
      <c r="B8" s="707"/>
      <c r="C8" s="707"/>
      <c r="D8" s="713"/>
      <c r="E8" s="710"/>
      <c r="F8" s="521" t="s">
        <v>149</v>
      </c>
      <c r="G8" s="521" t="s">
        <v>44</v>
      </c>
      <c r="H8" s="522"/>
      <c r="I8" s="521" t="s">
        <v>149</v>
      </c>
      <c r="J8" s="521" t="s">
        <v>44</v>
      </c>
      <c r="K8" s="522"/>
      <c r="L8" s="521" t="s">
        <v>149</v>
      </c>
      <c r="M8" s="521" t="s">
        <v>44</v>
      </c>
      <c r="N8" s="522"/>
      <c r="O8" s="521" t="s">
        <v>149</v>
      </c>
      <c r="P8" s="521" t="s">
        <v>44</v>
      </c>
      <c r="Q8" s="522"/>
      <c r="R8" s="521" t="s">
        <v>149</v>
      </c>
      <c r="S8" s="521" t="s">
        <v>44</v>
      </c>
      <c r="T8" s="522"/>
      <c r="U8" s="521" t="s">
        <v>149</v>
      </c>
      <c r="V8" s="521" t="s">
        <v>44</v>
      </c>
      <c r="W8" s="522"/>
      <c r="X8" s="521" t="s">
        <v>149</v>
      </c>
      <c r="Y8" s="521" t="s">
        <v>44</v>
      </c>
      <c r="Z8" s="522"/>
      <c r="AA8" s="521" t="s">
        <v>149</v>
      </c>
      <c r="AB8" s="521" t="s">
        <v>44</v>
      </c>
      <c r="AC8" s="522"/>
      <c r="AD8" s="521" t="s">
        <v>149</v>
      </c>
      <c r="AE8" s="521" t="s">
        <v>44</v>
      </c>
      <c r="AF8" s="522"/>
      <c r="AG8" s="521" t="s">
        <v>149</v>
      </c>
      <c r="AH8" s="521" t="s">
        <v>44</v>
      </c>
      <c r="AI8" s="522"/>
      <c r="AJ8" s="521" t="s">
        <v>149</v>
      </c>
      <c r="AK8" s="521" t="s">
        <v>44</v>
      </c>
      <c r="AL8" s="522"/>
      <c r="AM8" s="521" t="s">
        <v>149</v>
      </c>
      <c r="AN8" s="521" t="s">
        <v>44</v>
      </c>
      <c r="AO8" s="522"/>
      <c r="AP8" s="521" t="s">
        <v>149</v>
      </c>
      <c r="AQ8" s="521" t="s">
        <v>44</v>
      </c>
      <c r="AR8" s="522"/>
      <c r="AS8" s="521" t="s">
        <v>149</v>
      </c>
      <c r="AT8" s="521" t="s">
        <v>44</v>
      </c>
      <c r="AU8" s="522"/>
      <c r="AV8" s="521" t="s">
        <v>149</v>
      </c>
      <c r="AW8" s="521" t="s">
        <v>44</v>
      </c>
      <c r="AX8" s="522"/>
      <c r="AY8" s="521" t="s">
        <v>149</v>
      </c>
      <c r="AZ8" s="521" t="s">
        <v>44</v>
      </c>
      <c r="BA8" s="522"/>
      <c r="BB8" s="521" t="s">
        <v>149</v>
      </c>
      <c r="BC8" s="521" t="s">
        <v>44</v>
      </c>
      <c r="BD8" s="522"/>
      <c r="BE8" s="521" t="s">
        <v>149</v>
      </c>
      <c r="BF8" s="521" t="s">
        <v>44</v>
      </c>
      <c r="BG8" s="522"/>
      <c r="BH8" s="521" t="s">
        <v>149</v>
      </c>
      <c r="BI8" s="521" t="s">
        <v>44</v>
      </c>
      <c r="BJ8" s="522"/>
      <c r="BK8" s="521" t="s">
        <v>149</v>
      </c>
      <c r="BL8" s="521" t="s">
        <v>44</v>
      </c>
      <c r="BM8" s="522"/>
      <c r="BN8" s="521" t="s">
        <v>149</v>
      </c>
      <c r="BO8" s="521" t="s">
        <v>44</v>
      </c>
      <c r="BP8" s="522"/>
      <c r="BQ8" s="521" t="s">
        <v>149</v>
      </c>
      <c r="BR8" s="521" t="s">
        <v>44</v>
      </c>
      <c r="BS8" s="522"/>
      <c r="BT8" s="521" t="s">
        <v>149</v>
      </c>
      <c r="BU8" s="521" t="s">
        <v>44</v>
      </c>
      <c r="BV8" s="522"/>
      <c r="BW8" s="521" t="s">
        <v>149</v>
      </c>
      <c r="BX8" s="521" t="s">
        <v>44</v>
      </c>
      <c r="BY8" s="522"/>
      <c r="BZ8" s="521" t="s">
        <v>149</v>
      </c>
      <c r="CA8" s="521" t="s">
        <v>44</v>
      </c>
      <c r="CB8" s="522"/>
      <c r="CC8" s="521" t="s">
        <v>149</v>
      </c>
      <c r="CD8" s="521" t="s">
        <v>44</v>
      </c>
      <c r="CE8" s="522"/>
      <c r="CF8" s="521" t="s">
        <v>149</v>
      </c>
      <c r="CG8" s="521" t="s">
        <v>44</v>
      </c>
      <c r="CH8" s="522"/>
      <c r="CI8" s="521" t="s">
        <v>149</v>
      </c>
      <c r="CJ8" s="521" t="s">
        <v>44</v>
      </c>
      <c r="CK8" s="522"/>
      <c r="CL8" s="521" t="s">
        <v>149</v>
      </c>
      <c r="CM8" s="521" t="s">
        <v>44</v>
      </c>
      <c r="CN8" s="522"/>
      <c r="CO8" s="521" t="s">
        <v>149</v>
      </c>
      <c r="CP8" s="521" t="s">
        <v>44</v>
      </c>
      <c r="CQ8" s="522"/>
      <c r="CR8" s="521" t="s">
        <v>149</v>
      </c>
      <c r="CS8" s="521" t="s">
        <v>44</v>
      </c>
      <c r="CT8" s="522"/>
      <c r="CU8" s="521" t="s">
        <v>149</v>
      </c>
      <c r="CV8" s="521" t="s">
        <v>44</v>
      </c>
      <c r="CW8" s="522"/>
      <c r="CX8" s="521" t="s">
        <v>149</v>
      </c>
      <c r="CY8" s="521" t="s">
        <v>44</v>
      </c>
      <c r="CZ8" s="522"/>
      <c r="DA8" s="521" t="s">
        <v>149</v>
      </c>
      <c r="DB8" s="521" t="s">
        <v>44</v>
      </c>
      <c r="DC8" s="522"/>
      <c r="DD8" s="521" t="s">
        <v>149</v>
      </c>
      <c r="DE8" s="521" t="s">
        <v>44</v>
      </c>
      <c r="DF8" s="522"/>
      <c r="DG8" s="521" t="s">
        <v>149</v>
      </c>
      <c r="DH8" s="521" t="s">
        <v>44</v>
      </c>
      <c r="DI8" s="522"/>
      <c r="DJ8" s="521" t="s">
        <v>149</v>
      </c>
      <c r="DK8" s="521" t="s">
        <v>44</v>
      </c>
      <c r="DL8" s="522"/>
      <c r="DM8" s="521" t="s">
        <v>149</v>
      </c>
      <c r="DN8" s="521" t="s">
        <v>44</v>
      </c>
      <c r="DO8" s="522"/>
      <c r="DP8" s="521" t="s">
        <v>149</v>
      </c>
      <c r="DQ8" s="521" t="s">
        <v>44</v>
      </c>
      <c r="DR8" s="522"/>
      <c r="DS8" s="521" t="s">
        <v>149</v>
      </c>
      <c r="DT8" s="521" t="s">
        <v>44</v>
      </c>
      <c r="DU8" s="522"/>
      <c r="DV8" s="521" t="s">
        <v>149</v>
      </c>
      <c r="DW8" s="521" t="s">
        <v>44</v>
      </c>
      <c r="DX8" s="522"/>
      <c r="DY8" s="521" t="s">
        <v>149</v>
      </c>
      <c r="DZ8" s="521" t="s">
        <v>44</v>
      </c>
      <c r="EA8" s="522"/>
      <c r="EB8" s="521" t="s">
        <v>149</v>
      </c>
      <c r="EC8" s="521" t="s">
        <v>44</v>
      </c>
      <c r="ED8" s="519"/>
      <c r="EE8" s="521" t="s">
        <v>149</v>
      </c>
      <c r="EF8" s="521" t="s">
        <v>44</v>
      </c>
      <c r="EG8" s="522"/>
      <c r="EH8" s="521" t="s">
        <v>149</v>
      </c>
      <c r="EI8" s="521" t="s">
        <v>44</v>
      </c>
      <c r="EJ8" s="522"/>
      <c r="EK8" s="521" t="s">
        <v>149</v>
      </c>
      <c r="EL8" s="521" t="s">
        <v>44</v>
      </c>
      <c r="EM8" s="522"/>
      <c r="EN8" s="521" t="s">
        <v>149</v>
      </c>
      <c r="EO8" s="521" t="s">
        <v>44</v>
      </c>
      <c r="EP8" s="522"/>
      <c r="EQ8" s="521" t="s">
        <v>149</v>
      </c>
      <c r="ER8" s="521" t="s">
        <v>44</v>
      </c>
      <c r="ES8" s="522"/>
      <c r="ET8" s="521" t="s">
        <v>149</v>
      </c>
      <c r="EU8" s="521" t="s">
        <v>44</v>
      </c>
      <c r="EV8" s="522"/>
      <c r="EW8" s="521" t="s">
        <v>149</v>
      </c>
      <c r="EX8" s="521" t="s">
        <v>44</v>
      </c>
      <c r="EY8" s="522"/>
      <c r="EZ8" s="521" t="s">
        <v>149</v>
      </c>
      <c r="FA8" s="521" t="s">
        <v>44</v>
      </c>
      <c r="FB8" s="522"/>
      <c r="FC8" s="521" t="s">
        <v>149</v>
      </c>
      <c r="FD8" s="521" t="s">
        <v>44</v>
      </c>
      <c r="FE8" s="522"/>
      <c r="FF8" s="521" t="s">
        <v>149</v>
      </c>
      <c r="FG8" s="521" t="s">
        <v>44</v>
      </c>
      <c r="FH8" s="522"/>
      <c r="FI8" s="521" t="s">
        <v>149</v>
      </c>
      <c r="FJ8" s="521" t="s">
        <v>44</v>
      </c>
      <c r="FK8" s="522"/>
      <c r="FL8" s="521" t="s">
        <v>149</v>
      </c>
      <c r="FM8" s="521" t="s">
        <v>44</v>
      </c>
      <c r="FN8" s="522"/>
      <c r="FO8" s="521" t="s">
        <v>149</v>
      </c>
      <c r="FP8" s="521" t="s">
        <v>44</v>
      </c>
      <c r="FQ8" s="522"/>
      <c r="FR8" s="521" t="s">
        <v>149</v>
      </c>
      <c r="FS8" s="521" t="s">
        <v>44</v>
      </c>
      <c r="FT8" s="522"/>
      <c r="FU8" s="521" t="s">
        <v>149</v>
      </c>
      <c r="FV8" s="521" t="s">
        <v>44</v>
      </c>
      <c r="FW8" s="522"/>
      <c r="FX8" s="521" t="s">
        <v>149</v>
      </c>
      <c r="FY8" s="521" t="s">
        <v>44</v>
      </c>
      <c r="FZ8" s="522"/>
      <c r="GA8" s="521" t="s">
        <v>149</v>
      </c>
      <c r="GB8" s="521" t="s">
        <v>44</v>
      </c>
      <c r="GC8" s="522"/>
      <c r="GD8" s="521" t="s">
        <v>149</v>
      </c>
      <c r="GE8" s="521" t="s">
        <v>44</v>
      </c>
      <c r="GF8" s="522"/>
      <c r="GG8" s="521" t="s">
        <v>149</v>
      </c>
      <c r="GH8" s="521" t="s">
        <v>44</v>
      </c>
      <c r="GI8" s="522"/>
      <c r="GJ8" s="521" t="s">
        <v>149</v>
      </c>
      <c r="GK8" s="521" t="s">
        <v>44</v>
      </c>
      <c r="GL8" s="522"/>
      <c r="GM8" s="521" t="s">
        <v>149</v>
      </c>
      <c r="GN8" s="521" t="s">
        <v>44</v>
      </c>
      <c r="GO8" s="522"/>
      <c r="GP8" s="521" t="s">
        <v>149</v>
      </c>
      <c r="GQ8" s="521" t="s">
        <v>44</v>
      </c>
      <c r="GR8" s="522"/>
      <c r="GS8" s="521" t="s">
        <v>149</v>
      </c>
      <c r="GT8" s="521" t="s">
        <v>44</v>
      </c>
      <c r="GU8" s="522"/>
      <c r="GV8" s="521" t="s">
        <v>149</v>
      </c>
      <c r="GW8" s="521" t="s">
        <v>44</v>
      </c>
      <c r="GX8" s="522"/>
      <c r="GY8" s="521" t="s">
        <v>149</v>
      </c>
      <c r="GZ8" s="521" t="s">
        <v>44</v>
      </c>
      <c r="HA8" s="522"/>
      <c r="HB8" s="521" t="s">
        <v>149</v>
      </c>
      <c r="HC8" s="521" t="s">
        <v>44</v>
      </c>
      <c r="HD8" s="522"/>
      <c r="HE8" s="521" t="s">
        <v>149</v>
      </c>
      <c r="HF8" s="521" t="s">
        <v>44</v>
      </c>
      <c r="HG8" s="522"/>
      <c r="HH8" s="521" t="s">
        <v>149</v>
      </c>
      <c r="HI8" s="521" t="s">
        <v>44</v>
      </c>
      <c r="HJ8" s="522"/>
      <c r="HK8" s="521" t="s">
        <v>149</v>
      </c>
      <c r="HL8" s="521" t="s">
        <v>44</v>
      </c>
      <c r="HM8" s="522"/>
      <c r="HN8" s="521" t="s">
        <v>149</v>
      </c>
      <c r="HO8" s="521" t="s">
        <v>44</v>
      </c>
      <c r="HP8" s="522"/>
      <c r="HQ8" s="521" t="s">
        <v>149</v>
      </c>
      <c r="HR8" s="521" t="s">
        <v>44</v>
      </c>
      <c r="HS8" s="522"/>
      <c r="HT8" s="521" t="s">
        <v>149</v>
      </c>
      <c r="HU8" s="521" t="s">
        <v>44</v>
      </c>
      <c r="HV8" s="522"/>
      <c r="HW8" s="521" t="s">
        <v>149</v>
      </c>
      <c r="HX8" s="521" t="s">
        <v>44</v>
      </c>
      <c r="HY8" s="522"/>
      <c r="HZ8" s="521" t="s">
        <v>149</v>
      </c>
      <c r="IA8" s="521" t="s">
        <v>44</v>
      </c>
      <c r="IB8" s="522"/>
      <c r="IC8" s="521" t="s">
        <v>149</v>
      </c>
      <c r="ID8" s="521" t="s">
        <v>44</v>
      </c>
      <c r="IE8" s="522"/>
      <c r="IF8" s="521" t="s">
        <v>149</v>
      </c>
      <c r="IG8" s="521" t="s">
        <v>44</v>
      </c>
      <c r="IH8" s="522"/>
      <c r="II8" s="521" t="s">
        <v>149</v>
      </c>
      <c r="IJ8" s="521" t="s">
        <v>44</v>
      </c>
      <c r="IK8" s="522"/>
      <c r="IL8" s="521" t="s">
        <v>149</v>
      </c>
      <c r="IM8" s="521" t="s">
        <v>44</v>
      </c>
      <c r="IN8" s="522"/>
      <c r="IO8" s="521" t="s">
        <v>149</v>
      </c>
      <c r="IP8" s="521" t="s">
        <v>44</v>
      </c>
      <c r="IQ8" s="522"/>
      <c r="IR8" s="521" t="s">
        <v>149</v>
      </c>
      <c r="IS8" s="521" t="s">
        <v>44</v>
      </c>
      <c r="IT8" s="522"/>
      <c r="IU8" s="521" t="s">
        <v>149</v>
      </c>
      <c r="IV8" s="521" t="s">
        <v>44</v>
      </c>
      <c r="IW8" s="522"/>
      <c r="IX8" s="521" t="s">
        <v>149</v>
      </c>
      <c r="IY8" s="521" t="s">
        <v>44</v>
      </c>
      <c r="IZ8" s="522"/>
      <c r="JA8" s="521" t="s">
        <v>149</v>
      </c>
      <c r="JB8" s="521" t="s">
        <v>44</v>
      </c>
      <c r="JC8" s="522"/>
      <c r="JD8" s="521" t="s">
        <v>149</v>
      </c>
      <c r="JE8" s="521" t="s">
        <v>44</v>
      </c>
      <c r="JF8" s="522"/>
      <c r="JG8" s="521" t="s">
        <v>149</v>
      </c>
      <c r="JH8" s="521" t="s">
        <v>44</v>
      </c>
      <c r="JI8" s="522"/>
      <c r="JJ8" s="521" t="s">
        <v>149</v>
      </c>
      <c r="JK8" s="521" t="s">
        <v>44</v>
      </c>
      <c r="JL8" s="522" t="s">
        <v>396</v>
      </c>
      <c r="JM8" s="521" t="s">
        <v>149</v>
      </c>
      <c r="JN8" s="521" t="s">
        <v>44</v>
      </c>
      <c r="JO8" s="522" t="s">
        <v>396</v>
      </c>
      <c r="JP8" s="521" t="s">
        <v>149</v>
      </c>
      <c r="JQ8" s="521" t="s">
        <v>44</v>
      </c>
      <c r="JR8" s="522" t="s">
        <v>396</v>
      </c>
      <c r="JS8" s="521" t="s">
        <v>149</v>
      </c>
      <c r="JT8" s="521" t="s">
        <v>44</v>
      </c>
      <c r="JU8" s="522" t="s">
        <v>396</v>
      </c>
      <c r="JV8" s="521" t="s">
        <v>149</v>
      </c>
      <c r="JW8" s="521" t="s">
        <v>44</v>
      </c>
      <c r="JX8" s="522" t="s">
        <v>396</v>
      </c>
      <c r="JY8" s="521" t="s">
        <v>149</v>
      </c>
      <c r="JZ8" s="521" t="s">
        <v>44</v>
      </c>
      <c r="KA8" s="522" t="s">
        <v>396</v>
      </c>
      <c r="KB8" s="521" t="s">
        <v>149</v>
      </c>
      <c r="KC8" s="521" t="s">
        <v>44</v>
      </c>
      <c r="KD8" s="522" t="s">
        <v>396</v>
      </c>
      <c r="KE8" s="521" t="s">
        <v>149</v>
      </c>
      <c r="KF8" s="521" t="s">
        <v>44</v>
      </c>
      <c r="KG8" s="522" t="s">
        <v>396</v>
      </c>
      <c r="KH8" s="521" t="s">
        <v>149</v>
      </c>
      <c r="KI8" s="521" t="s">
        <v>44</v>
      </c>
      <c r="KJ8" s="522" t="s">
        <v>396</v>
      </c>
      <c r="KK8" s="521" t="s">
        <v>149</v>
      </c>
      <c r="KL8" s="521" t="s">
        <v>44</v>
      </c>
      <c r="KM8" s="522" t="s">
        <v>396</v>
      </c>
      <c r="KN8" s="521" t="s">
        <v>149</v>
      </c>
      <c r="KO8" s="521" t="s">
        <v>44</v>
      </c>
      <c r="KP8" s="522" t="s">
        <v>396</v>
      </c>
      <c r="KQ8" s="521" t="s">
        <v>149</v>
      </c>
      <c r="KR8" s="521" t="s">
        <v>44</v>
      </c>
      <c r="KS8" s="522" t="s">
        <v>396</v>
      </c>
      <c r="KT8" s="722"/>
      <c r="KU8" s="722"/>
    </row>
    <row r="9" spans="1:309" ht="15" customHeight="1">
      <c r="A9" s="266">
        <f>+Report1!A9</f>
        <v>45962</v>
      </c>
      <c r="B9" s="267" t="str">
        <f>+Report1!B9</f>
        <v>Toilet</v>
      </c>
      <c r="C9" s="267" t="str">
        <f>+Report1!C9</f>
        <v>14/13,5</v>
      </c>
      <c r="D9" s="268">
        <f>+Report1!P9</f>
        <v>42.54</v>
      </c>
      <c r="E9" s="269">
        <f>+Report1!R9</f>
        <v>39.835000000000001</v>
      </c>
      <c r="F9" s="523"/>
      <c r="G9" s="524">
        <f t="shared" ref="G9:G39" si="0">+F9/$E9</f>
        <v>0</v>
      </c>
      <c r="H9" s="525">
        <f>+F9*$H$8</f>
        <v>0</v>
      </c>
      <c r="I9" s="523"/>
      <c r="J9" s="524">
        <f t="shared" ref="J9:J39" si="1">+I9/$E9</f>
        <v>0</v>
      </c>
      <c r="K9" s="525">
        <f>+I9*$H$8</f>
        <v>0</v>
      </c>
      <c r="L9" s="523"/>
      <c r="M9" s="524">
        <f t="shared" ref="M9:M39" si="2">+L9/$E9</f>
        <v>0</v>
      </c>
      <c r="N9" s="525">
        <f>+L9*$H$8</f>
        <v>0</v>
      </c>
      <c r="O9" s="523">
        <v>2.8148000000000053</v>
      </c>
      <c r="P9" s="524">
        <f t="shared" ref="P9:P39" si="3">+O9/$E9</f>
        <v>7.0661478599221922E-2</v>
      </c>
      <c r="Q9" s="525">
        <f>+O9*$H$8</f>
        <v>0</v>
      </c>
      <c r="R9" s="523"/>
      <c r="S9" s="524">
        <f t="shared" ref="S9:S39" si="4">+R9/$E9</f>
        <v>0</v>
      </c>
      <c r="T9" s="525">
        <f>+R9*$H$8</f>
        <v>0</v>
      </c>
      <c r="U9" s="523">
        <v>2.4038000000000039</v>
      </c>
      <c r="V9" s="524">
        <f t="shared" ref="V9:V39" si="5">+U9/$E9</f>
        <v>6.0343918664491125E-2</v>
      </c>
      <c r="W9" s="525">
        <f>+U9*$H$8</f>
        <v>0</v>
      </c>
      <c r="X9" s="523"/>
      <c r="Y9" s="524">
        <f t="shared" ref="Y9:Y39" si="6">+X9/$E9</f>
        <v>0</v>
      </c>
      <c r="Z9" s="525">
        <f>+X9*$H$8</f>
        <v>0</v>
      </c>
      <c r="AA9" s="523"/>
      <c r="AB9" s="524">
        <f t="shared" ref="AB9:AB39" si="7">+AA9/$E9</f>
        <v>0</v>
      </c>
      <c r="AC9" s="525">
        <f>+AA9*$H$8</f>
        <v>0</v>
      </c>
      <c r="AD9" s="523"/>
      <c r="AE9" s="524">
        <f t="shared" ref="AE9:AE39" si="8">+AD9/$E9</f>
        <v>0</v>
      </c>
      <c r="AF9" s="525">
        <f>+AD9*$H$8</f>
        <v>0</v>
      </c>
      <c r="AG9" s="523"/>
      <c r="AH9" s="524">
        <f t="shared" ref="AH9:AH39" si="9">+AG9/$E9</f>
        <v>0</v>
      </c>
      <c r="AI9" s="525">
        <f>+AG9*$H$8</f>
        <v>0</v>
      </c>
      <c r="AJ9" s="523">
        <v>6.8771999999999878</v>
      </c>
      <c r="AK9" s="524">
        <f t="shared" ref="AK9:AK39" si="10">+AJ9/$E9</f>
        <v>0.17264214886406395</v>
      </c>
      <c r="AL9" s="525">
        <f>+AJ9*$H$8</f>
        <v>0</v>
      </c>
      <c r="AM9" s="523"/>
      <c r="AN9" s="524">
        <f t="shared" ref="AN9:AN39" si="11">+AM9/$E9</f>
        <v>0</v>
      </c>
      <c r="AO9" s="525">
        <f>+AM9*$H$8</f>
        <v>0</v>
      </c>
      <c r="AP9" s="523"/>
      <c r="AQ9" s="524">
        <f t="shared" ref="AQ9:AQ39" si="12">+AP9/$E9</f>
        <v>0</v>
      </c>
      <c r="AR9" s="525">
        <f>+AP9*$H$8</f>
        <v>0</v>
      </c>
      <c r="AS9" s="523"/>
      <c r="AT9" s="524">
        <f t="shared" ref="AT9:AT39" si="13">+AS9/$E9</f>
        <v>0</v>
      </c>
      <c r="AU9" s="525">
        <f>+AS9*$H$8</f>
        <v>0</v>
      </c>
      <c r="AV9" s="523"/>
      <c r="AW9" s="524">
        <f t="shared" ref="AW9:AW39" si="14">+AV9/$E9</f>
        <v>0</v>
      </c>
      <c r="AX9" s="525">
        <f>+AV9*$H$8</f>
        <v>0</v>
      </c>
      <c r="AY9" s="523"/>
      <c r="AZ9" s="524">
        <f t="shared" ref="AZ9:AZ39" si="15">+AY9/$E9</f>
        <v>0</v>
      </c>
      <c r="BA9" s="525">
        <f>+AY9*$H$8</f>
        <v>0</v>
      </c>
      <c r="BB9" s="523"/>
      <c r="BC9" s="524">
        <f t="shared" ref="BC9:BC39" si="16">+BB9/$E9</f>
        <v>0</v>
      </c>
      <c r="BD9" s="525">
        <f>+BB9*$H$8</f>
        <v>0</v>
      </c>
      <c r="BE9" s="523"/>
      <c r="BF9" s="524">
        <f t="shared" ref="BF9:BF39" si="17">+BE9/$E9</f>
        <v>0</v>
      </c>
      <c r="BG9" s="525">
        <f>+BE9*$H$8</f>
        <v>0</v>
      </c>
      <c r="BH9" s="523"/>
      <c r="BI9" s="524">
        <f t="shared" ref="BI9:BI39" si="18">+BH9/$E9</f>
        <v>0</v>
      </c>
      <c r="BJ9" s="525">
        <f>+BH9*$H$8</f>
        <v>0</v>
      </c>
      <c r="BK9" s="523"/>
      <c r="BL9" s="524">
        <f t="shared" ref="BL9:BL39" si="19">+BK9/$E9</f>
        <v>0</v>
      </c>
      <c r="BM9" s="525">
        <f>+BK9*$H$8</f>
        <v>0</v>
      </c>
      <c r="BN9" s="523"/>
      <c r="BO9" s="524">
        <f t="shared" ref="BO9:BO39" si="20">+BN9/$E9</f>
        <v>0</v>
      </c>
      <c r="BP9" s="525">
        <f>+BN9*$H$8</f>
        <v>0</v>
      </c>
      <c r="BQ9" s="523"/>
      <c r="BR9" s="524">
        <f t="shared" ref="BR9:BR39" si="21">+BQ9/$E9</f>
        <v>0</v>
      </c>
      <c r="BS9" s="525">
        <f>+BQ9*$H$8</f>
        <v>0</v>
      </c>
      <c r="BT9" s="523"/>
      <c r="BU9" s="524">
        <f t="shared" ref="BU9:BU39" si="22">+BT9/$E9</f>
        <v>0</v>
      </c>
      <c r="BV9" s="525">
        <f>+BT9*$H$8</f>
        <v>0</v>
      </c>
      <c r="BW9" s="523"/>
      <c r="BX9" s="524">
        <f t="shared" ref="BX9:BX39" si="23">+BW9/$E9</f>
        <v>0</v>
      </c>
      <c r="BY9" s="525">
        <f>+BW9*$H$8</f>
        <v>0</v>
      </c>
      <c r="BZ9" s="523"/>
      <c r="CA9" s="524">
        <f t="shared" ref="CA9:CA39" si="24">+BZ9/$E9</f>
        <v>0</v>
      </c>
      <c r="CB9" s="525">
        <f>+BZ9*$H$8</f>
        <v>0</v>
      </c>
      <c r="CC9" s="523"/>
      <c r="CD9" s="524">
        <f t="shared" ref="CD9:CD39" si="25">+CC9/$E9</f>
        <v>0</v>
      </c>
      <c r="CE9" s="525">
        <f>+CC9*$H$8</f>
        <v>0</v>
      </c>
      <c r="CF9" s="523">
        <v>2.5</v>
      </c>
      <c r="CG9" s="524">
        <f t="shared" ref="CG9:CG39" si="26">+CF9/$E9</f>
        <v>6.2758880381573998E-2</v>
      </c>
      <c r="CH9" s="525">
        <f>+CF9*$H$8</f>
        <v>0</v>
      </c>
      <c r="CI9" s="523"/>
      <c r="CJ9" s="524">
        <f t="shared" ref="CJ9:CJ39" si="27">+CI9/$E9</f>
        <v>0</v>
      </c>
      <c r="CK9" s="525">
        <f>+CI9*$H$8</f>
        <v>0</v>
      </c>
      <c r="CL9" s="523"/>
      <c r="CM9" s="524">
        <f t="shared" ref="CM9:CM39" si="28">+CL9/$E9</f>
        <v>0</v>
      </c>
      <c r="CN9" s="525">
        <f>+CL9*$H$8</f>
        <v>0</v>
      </c>
      <c r="CO9" s="523"/>
      <c r="CP9" s="524">
        <f t="shared" ref="CP9:CP39" si="29">+CO9/$E9</f>
        <v>0</v>
      </c>
      <c r="CQ9" s="525">
        <f>+CO9*$H$8</f>
        <v>0</v>
      </c>
      <c r="CR9" s="523"/>
      <c r="CS9" s="524">
        <f t="shared" ref="CS9:CS39" si="30">+CR9/$E9</f>
        <v>0</v>
      </c>
      <c r="CT9" s="525">
        <f>+CR9*$H$8</f>
        <v>0</v>
      </c>
      <c r="CU9" s="523"/>
      <c r="CV9" s="524">
        <f t="shared" ref="CV9:CV39" si="31">+CU9/$E9</f>
        <v>0</v>
      </c>
      <c r="CW9" s="525">
        <f>+CU9*$H$8</f>
        <v>0</v>
      </c>
      <c r="CX9" s="523"/>
      <c r="CY9" s="524">
        <f t="shared" ref="CY9:CY39" si="32">+CX9/$E9</f>
        <v>0</v>
      </c>
      <c r="CZ9" s="525">
        <f>+CX9*$H$8</f>
        <v>0</v>
      </c>
      <c r="DA9" s="523">
        <v>217.95395348837224</v>
      </c>
      <c r="DB9" s="524">
        <f t="shared" ref="DB9:DB39" si="33">+DA9/$E9</f>
        <v>5.4714184382671576</v>
      </c>
      <c r="DC9" s="525">
        <f>+DA9*$H$8</f>
        <v>0</v>
      </c>
      <c r="DD9" s="523"/>
      <c r="DE9" s="524">
        <f t="shared" ref="DE9:DE39" si="34">+DD9/$E9</f>
        <v>0</v>
      </c>
      <c r="DF9" s="525">
        <f>+DD9*$H$8</f>
        <v>0</v>
      </c>
      <c r="DG9" s="523"/>
      <c r="DH9" s="524">
        <f t="shared" ref="DH9:DH39" si="35">+DG9/$E9</f>
        <v>0</v>
      </c>
      <c r="DI9" s="525">
        <v>0</v>
      </c>
      <c r="DJ9" s="523"/>
      <c r="DK9" s="524">
        <f t="shared" ref="DK9:DK39" si="36">+DJ9/$E9</f>
        <v>0</v>
      </c>
      <c r="DL9" s="525">
        <f>+DJ9*$H$8</f>
        <v>0</v>
      </c>
      <c r="DM9" s="523"/>
      <c r="DN9" s="524">
        <f t="shared" ref="DN9:DN39" si="37">+DM9/$E9</f>
        <v>0</v>
      </c>
      <c r="DO9" s="525">
        <f>+DM9*$H$8</f>
        <v>0</v>
      </c>
      <c r="DP9" s="523"/>
      <c r="DQ9" s="524">
        <f t="shared" ref="DQ9:DQ39" si="38">+DP9/$E9</f>
        <v>0</v>
      </c>
      <c r="DR9" s="525">
        <f>+DP9*$H$8</f>
        <v>0</v>
      </c>
      <c r="DS9" s="523"/>
      <c r="DT9" s="524">
        <f t="shared" ref="DT9:DT39" si="39">+DS9/$E9</f>
        <v>0</v>
      </c>
      <c r="DU9" s="525">
        <f>+DS9*$H$8</f>
        <v>0</v>
      </c>
      <c r="DV9" s="523"/>
      <c r="DW9" s="524">
        <f t="shared" ref="DW9:DW39" si="40">+DV9/$E9</f>
        <v>0</v>
      </c>
      <c r="DX9" s="525">
        <f>+DV9*$H$8</f>
        <v>0</v>
      </c>
      <c r="DY9" s="523"/>
      <c r="DZ9" s="524">
        <f t="shared" ref="DZ9:DZ39" si="41">+DY9/$E9</f>
        <v>0</v>
      </c>
      <c r="EA9" s="525">
        <f>+DY9*$H$8</f>
        <v>0</v>
      </c>
      <c r="EB9" s="523"/>
      <c r="EC9" s="524">
        <f t="shared" ref="EC9:EC39" si="42">+EB9/$E9</f>
        <v>0</v>
      </c>
      <c r="ED9" s="525">
        <f>+EB9*$H$8</f>
        <v>0</v>
      </c>
      <c r="EE9" s="523">
        <v>225.57941176470581</v>
      </c>
      <c r="EF9" s="524">
        <f t="shared" ref="EF9:EF39" si="43">+EE9/$E9</f>
        <v>5.6628445277947987</v>
      </c>
      <c r="EG9" s="525">
        <f>+EE9*$H$8</f>
        <v>0</v>
      </c>
      <c r="EH9" s="523">
        <v>1.5</v>
      </c>
      <c r="EI9" s="524">
        <f t="shared" ref="EI9:EI39" si="44">+EH9/$E9</f>
        <v>3.7655328228944393E-2</v>
      </c>
      <c r="EJ9" s="525">
        <f>+EH9*$H$8</f>
        <v>0</v>
      </c>
      <c r="EK9" s="523">
        <v>45.713112195121766</v>
      </c>
      <c r="EL9" s="524">
        <f t="shared" ref="EL9:EL39" si="45">+EK9/$E9</f>
        <v>1.1475614960492473</v>
      </c>
      <c r="EM9" s="525">
        <f>+EK9*$H$8</f>
        <v>0</v>
      </c>
      <c r="EN9" s="523">
        <v>50.950581395348763</v>
      </c>
      <c r="EO9" s="524">
        <f t="shared" ref="EO9:EO39" si="46">+EN9/$E9</f>
        <v>1.2790405772649369</v>
      </c>
      <c r="EP9" s="525">
        <f>+EN9*$H$8</f>
        <v>0</v>
      </c>
      <c r="EQ9" s="523"/>
      <c r="ER9" s="524">
        <f t="shared" ref="ER9:ER39" si="47">+EQ9/$E9</f>
        <v>0</v>
      </c>
      <c r="ES9" s="525">
        <f>+EQ9*$H$8</f>
        <v>0</v>
      </c>
      <c r="ET9" s="523"/>
      <c r="EU9" s="524">
        <f t="shared" ref="EU9:EU39" si="48">+ET9/$E9</f>
        <v>0</v>
      </c>
      <c r="EV9" s="525">
        <f>+ET9*$H$8</f>
        <v>0</v>
      </c>
      <c r="EW9" s="523"/>
      <c r="EX9" s="524">
        <f t="shared" ref="EX9:EX39" si="49">+EW9/$E9</f>
        <v>0</v>
      </c>
      <c r="EY9" s="525">
        <f>+EW9*$H$8</f>
        <v>0</v>
      </c>
      <c r="EZ9" s="523"/>
      <c r="FA9" s="524">
        <f t="shared" ref="FA9:FA39" si="50">+EZ9/$E9</f>
        <v>0</v>
      </c>
      <c r="FB9" s="525">
        <f>+EZ9*$H$8</f>
        <v>0</v>
      </c>
      <c r="FC9" s="523"/>
      <c r="FD9" s="524">
        <f t="shared" ref="FD9:FD39" si="51">+FC9/$E9</f>
        <v>0</v>
      </c>
      <c r="FE9" s="525">
        <f>+FC9*$H$8</f>
        <v>0</v>
      </c>
      <c r="FF9" s="523"/>
      <c r="FG9" s="524">
        <f t="shared" ref="FG9:FG39" si="52">+FF9/$E9</f>
        <v>0</v>
      </c>
      <c r="FH9" s="525">
        <f>+FF9*$H$8</f>
        <v>0</v>
      </c>
      <c r="FI9" s="523"/>
      <c r="FJ9" s="524">
        <f t="shared" ref="FJ9:FJ39" si="53">+FI9/$E9</f>
        <v>0</v>
      </c>
      <c r="FK9" s="525">
        <f>+FI9*$H$8</f>
        <v>0</v>
      </c>
      <c r="FL9" s="523"/>
      <c r="FM9" s="524">
        <f t="shared" ref="FM9:FM39" si="54">+FL9/$E9</f>
        <v>0</v>
      </c>
      <c r="FN9" s="525">
        <f>+FL9*$H$8</f>
        <v>0</v>
      </c>
      <c r="FO9" s="523"/>
      <c r="FP9" s="524">
        <f t="shared" ref="FP9:FP39" si="55">+FO9/$E9</f>
        <v>0</v>
      </c>
      <c r="FQ9" s="525">
        <f>+FO9*$H$8</f>
        <v>0</v>
      </c>
      <c r="FR9" s="523"/>
      <c r="FS9" s="524">
        <f t="shared" ref="FS9:FS39" si="56">+FR9/$E9</f>
        <v>0</v>
      </c>
      <c r="FT9" s="525">
        <f>+FR9*$H$8</f>
        <v>0</v>
      </c>
      <c r="FU9" s="523"/>
      <c r="FV9" s="524">
        <f t="shared" ref="FV9:FV39" si="57">+FU9/$E9</f>
        <v>0</v>
      </c>
      <c r="FW9" s="525">
        <f>+FU9*$H$8</f>
        <v>0</v>
      </c>
      <c r="FX9" s="523"/>
      <c r="FY9" s="524">
        <f t="shared" ref="FY9:FY39" si="58">+FX9/$E9</f>
        <v>0</v>
      </c>
      <c r="FZ9" s="525">
        <f>+FX9*$H$8</f>
        <v>0</v>
      </c>
      <c r="GA9" s="523"/>
      <c r="GB9" s="596">
        <f>+GA9/$E9</f>
        <v>0</v>
      </c>
      <c r="GC9" s="525">
        <f>+GA9*$H$8</f>
        <v>0</v>
      </c>
      <c r="GD9" s="523"/>
      <c r="GE9" s="524">
        <f t="shared" ref="GE9:GE39" si="59">+GD9/$E9</f>
        <v>0</v>
      </c>
      <c r="GF9" s="525">
        <f>+GD9*$H$8</f>
        <v>0</v>
      </c>
      <c r="GG9" s="523">
        <v>5.2088307681005031</v>
      </c>
      <c r="GH9" s="596">
        <f>+GG9/$E9</f>
        <v>0.13076015484123266</v>
      </c>
      <c r="GI9" s="525">
        <f>+GG9*$H$8</f>
        <v>0</v>
      </c>
      <c r="GJ9" s="523">
        <v>10.417661536201006</v>
      </c>
      <c r="GK9" s="524">
        <f t="shared" ref="GK9:GK29" si="60">+GJ9/$E9</f>
        <v>0.26152030968246531</v>
      </c>
      <c r="GL9" s="525">
        <f>+GJ9*$H$8</f>
        <v>0</v>
      </c>
      <c r="GM9" s="523"/>
      <c r="GN9" s="524">
        <f t="shared" ref="GN9:GN25" si="61">+GM9/$E9</f>
        <v>0</v>
      </c>
      <c r="GO9" s="525">
        <f>+GM9*$H$8</f>
        <v>0</v>
      </c>
      <c r="GP9" s="523">
        <v>28.648569224552766</v>
      </c>
      <c r="GQ9" s="524">
        <f t="shared" ref="GQ9:GQ25" si="62">+GP9/$E9</f>
        <v>0.71918085162677958</v>
      </c>
      <c r="GR9" s="525">
        <f>+GP9*$H$8</f>
        <v>0</v>
      </c>
      <c r="GS9" s="523">
        <v>182.3090768835176</v>
      </c>
      <c r="GT9" s="524">
        <f t="shared" ref="GT9:GT25" si="63">+GS9/$E9</f>
        <v>4.5766054194431431</v>
      </c>
      <c r="GU9" s="525">
        <f>+GS9*$H$8</f>
        <v>0</v>
      </c>
      <c r="GV9" s="523">
        <v>41.670646144804024</v>
      </c>
      <c r="GW9" s="524">
        <f t="shared" ref="GW9:GW28" si="64">+GV9/$E9</f>
        <v>1.0460812387298613</v>
      </c>
      <c r="GX9" s="525">
        <f>+GV9*$H$8</f>
        <v>0</v>
      </c>
      <c r="GY9" s="523"/>
      <c r="GZ9" s="524">
        <f t="shared" ref="GZ9:GZ39" si="65">+GY9/$E9</f>
        <v>0</v>
      </c>
      <c r="HA9" s="525">
        <f>+GY9*$H$8</f>
        <v>0</v>
      </c>
      <c r="HB9" s="523"/>
      <c r="HC9" s="524">
        <f t="shared" ref="HC9:HC39" si="66">+HB9/$E9</f>
        <v>0</v>
      </c>
      <c r="HD9" s="525">
        <f>+HB9*$H$8</f>
        <v>0</v>
      </c>
      <c r="HE9" s="523"/>
      <c r="HF9" s="524">
        <f t="shared" ref="HF9:HF39" si="67">+HE9/$E9</f>
        <v>0</v>
      </c>
      <c r="HG9" s="525">
        <f>+HE9*$H$8</f>
        <v>0</v>
      </c>
      <c r="HH9" s="523"/>
      <c r="HI9" s="524">
        <f t="shared" ref="HI9:HI39" si="68">+HH9/$E9</f>
        <v>0</v>
      </c>
      <c r="HJ9" s="525">
        <f>+HH9*$H$8</f>
        <v>0</v>
      </c>
      <c r="HK9" s="523"/>
      <c r="HL9" s="524">
        <f t="shared" ref="HL9:HL39" si="69">+HK9/$E9</f>
        <v>0</v>
      </c>
      <c r="HM9" s="525">
        <f>+HK9*$H$8</f>
        <v>0</v>
      </c>
      <c r="HN9" s="523">
        <v>836.01733828013073</v>
      </c>
      <c r="HO9" s="524">
        <f t="shared" ref="HO9:HO39" si="70">+HN9/$E9</f>
        <v>20.98700485201784</v>
      </c>
      <c r="HP9" s="525">
        <f>+HN9*$H$8</f>
        <v>0</v>
      </c>
      <c r="HQ9" s="523"/>
      <c r="HR9" s="524">
        <f t="shared" ref="HR9:HR39" si="71">+HQ9/$E9</f>
        <v>0</v>
      </c>
      <c r="HS9" s="525">
        <f>+HQ9*$H$8</f>
        <v>0</v>
      </c>
      <c r="HT9" s="523"/>
      <c r="HU9" s="524">
        <f t="shared" ref="HU9:HU39" si="72">+HT9/$E9</f>
        <v>0</v>
      </c>
      <c r="HV9" s="525">
        <f>+HT9*$H$8</f>
        <v>0</v>
      </c>
      <c r="HW9" s="523"/>
      <c r="HX9" s="524">
        <f t="shared" ref="HX9:HX39" si="73">+HW9/$E9</f>
        <v>0</v>
      </c>
      <c r="HY9" s="525">
        <f>+HW9*$H$8</f>
        <v>0</v>
      </c>
      <c r="HZ9" s="523"/>
      <c r="IA9" s="524">
        <f t="shared" ref="IA9:IA39" si="74">+HZ9/$E9</f>
        <v>0</v>
      </c>
      <c r="IB9" s="525">
        <f>+HZ9*$H$8</f>
        <v>0</v>
      </c>
      <c r="IC9" s="523"/>
      <c r="ID9" s="524">
        <f t="shared" ref="ID9:ID39" si="75">+IC9/$E9</f>
        <v>0</v>
      </c>
      <c r="IE9" s="525">
        <f>+IC9*$H$8</f>
        <v>0</v>
      </c>
      <c r="IF9" s="523"/>
      <c r="IG9" s="524">
        <f t="shared" ref="IG9:IG39" si="76">+IF9/$E9</f>
        <v>0</v>
      </c>
      <c r="IH9" s="525">
        <f>+IF9*$H$8</f>
        <v>0</v>
      </c>
      <c r="II9" s="523">
        <v>5.2088307681005031</v>
      </c>
      <c r="IJ9" s="524">
        <f t="shared" ref="IJ9:IJ39" si="77">+II9/$E9</f>
        <v>0.13076015484123266</v>
      </c>
      <c r="IK9" s="525">
        <f>+II9*$H$8</f>
        <v>0</v>
      </c>
      <c r="IL9" s="523"/>
      <c r="IM9" s="524">
        <f t="shared" ref="IM9:IM39" si="78">+IL9/$E9</f>
        <v>0</v>
      </c>
      <c r="IN9" s="525">
        <f>+IL9*$H$8</f>
        <v>0</v>
      </c>
      <c r="IO9" s="523"/>
      <c r="IP9" s="524">
        <f t="shared" ref="IP9:IP39" si="79">+IO9/$E9</f>
        <v>0</v>
      </c>
      <c r="IQ9" s="525">
        <f>+IO9*$H$8</f>
        <v>0</v>
      </c>
      <c r="IR9" s="523">
        <v>36.46181537670352</v>
      </c>
      <c r="IS9" s="524">
        <f t="shared" ref="IS9:IS39" si="80">+IR9/$E9</f>
        <v>0.91532108388862854</v>
      </c>
      <c r="IT9" s="525">
        <f>+IR9*$H$8</f>
        <v>0</v>
      </c>
      <c r="IU9" s="523"/>
      <c r="IV9" s="524">
        <f t="shared" ref="IV9:IV39" si="81">+IU9/$E9</f>
        <v>0</v>
      </c>
      <c r="IW9" s="525">
        <f>+IU9*$H$8</f>
        <v>0</v>
      </c>
      <c r="IX9" s="523"/>
      <c r="IY9" s="524">
        <f t="shared" ref="IY9:IY39" si="82">+IX9/$E9</f>
        <v>0</v>
      </c>
      <c r="IZ9" s="525">
        <f>+IX9*$H$8</f>
        <v>0</v>
      </c>
      <c r="JA9" s="523"/>
      <c r="JB9" s="524">
        <f t="shared" ref="JB9:JB39" si="83">+JA9/$E9</f>
        <v>0</v>
      </c>
      <c r="JC9" s="525">
        <f>+JA9*$H$8</f>
        <v>0</v>
      </c>
      <c r="JD9" s="523"/>
      <c r="JE9" s="524">
        <f t="shared" ref="JE9:JE39" si="84">+JD9/$E9</f>
        <v>0</v>
      </c>
      <c r="JF9" s="525">
        <f>+JD9*$H$8</f>
        <v>0</v>
      </c>
      <c r="JG9" s="523"/>
      <c r="JH9" s="524">
        <f t="shared" ref="JH9:JH39" si="85">+JG9/$E9</f>
        <v>0</v>
      </c>
      <c r="JI9" s="525">
        <f>+JG9*$H$8</f>
        <v>0</v>
      </c>
      <c r="JJ9" s="523">
        <v>23.439738456452265</v>
      </c>
      <c r="JK9" s="524">
        <f t="shared" ref="JK9:JK39" si="86">+JJ9/$E9</f>
        <v>0.58842069678554698</v>
      </c>
      <c r="JL9" s="525" t="str">
        <f t="shared" ref="JL9:JL39" si="87">IFERROR(((JJ9*JL$8)/$L9),"0")</f>
        <v>0</v>
      </c>
      <c r="JM9" s="523">
        <v>7.8132461521507546</v>
      </c>
      <c r="JN9" s="524">
        <f t="shared" ref="JN9:JN39" si="88">+JM9/$E9</f>
        <v>0.19614023226184898</v>
      </c>
      <c r="JO9" s="525" t="str">
        <f t="shared" ref="JO9:JO39" si="89">IFERROR(((JM9*JO$8)/$L9),"0")</f>
        <v>0</v>
      </c>
      <c r="JP9" s="523"/>
      <c r="JQ9" s="525" t="str">
        <f t="shared" ref="JQ9:JQ39" si="90">IFERROR((JP9/$L9),"0")</f>
        <v>0</v>
      </c>
      <c r="JR9" s="525" t="str">
        <f t="shared" ref="JR9:JR39" si="91">IFERROR(((JP9*JR$8)/$L9),"0")</f>
        <v>0</v>
      </c>
      <c r="JS9" s="523"/>
      <c r="JT9" s="525" t="str">
        <f t="shared" ref="JT9:JT39" si="92">IFERROR((JS9/$L9),"0")</f>
        <v>0</v>
      </c>
      <c r="JU9" s="525" t="str">
        <f t="shared" ref="JU9:JU39" si="93">IFERROR(((JS9*JU$8)/$L9),"0")</f>
        <v>0</v>
      </c>
      <c r="JV9" s="523"/>
      <c r="JW9" s="525" t="str">
        <f t="shared" ref="JW9:JW39" si="94">IFERROR((JV9/$L9),"0")</f>
        <v>0</v>
      </c>
      <c r="JX9" s="525" t="str">
        <f t="shared" ref="JX9:JX39" si="95">IFERROR(((JV9*JX$8)/$L9),"0")</f>
        <v>0</v>
      </c>
      <c r="JY9" s="523"/>
      <c r="JZ9" s="525" t="str">
        <f t="shared" ref="JZ9:JZ39" si="96">IFERROR((JY9/$L9),"0")</f>
        <v>0</v>
      </c>
      <c r="KA9" s="525" t="str">
        <f t="shared" ref="KA9:KA39" si="97">IFERROR(((JY9*KA$8)/$L9),"0")</f>
        <v>0</v>
      </c>
      <c r="KB9" s="523"/>
      <c r="KC9" s="525" t="str">
        <f t="shared" ref="KC9:KC39" si="98">IFERROR((KB9/$L9),"0")</f>
        <v>0</v>
      </c>
      <c r="KD9" s="525" t="str">
        <f t="shared" ref="KD9:KD39" si="99">IFERROR(((KB9*KD$8)/$L9),"0")</f>
        <v>0</v>
      </c>
      <c r="KE9" s="523"/>
      <c r="KF9" s="525" t="str">
        <f t="shared" ref="KF9:KF39" si="100">IFERROR((KE9/$L9),"0")</f>
        <v>0</v>
      </c>
      <c r="KG9" s="525" t="str">
        <f t="shared" ref="KG9:KG39" si="101">IFERROR(((KE9*KG$8)/$L9),"0")</f>
        <v>0</v>
      </c>
      <c r="KH9" s="523"/>
      <c r="KI9" s="525" t="str">
        <f t="shared" ref="KI9:KI39" si="102">IFERROR((KH9/$L9),"0")</f>
        <v>0</v>
      </c>
      <c r="KJ9" s="525" t="str">
        <f t="shared" ref="KJ9:KJ39" si="103">IFERROR(((KH9*KJ$8)/$L9),"0")</f>
        <v>0</v>
      </c>
      <c r="KK9" s="523"/>
      <c r="KL9" s="525" t="str">
        <f t="shared" ref="KL9:KL39" si="104">IFERROR((KK9/$L9),"0")</f>
        <v>0</v>
      </c>
      <c r="KM9" s="525" t="str">
        <f t="shared" ref="KM9:KM39" si="105">IFERROR(((KK9*KM$8)/$L9),"0")</f>
        <v>0</v>
      </c>
      <c r="KN9" s="523"/>
      <c r="KO9" s="525" t="str">
        <f t="shared" ref="KO9:KO39" si="106">IFERROR((KN9/$L9),"0")</f>
        <v>0</v>
      </c>
      <c r="KP9" s="525" t="str">
        <f t="shared" ref="KP9:KP39" si="107">IFERROR(((KN9*KP$8)/$L9),"0")</f>
        <v>0</v>
      </c>
      <c r="KQ9" s="523"/>
      <c r="KR9" s="525" t="str">
        <f t="shared" ref="KR9:KR39" si="108">IFERROR((KQ9/$L9),"0")</f>
        <v>0</v>
      </c>
      <c r="KS9" s="525" t="str">
        <f t="shared" ref="KS9:KS39" si="109">IFERROR(((KQ9*KS$8)/$L9),"0")</f>
        <v>0</v>
      </c>
      <c r="KT9" s="525">
        <f>H9+K9+N9+Q9+T9+W9+Z9+AC9+AF9+AI9+AL9+AO9+AR9+AU9+AX9+BA9+BD9+BG9+BJ9+BM9+BP9+BS9+BV9+BY9+CB9+CE9+CH9+CK9+CN9+CQ9+CT9+CW9+CZ9+DC9+DF9+DI9+DL9+DO9+DR9+DU9+DX9+EA9+ED9+EG9+EJ9+EM9+EP9+ES9+EV9+EY9+FB9+FE9+FH9+FK9+FN9+FQ9+FT9+FW9+FZ9+GC9</f>
        <v>0</v>
      </c>
      <c r="KU9" s="525">
        <f>GF9+GI9+GL9+GO9+GR9+GU9+GX9+HA9+HD9+HG9+HJ9+HM9+HP9+HS9+HV9+HY9+IB9+IE9+IH9+IK9+IN9+IQ9+IT9+IW9+IZ9+JC9+JF9+JI9+JL9+JO9+JR9+JU9+JX9++KA9+KD9+KG9+KJ9++KM9+KP9+KS9</f>
        <v>0</v>
      </c>
      <c r="KV9" s="264">
        <f>+F9+I9+L9+O9+R9+U9+X9+AA9+AD9+AG9+AJ9+AM9+AP9+AS9+AV9+AY9+BB9+BE9+BH9+BK9+BN9+BQ9+BT9+BW9+BZ9+CC9+CF9+CI9+CL9+CO9+CR9+CU9+CX9+DA9+DD9+DJ9+DM9+DP9+DS9+DV9+DY9+EB9+GG9+GJ9+GM9+GP9+GS9+HN9+II9+IR9+GV9+IU9++HT9+HW9+HZ9+IC9+JA9+JJ9+JM9+HB9+EE9+GD9+EH9+GA9+EN9+EK9</f>
        <v>1733.4886124342622</v>
      </c>
    </row>
    <row r="10" spans="1:309" ht="15" customHeight="1">
      <c r="A10" s="266">
        <f>+A9+1</f>
        <v>45963</v>
      </c>
      <c r="B10" s="267" t="str">
        <f>+Report1!B10</f>
        <v>Toilet</v>
      </c>
      <c r="C10" s="267" t="str">
        <f>+Report1!C10</f>
        <v>13,5/14</v>
      </c>
      <c r="D10" s="268">
        <f>+Report1!P10</f>
        <v>48.241</v>
      </c>
      <c r="E10" s="269">
        <f>+Report1!R10</f>
        <v>49.100999999999999</v>
      </c>
      <c r="F10" s="523"/>
      <c r="G10" s="524">
        <f t="shared" si="0"/>
        <v>0</v>
      </c>
      <c r="H10" s="525">
        <f t="shared" ref="H10:H39" si="110">+F10*$H$8</f>
        <v>0</v>
      </c>
      <c r="I10" s="523"/>
      <c r="J10" s="524">
        <f t="shared" si="1"/>
        <v>0</v>
      </c>
      <c r="K10" s="525">
        <f t="shared" ref="K10:K39" si="111">+I10*$H$8</f>
        <v>0</v>
      </c>
      <c r="L10" s="523"/>
      <c r="M10" s="524">
        <f t="shared" si="2"/>
        <v>0</v>
      </c>
      <c r="N10" s="525">
        <f t="shared" ref="N10:N39" si="112">+L10*$H$8</f>
        <v>0</v>
      </c>
      <c r="O10" s="523">
        <v>3.1899999999999977</v>
      </c>
      <c r="P10" s="524">
        <f t="shared" si="3"/>
        <v>6.4968126922058569E-2</v>
      </c>
      <c r="Q10" s="525">
        <f t="shared" ref="Q10:Q39" si="113">+O10*$H$8</f>
        <v>0</v>
      </c>
      <c r="R10" s="523"/>
      <c r="S10" s="524">
        <f t="shared" si="4"/>
        <v>0</v>
      </c>
      <c r="T10" s="525">
        <f t="shared" ref="T10:T39" si="114">+R10*$H$8</f>
        <v>0</v>
      </c>
      <c r="U10" s="523">
        <v>2.7192000000000007</v>
      </c>
      <c r="V10" s="524">
        <f t="shared" si="5"/>
        <v>5.5379727500458255E-2</v>
      </c>
      <c r="W10" s="525">
        <f t="shared" ref="W10:W39" si="115">+U10*$H$8</f>
        <v>0</v>
      </c>
      <c r="X10" s="523"/>
      <c r="Y10" s="524">
        <f t="shared" si="6"/>
        <v>0</v>
      </c>
      <c r="Z10" s="525">
        <f t="shared" ref="Z10:Z39" si="116">+X10*$H$8</f>
        <v>0</v>
      </c>
      <c r="AA10" s="523"/>
      <c r="AB10" s="524">
        <f t="shared" si="7"/>
        <v>0</v>
      </c>
      <c r="AC10" s="525">
        <f t="shared" ref="AC10:AC39" si="117">+AA10*$H$8</f>
        <v>0</v>
      </c>
      <c r="AD10" s="523"/>
      <c r="AE10" s="524">
        <f t="shared" si="8"/>
        <v>0</v>
      </c>
      <c r="AF10" s="525">
        <f t="shared" ref="AF10:AF39" si="118">+AD10*$H$8</f>
        <v>0</v>
      </c>
      <c r="AG10" s="523"/>
      <c r="AH10" s="524">
        <f t="shared" si="9"/>
        <v>0</v>
      </c>
      <c r="AI10" s="525">
        <f t="shared" ref="AI10:AI39" si="119">+AG10*$H$8</f>
        <v>0</v>
      </c>
      <c r="AJ10" s="523">
        <v>7.8104999999999905</v>
      </c>
      <c r="AK10" s="524">
        <f t="shared" si="10"/>
        <v>0.15907008003910289</v>
      </c>
      <c r="AL10" s="525">
        <f t="shared" ref="AL10:AL39" si="120">+AJ10*$H$8</f>
        <v>0</v>
      </c>
      <c r="AM10" s="523"/>
      <c r="AN10" s="524">
        <f t="shared" si="11"/>
        <v>0</v>
      </c>
      <c r="AO10" s="525">
        <f t="shared" ref="AO10:AO39" si="121">+AM10*$H$8</f>
        <v>0</v>
      </c>
      <c r="AP10" s="523"/>
      <c r="AQ10" s="524">
        <f t="shared" si="12"/>
        <v>0</v>
      </c>
      <c r="AR10" s="525">
        <f t="shared" ref="AR10:AR39" si="122">+AP10*$H$8</f>
        <v>0</v>
      </c>
      <c r="AS10" s="523"/>
      <c r="AT10" s="524">
        <f t="shared" si="13"/>
        <v>0</v>
      </c>
      <c r="AU10" s="525">
        <f t="shared" ref="AU10:AU39" si="123">+AS10*$H$8</f>
        <v>0</v>
      </c>
      <c r="AV10" s="523"/>
      <c r="AW10" s="524">
        <f t="shared" si="14"/>
        <v>0</v>
      </c>
      <c r="AX10" s="525">
        <f t="shared" ref="AX10:AX39" si="124">+AV10*$H$8</f>
        <v>0</v>
      </c>
      <c r="AY10" s="523"/>
      <c r="AZ10" s="524">
        <f t="shared" si="15"/>
        <v>0</v>
      </c>
      <c r="BA10" s="525">
        <f t="shared" ref="BA10:BA39" si="125">+AY10*$H$8</f>
        <v>0</v>
      </c>
      <c r="BB10" s="523"/>
      <c r="BC10" s="524">
        <f t="shared" si="16"/>
        <v>0</v>
      </c>
      <c r="BD10" s="525">
        <f t="shared" ref="BD10:BD39" si="126">+BB10*$H$8</f>
        <v>0</v>
      </c>
      <c r="BE10" s="523"/>
      <c r="BF10" s="524">
        <f t="shared" si="17"/>
        <v>0</v>
      </c>
      <c r="BG10" s="525">
        <f t="shared" ref="BG10:BG39" si="127">+BE10*$H$8</f>
        <v>0</v>
      </c>
      <c r="BH10" s="523"/>
      <c r="BI10" s="524">
        <f t="shared" si="18"/>
        <v>0</v>
      </c>
      <c r="BJ10" s="525">
        <f t="shared" ref="BJ10:BJ39" si="128">+BH10*$H$8</f>
        <v>0</v>
      </c>
      <c r="BK10" s="523"/>
      <c r="BL10" s="524">
        <f t="shared" si="19"/>
        <v>0</v>
      </c>
      <c r="BM10" s="525">
        <f t="shared" ref="BM10:BM39" si="129">+BK10*$H$8</f>
        <v>0</v>
      </c>
      <c r="BN10" s="523"/>
      <c r="BO10" s="524">
        <f t="shared" si="20"/>
        <v>0</v>
      </c>
      <c r="BP10" s="525">
        <f t="shared" ref="BP10:BP39" si="130">+BN10*$H$8</f>
        <v>0</v>
      </c>
      <c r="BQ10" s="523"/>
      <c r="BR10" s="524">
        <f t="shared" si="21"/>
        <v>0</v>
      </c>
      <c r="BS10" s="525">
        <f t="shared" ref="BS10:BS39" si="131">+BQ10*$H$8</f>
        <v>0</v>
      </c>
      <c r="BT10" s="523"/>
      <c r="BU10" s="524">
        <f t="shared" si="22"/>
        <v>0</v>
      </c>
      <c r="BV10" s="525">
        <f t="shared" ref="BV10:BV39" si="132">+BT10*$H$8</f>
        <v>0</v>
      </c>
      <c r="BW10" s="523"/>
      <c r="BX10" s="524">
        <f t="shared" si="23"/>
        <v>0</v>
      </c>
      <c r="BY10" s="525">
        <f t="shared" ref="BY10:BY39" si="133">+BW10*$H$8</f>
        <v>0</v>
      </c>
      <c r="BZ10" s="523"/>
      <c r="CA10" s="524">
        <f t="shared" si="24"/>
        <v>0</v>
      </c>
      <c r="CB10" s="525">
        <f t="shared" ref="CB10:CB39" si="134">+BZ10*$H$8</f>
        <v>0</v>
      </c>
      <c r="CC10" s="523"/>
      <c r="CD10" s="524">
        <f t="shared" si="25"/>
        <v>0</v>
      </c>
      <c r="CE10" s="525">
        <f t="shared" ref="CE10:CE39" si="135">+CC10*$H$8</f>
        <v>0</v>
      </c>
      <c r="CF10" s="523">
        <v>2.5</v>
      </c>
      <c r="CG10" s="524">
        <f t="shared" si="26"/>
        <v>5.0915459970265371E-2</v>
      </c>
      <c r="CH10" s="525">
        <f t="shared" ref="CH10:CH39" si="136">+CF10*$H$8</f>
        <v>0</v>
      </c>
      <c r="CI10" s="523"/>
      <c r="CJ10" s="524">
        <f t="shared" si="27"/>
        <v>0</v>
      </c>
      <c r="CK10" s="525">
        <f t="shared" ref="CK10:CK39" si="137">+CI10*$H$8</f>
        <v>0</v>
      </c>
      <c r="CL10" s="523"/>
      <c r="CM10" s="524">
        <f t="shared" si="28"/>
        <v>0</v>
      </c>
      <c r="CN10" s="525">
        <f t="shared" ref="CN10:CN39" si="138">+CL10*$H$8</f>
        <v>0</v>
      </c>
      <c r="CO10" s="523"/>
      <c r="CP10" s="524">
        <f t="shared" si="29"/>
        <v>0</v>
      </c>
      <c r="CQ10" s="525">
        <f t="shared" ref="CQ10:CQ39" si="139">+CO10*$H$8</f>
        <v>0</v>
      </c>
      <c r="CR10" s="523"/>
      <c r="CS10" s="524">
        <f t="shared" si="30"/>
        <v>0</v>
      </c>
      <c r="CT10" s="525">
        <f t="shared" ref="CT10:CT39" si="140">+CR10*$H$8</f>
        <v>0</v>
      </c>
      <c r="CU10" s="523"/>
      <c r="CV10" s="524">
        <f t="shared" si="31"/>
        <v>0</v>
      </c>
      <c r="CW10" s="525">
        <f t="shared" ref="CW10:CW39" si="141">+CU10*$H$8</f>
        <v>0</v>
      </c>
      <c r="CX10" s="523"/>
      <c r="CY10" s="524">
        <f t="shared" si="32"/>
        <v>0</v>
      </c>
      <c r="CZ10" s="525">
        <f t="shared" ref="CZ10:CZ39" si="142">+CX10*$H$8</f>
        <v>0</v>
      </c>
      <c r="DA10" s="523">
        <v>247.1640000000001</v>
      </c>
      <c r="DB10" s="524">
        <f t="shared" si="33"/>
        <v>5.0337874992362703</v>
      </c>
      <c r="DC10" s="525">
        <f t="shared" ref="DC10:DC39" si="143">+DA10*$H$8</f>
        <v>0</v>
      </c>
      <c r="DD10" s="523"/>
      <c r="DE10" s="524">
        <f t="shared" si="34"/>
        <v>0</v>
      </c>
      <c r="DF10" s="525">
        <f t="shared" ref="DF10:DF39" si="144">+DD10*$H$8</f>
        <v>0</v>
      </c>
      <c r="DG10" s="523"/>
      <c r="DH10" s="524">
        <f t="shared" si="35"/>
        <v>0</v>
      </c>
      <c r="DI10" s="525">
        <v>0</v>
      </c>
      <c r="DJ10" s="523"/>
      <c r="DK10" s="524">
        <f t="shared" si="36"/>
        <v>0</v>
      </c>
      <c r="DL10" s="525">
        <f t="shared" ref="DL10:DL39" si="145">+DJ10*$H$8</f>
        <v>0</v>
      </c>
      <c r="DM10" s="523"/>
      <c r="DN10" s="524">
        <f t="shared" si="37"/>
        <v>0</v>
      </c>
      <c r="DO10" s="525">
        <f t="shared" ref="DO10:DO39" si="146">+DM10*$H$8</f>
        <v>0</v>
      </c>
      <c r="DP10" s="523"/>
      <c r="DQ10" s="524">
        <f t="shared" si="38"/>
        <v>0</v>
      </c>
      <c r="DR10" s="525">
        <f t="shared" ref="DR10:DR39" si="147">+DP10*$H$8</f>
        <v>0</v>
      </c>
      <c r="DS10" s="523"/>
      <c r="DT10" s="524">
        <f t="shared" si="39"/>
        <v>0</v>
      </c>
      <c r="DU10" s="525">
        <f t="shared" ref="DU10:DU39" si="148">+DS10*$H$8</f>
        <v>0</v>
      </c>
      <c r="DV10" s="523"/>
      <c r="DW10" s="524">
        <f t="shared" si="40"/>
        <v>0</v>
      </c>
      <c r="DX10" s="525">
        <f t="shared" ref="DX10:DX39" si="149">+DV10*$H$8</f>
        <v>0</v>
      </c>
      <c r="DY10" s="523"/>
      <c r="DZ10" s="524">
        <f t="shared" si="41"/>
        <v>0</v>
      </c>
      <c r="EA10" s="525">
        <f t="shared" ref="EA10:EA39" si="150">+DY10*$H$8</f>
        <v>0</v>
      </c>
      <c r="EB10" s="523"/>
      <c r="EC10" s="524">
        <f t="shared" si="42"/>
        <v>0</v>
      </c>
      <c r="ED10" s="525">
        <f t="shared" ref="ED10:ED39" si="151">+EB10*$H$8</f>
        <v>0</v>
      </c>
      <c r="EE10" s="523">
        <v>255.81</v>
      </c>
      <c r="EF10" s="524">
        <f t="shared" si="43"/>
        <v>5.209873525997434</v>
      </c>
      <c r="EG10" s="525">
        <f t="shared" ref="EG10:EG39" si="152">+EE10*$H$8</f>
        <v>0</v>
      </c>
      <c r="EH10" s="523">
        <v>1.5</v>
      </c>
      <c r="EI10" s="524">
        <f t="shared" si="44"/>
        <v>3.0549275982159223E-2</v>
      </c>
      <c r="EJ10" s="525">
        <f t="shared" ref="EJ10:EJ39" si="153">+EH10*$H$8</f>
        <v>0</v>
      </c>
      <c r="EK10" s="523">
        <v>51.847845000000234</v>
      </c>
      <c r="EL10" s="524">
        <f t="shared" si="45"/>
        <v>1.0559427506568142</v>
      </c>
      <c r="EM10" s="525">
        <f t="shared" ref="EM10:EM39" si="154">+EK10*$H$8</f>
        <v>0</v>
      </c>
      <c r="EN10" s="523">
        <v>57.774499999999989</v>
      </c>
      <c r="EO10" s="524">
        <f t="shared" si="46"/>
        <v>1.1766460968208385</v>
      </c>
      <c r="EP10" s="525">
        <f t="shared" ref="EP10:EP39" si="155">+EN10*$H$8</f>
        <v>0</v>
      </c>
      <c r="EQ10" s="523"/>
      <c r="ER10" s="524">
        <f t="shared" si="47"/>
        <v>0</v>
      </c>
      <c r="ES10" s="525">
        <f t="shared" ref="ES10:ES39" si="156">+EQ10*$H$8</f>
        <v>0</v>
      </c>
      <c r="ET10" s="523"/>
      <c r="EU10" s="524">
        <f t="shared" si="48"/>
        <v>0</v>
      </c>
      <c r="EV10" s="525">
        <f t="shared" ref="EV10:EV39" si="157">+ET10*$H$8</f>
        <v>0</v>
      </c>
      <c r="EW10" s="523"/>
      <c r="EX10" s="524">
        <f t="shared" si="49"/>
        <v>0</v>
      </c>
      <c r="EY10" s="525">
        <f t="shared" ref="EY10:EY39" si="158">+EW10*$H$8</f>
        <v>0</v>
      </c>
      <c r="EZ10" s="523"/>
      <c r="FA10" s="524">
        <f t="shared" si="50"/>
        <v>0</v>
      </c>
      <c r="FB10" s="525">
        <f t="shared" ref="FB10:FB39" si="159">+EZ10*$H$8</f>
        <v>0</v>
      </c>
      <c r="FC10" s="523"/>
      <c r="FD10" s="524">
        <f t="shared" si="51"/>
        <v>0</v>
      </c>
      <c r="FE10" s="525">
        <f t="shared" ref="FE10:FE39" si="160">+FC10*$H$8</f>
        <v>0</v>
      </c>
      <c r="FF10" s="523"/>
      <c r="FG10" s="524">
        <f t="shared" si="52"/>
        <v>0</v>
      </c>
      <c r="FH10" s="525">
        <f t="shared" ref="FH10:FH39" si="161">+FF10*$H$8</f>
        <v>0</v>
      </c>
      <c r="FI10" s="523"/>
      <c r="FJ10" s="524">
        <f t="shared" si="53"/>
        <v>0</v>
      </c>
      <c r="FK10" s="525">
        <f t="shared" ref="FK10:FK39" si="162">+FI10*$H$8</f>
        <v>0</v>
      </c>
      <c r="FL10" s="523"/>
      <c r="FM10" s="524">
        <f t="shared" si="54"/>
        <v>0</v>
      </c>
      <c r="FN10" s="525">
        <f t="shared" ref="FN10:FN39" si="163">+FL10*$H$8</f>
        <v>0</v>
      </c>
      <c r="FO10" s="523"/>
      <c r="FP10" s="524">
        <f t="shared" si="55"/>
        <v>0</v>
      </c>
      <c r="FQ10" s="525">
        <f t="shared" ref="FQ10:FQ39" si="164">+FO10*$H$8</f>
        <v>0</v>
      </c>
      <c r="FR10" s="523"/>
      <c r="FS10" s="524">
        <f t="shared" si="56"/>
        <v>0</v>
      </c>
      <c r="FT10" s="525">
        <f t="shared" ref="FT10:FT39" si="165">+FR10*$H$8</f>
        <v>0</v>
      </c>
      <c r="FU10" s="523"/>
      <c r="FV10" s="524">
        <f t="shared" si="57"/>
        <v>0</v>
      </c>
      <c r="FW10" s="525">
        <f t="shared" ref="FW10:FW39" si="166">+FU10*$H$8</f>
        <v>0</v>
      </c>
      <c r="FX10" s="523"/>
      <c r="FY10" s="524">
        <f t="shared" si="58"/>
        <v>0</v>
      </c>
      <c r="FZ10" s="525">
        <f t="shared" ref="FZ10:FZ39" si="167">+FX10*$H$8</f>
        <v>0</v>
      </c>
      <c r="GA10" s="523"/>
      <c r="GB10" s="524">
        <f t="shared" ref="GB10:GB39" si="168">+GA10/$E10</f>
        <v>0</v>
      </c>
      <c r="GC10" s="525">
        <f t="shared" ref="GC10:GC39" si="169">+GA10*$H$8</f>
        <v>0</v>
      </c>
      <c r="GD10" s="523"/>
      <c r="GE10" s="524">
        <f t="shared" si="59"/>
        <v>0</v>
      </c>
      <c r="GF10" s="525">
        <f t="shared" ref="GF10:GF39" si="170">+GD10*$H$8</f>
        <v>0</v>
      </c>
      <c r="GG10" s="523">
        <v>14.361372756826274</v>
      </c>
      <c r="GH10" s="524">
        <f t="shared" ref="GH10:GH39" si="171">+GG10/$E10</f>
        <v>0.2924863598872991</v>
      </c>
      <c r="GI10" s="525">
        <f t="shared" ref="GI10:GI39" si="172">+GG10*$H$8</f>
        <v>0</v>
      </c>
      <c r="GJ10" s="523">
        <v>14.361372756826274</v>
      </c>
      <c r="GK10" s="524">
        <f t="shared" si="60"/>
        <v>0.2924863598872991</v>
      </c>
      <c r="GL10" s="525">
        <f t="shared" ref="GL10:GL29" si="173">+GJ10*$H$8</f>
        <v>0</v>
      </c>
      <c r="GM10" s="523"/>
      <c r="GN10" s="524">
        <f t="shared" si="61"/>
        <v>0</v>
      </c>
      <c r="GO10" s="525">
        <f t="shared" ref="GO10:GO25" si="174">+GM10*$H$8</f>
        <v>0</v>
      </c>
      <c r="GP10" s="523">
        <v>34.467294616383057</v>
      </c>
      <c r="GQ10" s="524">
        <f t="shared" si="62"/>
        <v>0.7019672637295179</v>
      </c>
      <c r="GR10" s="525">
        <f t="shared" ref="GR10:GR25" si="175">+GP10*$H$8</f>
        <v>0</v>
      </c>
      <c r="GS10" s="523">
        <v>201.05921859556784</v>
      </c>
      <c r="GT10" s="524">
        <f t="shared" si="63"/>
        <v>4.0948090384221878</v>
      </c>
      <c r="GU10" s="525">
        <f t="shared" ref="GU10:GU25" si="176">+GS10*$H$8</f>
        <v>0</v>
      </c>
      <c r="GV10" s="523">
        <v>34.467294616383057</v>
      </c>
      <c r="GW10" s="524">
        <f t="shared" si="64"/>
        <v>0.7019672637295179</v>
      </c>
      <c r="GX10" s="525">
        <f t="shared" ref="GX10:GX28" si="177">+GV10*$H$8</f>
        <v>0</v>
      </c>
      <c r="GY10" s="523"/>
      <c r="GZ10" s="524">
        <f t="shared" si="65"/>
        <v>0</v>
      </c>
      <c r="HA10" s="525">
        <f t="shared" ref="HA10:HA39" si="178">+GY10*$H$8</f>
        <v>0</v>
      </c>
      <c r="HB10" s="523"/>
      <c r="HC10" s="524">
        <f t="shared" si="66"/>
        <v>0</v>
      </c>
      <c r="HD10" s="525">
        <f t="shared" ref="HD10:HD39" si="179">+HB10*$H$8</f>
        <v>0</v>
      </c>
      <c r="HE10" s="523"/>
      <c r="HF10" s="524">
        <f t="shared" si="67"/>
        <v>0</v>
      </c>
      <c r="HG10" s="525">
        <f t="shared" ref="HG10:HG39" si="180">+HE10*$H$8</f>
        <v>0</v>
      </c>
      <c r="HH10" s="523"/>
      <c r="HI10" s="524">
        <f t="shared" si="68"/>
        <v>0</v>
      </c>
      <c r="HJ10" s="525">
        <f t="shared" ref="HJ10:HJ39" si="181">+HH10*$H$8</f>
        <v>0</v>
      </c>
      <c r="HK10" s="523"/>
      <c r="HL10" s="524">
        <f t="shared" si="69"/>
        <v>0</v>
      </c>
      <c r="HM10" s="525">
        <f t="shared" ref="HM10:HM39" si="182">+HK10*$H$8</f>
        <v>0</v>
      </c>
      <c r="HN10" s="523">
        <v>922.00013098824684</v>
      </c>
      <c r="HO10" s="524">
        <f t="shared" si="70"/>
        <v>18.777624304764604</v>
      </c>
      <c r="HP10" s="525">
        <f t="shared" ref="HP10:HP39" si="183">+HN10*$H$8</f>
        <v>0</v>
      </c>
      <c r="HQ10" s="523"/>
      <c r="HR10" s="524">
        <f t="shared" si="71"/>
        <v>0</v>
      </c>
      <c r="HS10" s="525">
        <f t="shared" ref="HS10:HS39" si="184">+HQ10*$H$8</f>
        <v>0</v>
      </c>
      <c r="HT10" s="523"/>
      <c r="HU10" s="524">
        <f t="shared" si="72"/>
        <v>0</v>
      </c>
      <c r="HV10" s="525">
        <f t="shared" ref="HV10:HV39" si="185">+HT10*$H$8</f>
        <v>0</v>
      </c>
      <c r="HW10" s="523"/>
      <c r="HX10" s="524">
        <f t="shared" si="73"/>
        <v>0</v>
      </c>
      <c r="HY10" s="525">
        <f t="shared" ref="HY10:HY39" si="186">+HW10*$H$8</f>
        <v>0</v>
      </c>
      <c r="HZ10" s="523"/>
      <c r="IA10" s="524">
        <f t="shared" si="74"/>
        <v>0</v>
      </c>
      <c r="IB10" s="525">
        <f>+HZ10*$H$8</f>
        <v>0</v>
      </c>
      <c r="IC10" s="523"/>
      <c r="ID10" s="524">
        <f t="shared" si="75"/>
        <v>0</v>
      </c>
      <c r="IE10" s="525">
        <f t="shared" ref="IE10:IE39" si="187">+IC10*$H$8</f>
        <v>0</v>
      </c>
      <c r="IF10" s="523"/>
      <c r="IG10" s="524">
        <f t="shared" si="76"/>
        <v>0</v>
      </c>
      <c r="IH10" s="525">
        <f t="shared" ref="IH10:IH39" si="188">+IF10*$H$8</f>
        <v>0</v>
      </c>
      <c r="II10" s="523">
        <v>28.722745513652548</v>
      </c>
      <c r="IJ10" s="524">
        <f t="shared" si="77"/>
        <v>0.58497271977459819</v>
      </c>
      <c r="IK10" s="525">
        <f t="shared" ref="IK10:IK39" si="189">+II10*$H$8</f>
        <v>0</v>
      </c>
      <c r="IL10" s="523"/>
      <c r="IM10" s="524">
        <f t="shared" si="78"/>
        <v>0</v>
      </c>
      <c r="IN10" s="525">
        <f t="shared" ref="IN10:IN39" si="190">+IL10*$H$8</f>
        <v>0</v>
      </c>
      <c r="IO10" s="523"/>
      <c r="IP10" s="524">
        <f t="shared" si="79"/>
        <v>0</v>
      </c>
      <c r="IQ10" s="525">
        <f t="shared" ref="IQ10:IQ39" si="191">+IO10*$H$8</f>
        <v>0</v>
      </c>
      <c r="IR10" s="523">
        <v>51.700941924574586</v>
      </c>
      <c r="IS10" s="524">
        <f t="shared" si="80"/>
        <v>1.0529508955942768</v>
      </c>
      <c r="IT10" s="525">
        <f t="shared" ref="IT10:IT39" si="192">+IR10*$H$8</f>
        <v>0</v>
      </c>
      <c r="IU10" s="523"/>
      <c r="IV10" s="524">
        <f t="shared" si="81"/>
        <v>0</v>
      </c>
      <c r="IW10" s="525">
        <f t="shared" ref="IW10:IW39" si="193">+IU10*$H$8</f>
        <v>0</v>
      </c>
      <c r="IX10" s="523"/>
      <c r="IY10" s="524">
        <f t="shared" si="82"/>
        <v>0</v>
      </c>
      <c r="IZ10" s="525">
        <f t="shared" ref="IZ10:IZ39" si="194">+IX10*$H$8</f>
        <v>0</v>
      </c>
      <c r="JA10" s="523"/>
      <c r="JB10" s="524">
        <f t="shared" si="83"/>
        <v>0</v>
      </c>
      <c r="JC10" s="525">
        <f t="shared" ref="JC10:JC39" si="195">+JA10*$H$8</f>
        <v>0</v>
      </c>
      <c r="JD10" s="523"/>
      <c r="JE10" s="524">
        <f t="shared" si="84"/>
        <v>0</v>
      </c>
      <c r="JF10" s="525">
        <f t="shared" ref="JF10:JF39" si="196">+JD10*$H$8</f>
        <v>0</v>
      </c>
      <c r="JG10" s="523"/>
      <c r="JH10" s="524">
        <f t="shared" si="85"/>
        <v>0</v>
      </c>
      <c r="JI10" s="525">
        <f t="shared" ref="JI10:JI39" si="197">+JG10*$H$8</f>
        <v>0</v>
      </c>
      <c r="JJ10" s="523">
        <v>25.850470962287293</v>
      </c>
      <c r="JK10" s="524">
        <f t="shared" si="86"/>
        <v>0.5264754477971384</v>
      </c>
      <c r="JL10" s="525" t="str">
        <f t="shared" si="87"/>
        <v>0</v>
      </c>
      <c r="JM10" s="523"/>
      <c r="JN10" s="524">
        <f t="shared" si="88"/>
        <v>0</v>
      </c>
      <c r="JO10" s="525" t="str">
        <f t="shared" si="89"/>
        <v>0</v>
      </c>
      <c r="JP10" s="523"/>
      <c r="JQ10" s="525" t="str">
        <f t="shared" si="90"/>
        <v>0</v>
      </c>
      <c r="JR10" s="525" t="str">
        <f t="shared" si="91"/>
        <v>0</v>
      </c>
      <c r="JS10" s="523"/>
      <c r="JT10" s="525" t="str">
        <f t="shared" si="92"/>
        <v>0</v>
      </c>
      <c r="JU10" s="525" t="str">
        <f t="shared" si="93"/>
        <v>0</v>
      </c>
      <c r="JV10" s="523"/>
      <c r="JW10" s="525" t="str">
        <f t="shared" si="94"/>
        <v>0</v>
      </c>
      <c r="JX10" s="525" t="str">
        <f t="shared" si="95"/>
        <v>0</v>
      </c>
      <c r="JY10" s="523"/>
      <c r="JZ10" s="525" t="str">
        <f t="shared" si="96"/>
        <v>0</v>
      </c>
      <c r="KA10" s="525" t="str">
        <f t="shared" si="97"/>
        <v>0</v>
      </c>
      <c r="KB10" s="523"/>
      <c r="KC10" s="525" t="str">
        <f t="shared" si="98"/>
        <v>0</v>
      </c>
      <c r="KD10" s="525" t="str">
        <f t="shared" si="99"/>
        <v>0</v>
      </c>
      <c r="KE10" s="523"/>
      <c r="KF10" s="525" t="str">
        <f t="shared" si="100"/>
        <v>0</v>
      </c>
      <c r="KG10" s="525" t="str">
        <f t="shared" si="101"/>
        <v>0</v>
      </c>
      <c r="KH10" s="523"/>
      <c r="KI10" s="525" t="str">
        <f t="shared" si="102"/>
        <v>0</v>
      </c>
      <c r="KJ10" s="525" t="str">
        <f t="shared" si="103"/>
        <v>0</v>
      </c>
      <c r="KK10" s="523"/>
      <c r="KL10" s="525" t="str">
        <f t="shared" si="104"/>
        <v>0</v>
      </c>
      <c r="KM10" s="525" t="str">
        <f t="shared" si="105"/>
        <v>0</v>
      </c>
      <c r="KN10" s="523"/>
      <c r="KO10" s="525" t="str">
        <f t="shared" si="106"/>
        <v>0</v>
      </c>
      <c r="KP10" s="525" t="str">
        <f t="shared" si="107"/>
        <v>0</v>
      </c>
      <c r="KQ10" s="523"/>
      <c r="KR10" s="525" t="str">
        <f t="shared" si="108"/>
        <v>0</v>
      </c>
      <c r="KS10" s="525" t="str">
        <f t="shared" si="109"/>
        <v>0</v>
      </c>
      <c r="KT10" s="525">
        <f>H10+K10+N10+Q10+T10+W10+Z10+AC10+AF10+AI10+AL10+AO10+AR10+AU10+AX10+BA10+BD10+BG10+BJ10+BM10+BP10+BS10+BV10+BY10+CB10+CE10+CH10+CK10+CN10+CQ10+CT10+CW10+CZ10+DC10+DF10+DI10+DL10+DO10+DR10+DU10+DX10+EA10+ED10+EG10+EJ10+EM10+EP10+ES10+EV10+EY10+FB10+FE10+FH10+FK10+FN10+FQ10+FT10+FW10+FZ10+GC10</f>
        <v>0</v>
      </c>
      <c r="KU10" s="525">
        <f>GF10+GI10+GL10+GO10+GR10+GU10+GX10+HA10+HD10+HG10+HJ10+HM10+HP10+HS10+HV10+HY10+IB10+IE10+IH10+IK10+IN10+IQ10+IT10+IW10+IZ10+JC10+JF10+JI10+JL10+JO10+JR10+JU10+JX10++KA10+KD10+KG10+KJ10++KM10+KP10+KS10</f>
        <v>0</v>
      </c>
      <c r="KV10" s="264">
        <f t="shared" ref="KV10:KV41" si="198">+F10+I10+L10+O10+R10+U10+X10+AA10+AD10+AG10+AJ10+AM10+AP10+AS10+AV10+AY10+BB10+BE10+BH10+BK10+BN10+BQ10+BT10+BW10+BZ10+CC10+CF10+CI10+CL10+CO10+CR10+CU10+CX10+DA10+DD10+DJ10+DM10+DP10+DS10+DV10+DY10+EB10+GG10+GJ10+GM10+GP10+GS10+HN10+II10+IR10+GV10+IU10++HT10+HW10+HZ10+IC10+JA10+JJ10+JM10+HB10+EE10+GD10+EH10+GA10+EN10+EK10</f>
        <v>1957.3068877307483</v>
      </c>
    </row>
    <row r="11" spans="1:309" ht="15" customHeight="1">
      <c r="A11" s="266">
        <f t="shared" ref="A11:A39" si="199">+A10+1</f>
        <v>45964</v>
      </c>
      <c r="B11" s="267" t="str">
        <f>+Report1!B11</f>
        <v>Toilet</v>
      </c>
      <c r="C11" s="267" t="str">
        <f>+Report1!C11</f>
        <v>14</v>
      </c>
      <c r="D11" s="268">
        <f>+Report1!P11</f>
        <v>49.679000000000002</v>
      </c>
      <c r="E11" s="269">
        <f>+Report1!R11</f>
        <v>48.119</v>
      </c>
      <c r="F11" s="523"/>
      <c r="G11" s="524">
        <f t="shared" si="0"/>
        <v>0</v>
      </c>
      <c r="H11" s="525">
        <f t="shared" si="110"/>
        <v>0</v>
      </c>
      <c r="I11" s="523"/>
      <c r="J11" s="524">
        <f t="shared" si="1"/>
        <v>0</v>
      </c>
      <c r="K11" s="525">
        <f t="shared" si="111"/>
        <v>0</v>
      </c>
      <c r="L11" s="523"/>
      <c r="M11" s="524">
        <f t="shared" si="2"/>
        <v>0</v>
      </c>
      <c r="N11" s="525">
        <f t="shared" si="112"/>
        <v>0</v>
      </c>
      <c r="O11" s="523">
        <v>2.995199999999997</v>
      </c>
      <c r="P11" s="524">
        <f t="shared" si="3"/>
        <v>6.2245682578607138E-2</v>
      </c>
      <c r="Q11" s="525">
        <f t="shared" si="113"/>
        <v>0</v>
      </c>
      <c r="R11" s="523"/>
      <c r="S11" s="524">
        <f t="shared" si="4"/>
        <v>0</v>
      </c>
      <c r="T11" s="525">
        <f t="shared" si="114"/>
        <v>0</v>
      </c>
      <c r="U11" s="523">
        <v>5.1270000000000095</v>
      </c>
      <c r="V11" s="524">
        <f t="shared" si="5"/>
        <v>0.106548348885056</v>
      </c>
      <c r="W11" s="525">
        <f t="shared" si="115"/>
        <v>0</v>
      </c>
      <c r="X11" s="523"/>
      <c r="Y11" s="524">
        <f t="shared" si="6"/>
        <v>0</v>
      </c>
      <c r="Z11" s="525">
        <f t="shared" si="116"/>
        <v>0</v>
      </c>
      <c r="AA11" s="523"/>
      <c r="AB11" s="524">
        <f t="shared" si="7"/>
        <v>0</v>
      </c>
      <c r="AC11" s="525">
        <f t="shared" si="117"/>
        <v>0</v>
      </c>
      <c r="AD11" s="523"/>
      <c r="AE11" s="524">
        <f t="shared" si="8"/>
        <v>0</v>
      </c>
      <c r="AF11" s="525">
        <f t="shared" si="118"/>
        <v>0</v>
      </c>
      <c r="AG11" s="523"/>
      <c r="AH11" s="524">
        <f t="shared" si="9"/>
        <v>0</v>
      </c>
      <c r="AI11" s="525">
        <f t="shared" si="119"/>
        <v>0</v>
      </c>
      <c r="AJ11" s="523">
        <v>5.8748000000000218</v>
      </c>
      <c r="AK11" s="524">
        <f t="shared" si="10"/>
        <v>0.12208898771794971</v>
      </c>
      <c r="AL11" s="525">
        <f t="shared" si="120"/>
        <v>0</v>
      </c>
      <c r="AM11" s="523"/>
      <c r="AN11" s="524">
        <f t="shared" si="11"/>
        <v>0</v>
      </c>
      <c r="AO11" s="525">
        <f t="shared" si="121"/>
        <v>0</v>
      </c>
      <c r="AP11" s="523"/>
      <c r="AQ11" s="524">
        <f t="shared" si="12"/>
        <v>0</v>
      </c>
      <c r="AR11" s="525">
        <f t="shared" si="122"/>
        <v>0</v>
      </c>
      <c r="AS11" s="523"/>
      <c r="AT11" s="524">
        <f t="shared" si="13"/>
        <v>0</v>
      </c>
      <c r="AU11" s="525">
        <f t="shared" si="123"/>
        <v>0</v>
      </c>
      <c r="AV11" s="523"/>
      <c r="AW11" s="524">
        <f t="shared" si="14"/>
        <v>0</v>
      </c>
      <c r="AX11" s="525">
        <f t="shared" si="124"/>
        <v>0</v>
      </c>
      <c r="AY11" s="523"/>
      <c r="AZ11" s="524">
        <f t="shared" si="15"/>
        <v>0</v>
      </c>
      <c r="BA11" s="525">
        <f t="shared" si="125"/>
        <v>0</v>
      </c>
      <c r="BB11" s="523"/>
      <c r="BC11" s="524">
        <f t="shared" si="16"/>
        <v>0</v>
      </c>
      <c r="BD11" s="525">
        <f t="shared" si="126"/>
        <v>0</v>
      </c>
      <c r="BE11" s="523"/>
      <c r="BF11" s="524">
        <f t="shared" si="17"/>
        <v>0</v>
      </c>
      <c r="BG11" s="525">
        <f t="shared" si="127"/>
        <v>0</v>
      </c>
      <c r="BH11" s="523"/>
      <c r="BI11" s="524">
        <f t="shared" si="18"/>
        <v>0</v>
      </c>
      <c r="BJ11" s="525">
        <f t="shared" si="128"/>
        <v>0</v>
      </c>
      <c r="BK11" s="523"/>
      <c r="BL11" s="524">
        <f t="shared" si="19"/>
        <v>0</v>
      </c>
      <c r="BM11" s="525">
        <f t="shared" si="129"/>
        <v>0</v>
      </c>
      <c r="BN11" s="523"/>
      <c r="BO11" s="524">
        <f t="shared" si="20"/>
        <v>0</v>
      </c>
      <c r="BP11" s="525">
        <f t="shared" si="130"/>
        <v>0</v>
      </c>
      <c r="BQ11" s="523"/>
      <c r="BR11" s="524">
        <f t="shared" si="21"/>
        <v>0</v>
      </c>
      <c r="BS11" s="525">
        <f t="shared" si="131"/>
        <v>0</v>
      </c>
      <c r="BT11" s="523"/>
      <c r="BU11" s="524">
        <f t="shared" si="22"/>
        <v>0</v>
      </c>
      <c r="BV11" s="525">
        <f t="shared" si="132"/>
        <v>0</v>
      </c>
      <c r="BW11" s="523"/>
      <c r="BX11" s="524">
        <f t="shared" si="23"/>
        <v>0</v>
      </c>
      <c r="BY11" s="525">
        <f t="shared" si="133"/>
        <v>0</v>
      </c>
      <c r="BZ11" s="523"/>
      <c r="CA11" s="524">
        <f t="shared" si="24"/>
        <v>0</v>
      </c>
      <c r="CB11" s="525">
        <f t="shared" si="134"/>
        <v>0</v>
      </c>
      <c r="CC11" s="523"/>
      <c r="CD11" s="524">
        <f t="shared" si="25"/>
        <v>0</v>
      </c>
      <c r="CE11" s="525">
        <f t="shared" si="135"/>
        <v>0</v>
      </c>
      <c r="CF11" s="523">
        <v>2.5</v>
      </c>
      <c r="CG11" s="524">
        <f t="shared" si="26"/>
        <v>5.195452939587273E-2</v>
      </c>
      <c r="CH11" s="525">
        <f t="shared" si="136"/>
        <v>0</v>
      </c>
      <c r="CI11" s="523"/>
      <c r="CJ11" s="524">
        <f t="shared" si="27"/>
        <v>0</v>
      </c>
      <c r="CK11" s="525">
        <f t="shared" si="137"/>
        <v>0</v>
      </c>
      <c r="CL11" s="523"/>
      <c r="CM11" s="524">
        <f t="shared" si="28"/>
        <v>0</v>
      </c>
      <c r="CN11" s="525">
        <f t="shared" si="138"/>
        <v>0</v>
      </c>
      <c r="CO11" s="523"/>
      <c r="CP11" s="524">
        <f t="shared" si="29"/>
        <v>0</v>
      </c>
      <c r="CQ11" s="525">
        <f t="shared" si="139"/>
        <v>0</v>
      </c>
      <c r="CR11" s="523"/>
      <c r="CS11" s="524">
        <f t="shared" si="30"/>
        <v>0</v>
      </c>
      <c r="CT11" s="525">
        <f t="shared" si="140"/>
        <v>0</v>
      </c>
      <c r="CU11" s="523"/>
      <c r="CV11" s="524">
        <f t="shared" si="31"/>
        <v>0</v>
      </c>
      <c r="CW11" s="525">
        <f t="shared" si="141"/>
        <v>0</v>
      </c>
      <c r="CX11" s="523"/>
      <c r="CY11" s="524">
        <f t="shared" si="32"/>
        <v>0</v>
      </c>
      <c r="CZ11" s="525">
        <f t="shared" si="142"/>
        <v>0</v>
      </c>
      <c r="DA11" s="523">
        <v>276.16111627906957</v>
      </c>
      <c r="DB11" s="524">
        <f t="shared" si="33"/>
        <v>5.7391283334871792</v>
      </c>
      <c r="DC11" s="525">
        <f t="shared" si="143"/>
        <v>0</v>
      </c>
      <c r="DD11" s="523"/>
      <c r="DE11" s="524">
        <f t="shared" si="34"/>
        <v>0</v>
      </c>
      <c r="DF11" s="525">
        <f t="shared" si="144"/>
        <v>0</v>
      </c>
      <c r="DG11" s="523"/>
      <c r="DH11" s="524">
        <f t="shared" si="35"/>
        <v>0</v>
      </c>
      <c r="DI11" s="525">
        <v>0</v>
      </c>
      <c r="DJ11" s="523"/>
      <c r="DK11" s="524">
        <f t="shared" si="36"/>
        <v>0</v>
      </c>
      <c r="DL11" s="525">
        <f t="shared" si="145"/>
        <v>0</v>
      </c>
      <c r="DM11" s="523"/>
      <c r="DN11" s="524">
        <f t="shared" si="37"/>
        <v>0</v>
      </c>
      <c r="DO11" s="525">
        <f t="shared" si="146"/>
        <v>0</v>
      </c>
      <c r="DP11" s="523"/>
      <c r="DQ11" s="524">
        <f t="shared" si="38"/>
        <v>0</v>
      </c>
      <c r="DR11" s="525">
        <f t="shared" si="147"/>
        <v>0</v>
      </c>
      <c r="DS11" s="523"/>
      <c r="DT11" s="524">
        <f t="shared" si="39"/>
        <v>0</v>
      </c>
      <c r="DU11" s="525">
        <f t="shared" si="148"/>
        <v>0</v>
      </c>
      <c r="DV11" s="523"/>
      <c r="DW11" s="524">
        <f t="shared" si="40"/>
        <v>0</v>
      </c>
      <c r="DX11" s="525">
        <f t="shared" si="149"/>
        <v>0</v>
      </c>
      <c r="DY11" s="523"/>
      <c r="DZ11" s="524">
        <f t="shared" si="41"/>
        <v>0</v>
      </c>
      <c r="EA11" s="525">
        <f t="shared" si="150"/>
        <v>0</v>
      </c>
      <c r="EB11" s="523"/>
      <c r="EC11" s="524">
        <f t="shared" si="42"/>
        <v>0</v>
      </c>
      <c r="ED11" s="525">
        <f t="shared" si="151"/>
        <v>0</v>
      </c>
      <c r="EE11" s="523">
        <v>234.82235294117663</v>
      </c>
      <c r="EF11" s="524">
        <f t="shared" si="43"/>
        <v>4.8800339354761455</v>
      </c>
      <c r="EG11" s="525">
        <f t="shared" si="152"/>
        <v>0</v>
      </c>
      <c r="EH11" s="523">
        <v>1</v>
      </c>
      <c r="EI11" s="524">
        <f t="shared" si="44"/>
        <v>2.0781811758349093E-2</v>
      </c>
      <c r="EJ11" s="525">
        <f t="shared" si="153"/>
        <v>0</v>
      </c>
      <c r="EK11" s="523">
        <v>24.390262317073393</v>
      </c>
      <c r="EL11" s="524">
        <f t="shared" si="45"/>
        <v>0.50687384021017468</v>
      </c>
      <c r="EM11" s="525">
        <f t="shared" si="154"/>
        <v>0</v>
      </c>
      <c r="EN11" s="523">
        <v>59.298174418604958</v>
      </c>
      <c r="EO11" s="524">
        <f t="shared" si="46"/>
        <v>1.2323234983811999</v>
      </c>
      <c r="EP11" s="525">
        <f t="shared" si="155"/>
        <v>0</v>
      </c>
      <c r="EQ11" s="523"/>
      <c r="ER11" s="524">
        <f t="shared" si="47"/>
        <v>0</v>
      </c>
      <c r="ES11" s="525">
        <f t="shared" si="156"/>
        <v>0</v>
      </c>
      <c r="ET11" s="523"/>
      <c r="EU11" s="524">
        <f t="shared" si="48"/>
        <v>0</v>
      </c>
      <c r="EV11" s="525">
        <f t="shared" si="157"/>
        <v>0</v>
      </c>
      <c r="EW11" s="523"/>
      <c r="EX11" s="524">
        <f t="shared" si="49"/>
        <v>0</v>
      </c>
      <c r="EY11" s="525">
        <f t="shared" si="158"/>
        <v>0</v>
      </c>
      <c r="EZ11" s="523"/>
      <c r="FA11" s="524">
        <f t="shared" si="50"/>
        <v>0</v>
      </c>
      <c r="FB11" s="525">
        <f t="shared" si="159"/>
        <v>0</v>
      </c>
      <c r="FC11" s="523"/>
      <c r="FD11" s="524">
        <f t="shared" si="51"/>
        <v>0</v>
      </c>
      <c r="FE11" s="525">
        <f t="shared" si="160"/>
        <v>0</v>
      </c>
      <c r="FF11" s="523"/>
      <c r="FG11" s="524">
        <f t="shared" si="52"/>
        <v>0</v>
      </c>
      <c r="FH11" s="525">
        <f t="shared" si="161"/>
        <v>0</v>
      </c>
      <c r="FI11" s="523"/>
      <c r="FJ11" s="524">
        <f t="shared" si="53"/>
        <v>0</v>
      </c>
      <c r="FK11" s="525">
        <f t="shared" si="162"/>
        <v>0</v>
      </c>
      <c r="FL11" s="523"/>
      <c r="FM11" s="524">
        <f t="shared" si="54"/>
        <v>0</v>
      </c>
      <c r="FN11" s="525">
        <f t="shared" si="163"/>
        <v>0</v>
      </c>
      <c r="FO11" s="523"/>
      <c r="FP11" s="524">
        <f t="shared" si="55"/>
        <v>0</v>
      </c>
      <c r="FQ11" s="525">
        <f t="shared" si="164"/>
        <v>0</v>
      </c>
      <c r="FR11" s="523"/>
      <c r="FS11" s="524">
        <f t="shared" si="56"/>
        <v>0</v>
      </c>
      <c r="FT11" s="525">
        <f t="shared" si="165"/>
        <v>0</v>
      </c>
      <c r="FU11" s="523"/>
      <c r="FV11" s="524">
        <f t="shared" si="57"/>
        <v>0</v>
      </c>
      <c r="FW11" s="525">
        <f t="shared" si="166"/>
        <v>0</v>
      </c>
      <c r="FX11" s="523"/>
      <c r="FY11" s="524">
        <f t="shared" si="58"/>
        <v>0</v>
      </c>
      <c r="FZ11" s="525">
        <f t="shared" si="167"/>
        <v>0</v>
      </c>
      <c r="GA11" s="523"/>
      <c r="GB11" s="524">
        <f t="shared" si="168"/>
        <v>0</v>
      </c>
      <c r="GC11" s="525">
        <f t="shared" si="169"/>
        <v>0</v>
      </c>
      <c r="GD11" s="523"/>
      <c r="GE11" s="524">
        <f t="shared" si="59"/>
        <v>0</v>
      </c>
      <c r="GF11" s="525">
        <f t="shared" si="170"/>
        <v>0</v>
      </c>
      <c r="GG11" s="523">
        <v>16.58325173580203</v>
      </c>
      <c r="GH11" s="524">
        <f t="shared" si="171"/>
        <v>0.34463001591475362</v>
      </c>
      <c r="GI11" s="525">
        <f t="shared" si="172"/>
        <v>0</v>
      </c>
      <c r="GJ11" s="523">
        <v>16.58325173580203</v>
      </c>
      <c r="GK11" s="524">
        <f t="shared" si="60"/>
        <v>0.34463001591475362</v>
      </c>
      <c r="GL11" s="525">
        <f t="shared" si="173"/>
        <v>0</v>
      </c>
      <c r="GM11" s="523"/>
      <c r="GN11" s="524">
        <f t="shared" si="61"/>
        <v>0</v>
      </c>
      <c r="GO11" s="525">
        <f t="shared" si="174"/>
        <v>0</v>
      </c>
      <c r="GP11" s="523">
        <v>27.638752893003382</v>
      </c>
      <c r="GQ11" s="524">
        <f t="shared" si="62"/>
        <v>0.57438335985792266</v>
      </c>
      <c r="GR11" s="525">
        <f t="shared" si="175"/>
        <v>0</v>
      </c>
      <c r="GS11" s="523">
        <v>187.94351967242301</v>
      </c>
      <c r="GT11" s="524">
        <f t="shared" si="63"/>
        <v>3.9058068470338747</v>
      </c>
      <c r="GU11" s="525">
        <f t="shared" si="176"/>
        <v>0</v>
      </c>
      <c r="GV11" s="523">
        <v>33.166503471604059</v>
      </c>
      <c r="GW11" s="524">
        <f t="shared" si="64"/>
        <v>0.68926003182950724</v>
      </c>
      <c r="GX11" s="525">
        <f t="shared" si="177"/>
        <v>0</v>
      </c>
      <c r="GY11" s="523"/>
      <c r="GZ11" s="524">
        <f t="shared" si="65"/>
        <v>0</v>
      </c>
      <c r="HA11" s="525">
        <f t="shared" si="178"/>
        <v>0</v>
      </c>
      <c r="HB11" s="523"/>
      <c r="HC11" s="524">
        <f t="shared" si="66"/>
        <v>0</v>
      </c>
      <c r="HD11" s="525">
        <f t="shared" si="179"/>
        <v>0</v>
      </c>
      <c r="HE11" s="523"/>
      <c r="HF11" s="524">
        <f t="shared" si="67"/>
        <v>0</v>
      </c>
      <c r="HG11" s="525">
        <f t="shared" si="180"/>
        <v>0</v>
      </c>
      <c r="HH11" s="523"/>
      <c r="HI11" s="524">
        <f t="shared" si="68"/>
        <v>0</v>
      </c>
      <c r="HJ11" s="525">
        <f t="shared" si="181"/>
        <v>0</v>
      </c>
      <c r="HK11" s="523"/>
      <c r="HL11" s="524">
        <f t="shared" si="69"/>
        <v>0</v>
      </c>
      <c r="HM11" s="525">
        <f t="shared" si="182"/>
        <v>0</v>
      </c>
      <c r="HN11" s="523">
        <v>937.50649813067469</v>
      </c>
      <c r="HO11" s="524">
        <f t="shared" si="70"/>
        <v>19.483083566380738</v>
      </c>
      <c r="HP11" s="525">
        <f t="shared" si="183"/>
        <v>0</v>
      </c>
      <c r="HQ11" s="523"/>
      <c r="HR11" s="524">
        <f t="shared" si="71"/>
        <v>0</v>
      </c>
      <c r="HS11" s="525">
        <f t="shared" si="184"/>
        <v>0</v>
      </c>
      <c r="HT11" s="523"/>
      <c r="HU11" s="524">
        <f t="shared" si="72"/>
        <v>0</v>
      </c>
      <c r="HV11" s="525">
        <f t="shared" si="185"/>
        <v>0</v>
      </c>
      <c r="HW11" s="523"/>
      <c r="HX11" s="524">
        <f t="shared" si="73"/>
        <v>0</v>
      </c>
      <c r="HY11" s="525">
        <f t="shared" si="186"/>
        <v>0</v>
      </c>
      <c r="HZ11" s="523"/>
      <c r="IA11" s="524">
        <f t="shared" si="74"/>
        <v>0</v>
      </c>
      <c r="IB11" s="525">
        <f t="shared" ref="IB11:IB39" si="200">+HZ11*$H$8</f>
        <v>0</v>
      </c>
      <c r="IC11" s="523"/>
      <c r="ID11" s="524">
        <f t="shared" si="75"/>
        <v>0</v>
      </c>
      <c r="IE11" s="525">
        <f t="shared" si="187"/>
        <v>0</v>
      </c>
      <c r="IF11" s="523"/>
      <c r="IG11" s="524">
        <f t="shared" si="76"/>
        <v>0</v>
      </c>
      <c r="IH11" s="525">
        <f t="shared" si="188"/>
        <v>0</v>
      </c>
      <c r="II11" s="523">
        <v>22.111002314402704</v>
      </c>
      <c r="IJ11" s="524">
        <f t="shared" si="77"/>
        <v>0.45950668788633814</v>
      </c>
      <c r="IK11" s="525">
        <f t="shared" si="189"/>
        <v>0</v>
      </c>
      <c r="IL11" s="523"/>
      <c r="IM11" s="524">
        <f t="shared" si="78"/>
        <v>0</v>
      </c>
      <c r="IN11" s="525">
        <f t="shared" si="190"/>
        <v>0</v>
      </c>
      <c r="IO11" s="523"/>
      <c r="IP11" s="524">
        <f t="shared" si="79"/>
        <v>0</v>
      </c>
      <c r="IQ11" s="525">
        <f t="shared" si="191"/>
        <v>0</v>
      </c>
      <c r="IR11" s="523">
        <v>44.222004628805408</v>
      </c>
      <c r="IS11" s="524">
        <f t="shared" si="80"/>
        <v>0.91901337577267628</v>
      </c>
      <c r="IT11" s="525">
        <f t="shared" si="192"/>
        <v>0</v>
      </c>
      <c r="IU11" s="523"/>
      <c r="IV11" s="524">
        <f t="shared" si="81"/>
        <v>0</v>
      </c>
      <c r="IW11" s="525">
        <f t="shared" si="193"/>
        <v>0</v>
      </c>
      <c r="IX11" s="523"/>
      <c r="IY11" s="524">
        <f t="shared" si="82"/>
        <v>0</v>
      </c>
      <c r="IZ11" s="525">
        <f t="shared" si="194"/>
        <v>0</v>
      </c>
      <c r="JA11" s="523"/>
      <c r="JB11" s="524">
        <f t="shared" si="83"/>
        <v>0</v>
      </c>
      <c r="JC11" s="525">
        <f t="shared" si="195"/>
        <v>0</v>
      </c>
      <c r="JD11" s="523"/>
      <c r="JE11" s="524">
        <f t="shared" si="84"/>
        <v>0</v>
      </c>
      <c r="JF11" s="525">
        <f t="shared" si="196"/>
        <v>0</v>
      </c>
      <c r="JG11" s="523"/>
      <c r="JH11" s="524">
        <f t="shared" si="85"/>
        <v>0</v>
      </c>
      <c r="JI11" s="525">
        <f t="shared" si="197"/>
        <v>0</v>
      </c>
      <c r="JJ11" s="523">
        <v>22.111002314402704</v>
      </c>
      <c r="JK11" s="524">
        <f t="shared" si="86"/>
        <v>0.45950668788633814</v>
      </c>
      <c r="JL11" s="525" t="str">
        <f t="shared" si="87"/>
        <v>0</v>
      </c>
      <c r="JM11" s="523"/>
      <c r="JN11" s="524">
        <f t="shared" si="88"/>
        <v>0</v>
      </c>
      <c r="JO11" s="525" t="str">
        <f t="shared" si="89"/>
        <v>0</v>
      </c>
      <c r="JP11" s="523"/>
      <c r="JQ11" s="525" t="str">
        <f t="shared" si="90"/>
        <v>0</v>
      </c>
      <c r="JR11" s="525" t="str">
        <f t="shared" si="91"/>
        <v>0</v>
      </c>
      <c r="JS11" s="523"/>
      <c r="JT11" s="525" t="str">
        <f t="shared" si="92"/>
        <v>0</v>
      </c>
      <c r="JU11" s="525" t="str">
        <f t="shared" si="93"/>
        <v>0</v>
      </c>
      <c r="JV11" s="523"/>
      <c r="JW11" s="525" t="str">
        <f t="shared" si="94"/>
        <v>0</v>
      </c>
      <c r="JX11" s="525" t="str">
        <f t="shared" si="95"/>
        <v>0</v>
      </c>
      <c r="JY11" s="523"/>
      <c r="JZ11" s="525" t="str">
        <f t="shared" si="96"/>
        <v>0</v>
      </c>
      <c r="KA11" s="525" t="str">
        <f t="shared" si="97"/>
        <v>0</v>
      </c>
      <c r="KB11" s="523"/>
      <c r="KC11" s="525" t="str">
        <f t="shared" si="98"/>
        <v>0</v>
      </c>
      <c r="KD11" s="525" t="str">
        <f t="shared" si="99"/>
        <v>0</v>
      </c>
      <c r="KE11" s="523"/>
      <c r="KF11" s="525" t="str">
        <f t="shared" si="100"/>
        <v>0</v>
      </c>
      <c r="KG11" s="525" t="str">
        <f t="shared" si="101"/>
        <v>0</v>
      </c>
      <c r="KH11" s="523"/>
      <c r="KI11" s="525" t="str">
        <f t="shared" si="102"/>
        <v>0</v>
      </c>
      <c r="KJ11" s="525" t="str">
        <f t="shared" si="103"/>
        <v>0</v>
      </c>
      <c r="KK11" s="523"/>
      <c r="KL11" s="525" t="str">
        <f t="shared" si="104"/>
        <v>0</v>
      </c>
      <c r="KM11" s="525" t="str">
        <f t="shared" si="105"/>
        <v>0</v>
      </c>
      <c r="KN11" s="523"/>
      <c r="KO11" s="525" t="str">
        <f t="shared" si="106"/>
        <v>0</v>
      </c>
      <c r="KP11" s="525" t="str">
        <f t="shared" si="107"/>
        <v>0</v>
      </c>
      <c r="KQ11" s="523"/>
      <c r="KR11" s="525" t="str">
        <f t="shared" si="108"/>
        <v>0</v>
      </c>
      <c r="KS11" s="525" t="str">
        <f t="shared" si="109"/>
        <v>0</v>
      </c>
      <c r="KT11" s="525">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5">
        <f t="shared" ref="KU11:KU41" si="202">GF11+GI11+GL11+GO11+GR11+GU11+GX11+HA11+HD11+HG11+HJ11+HM11+HP11+HS11+HV11+HY11+IB11+IE11+IH11+IK11+IN11+IQ11+IT11+IW11+IZ11+JC11+JF11+JI11+JL11+JO11+JR11+JU11+JX11++KA11+KD11+KG11+KJ11++KM11+KP11+KS11</f>
        <v>0</v>
      </c>
      <c r="KV11" s="264">
        <f t="shared" si="198"/>
        <v>1920.0346928528447</v>
      </c>
    </row>
    <row r="12" spans="1:309" ht="15" customHeight="1">
      <c r="A12" s="266">
        <f t="shared" si="199"/>
        <v>45965</v>
      </c>
      <c r="B12" s="267" t="str">
        <f>+Report1!B12</f>
        <v>Toilet</v>
      </c>
      <c r="C12" s="267" t="str">
        <f>+Report1!C12</f>
        <v>14/15</v>
      </c>
      <c r="D12" s="268">
        <f>+Report1!P12</f>
        <v>51.656999999999996</v>
      </c>
      <c r="E12" s="269">
        <f>+Report1!R12</f>
        <v>50.56</v>
      </c>
      <c r="F12" s="523"/>
      <c r="G12" s="524">
        <f t="shared" si="0"/>
        <v>0</v>
      </c>
      <c r="H12" s="525">
        <f t="shared" si="110"/>
        <v>0</v>
      </c>
      <c r="I12" s="523"/>
      <c r="J12" s="524">
        <f t="shared" si="1"/>
        <v>0</v>
      </c>
      <c r="K12" s="525">
        <f t="shared" si="111"/>
        <v>0</v>
      </c>
      <c r="L12" s="523"/>
      <c r="M12" s="524">
        <f t="shared" si="2"/>
        <v>0</v>
      </c>
      <c r="N12" s="525">
        <f t="shared" si="112"/>
        <v>0</v>
      </c>
      <c r="O12" s="523">
        <v>3.0000000000000071</v>
      </c>
      <c r="P12" s="524">
        <f t="shared" si="3"/>
        <v>5.9335443037974819E-2</v>
      </c>
      <c r="Q12" s="525">
        <f t="shared" si="113"/>
        <v>0</v>
      </c>
      <c r="R12" s="523"/>
      <c r="S12" s="524">
        <f t="shared" si="4"/>
        <v>0</v>
      </c>
      <c r="T12" s="525">
        <f t="shared" si="114"/>
        <v>0</v>
      </c>
      <c r="U12" s="523">
        <v>5.125</v>
      </c>
      <c r="V12" s="524">
        <f t="shared" si="5"/>
        <v>0.10136471518987342</v>
      </c>
      <c r="W12" s="525">
        <f t="shared" si="115"/>
        <v>0</v>
      </c>
      <c r="X12" s="523"/>
      <c r="Y12" s="524">
        <f t="shared" si="6"/>
        <v>0</v>
      </c>
      <c r="Z12" s="525">
        <f t="shared" si="116"/>
        <v>0</v>
      </c>
      <c r="AA12" s="523"/>
      <c r="AB12" s="524">
        <f t="shared" si="7"/>
        <v>0</v>
      </c>
      <c r="AC12" s="525">
        <f t="shared" si="117"/>
        <v>0</v>
      </c>
      <c r="AD12" s="523"/>
      <c r="AE12" s="524">
        <f t="shared" si="8"/>
        <v>0</v>
      </c>
      <c r="AF12" s="525">
        <f t="shared" si="118"/>
        <v>0</v>
      </c>
      <c r="AG12" s="523"/>
      <c r="AH12" s="524">
        <f t="shared" si="9"/>
        <v>0</v>
      </c>
      <c r="AI12" s="525">
        <f t="shared" si="119"/>
        <v>0</v>
      </c>
      <c r="AJ12" s="523">
        <v>5.8749999999999716</v>
      </c>
      <c r="AK12" s="524">
        <f t="shared" si="10"/>
        <v>0.11619857594936651</v>
      </c>
      <c r="AL12" s="525">
        <f t="shared" si="120"/>
        <v>0</v>
      </c>
      <c r="AM12" s="523"/>
      <c r="AN12" s="524">
        <f t="shared" si="11"/>
        <v>0</v>
      </c>
      <c r="AO12" s="525">
        <f t="shared" si="121"/>
        <v>0</v>
      </c>
      <c r="AP12" s="523"/>
      <c r="AQ12" s="524">
        <f t="shared" si="12"/>
        <v>0</v>
      </c>
      <c r="AR12" s="525">
        <f t="shared" si="122"/>
        <v>0</v>
      </c>
      <c r="AS12" s="523"/>
      <c r="AT12" s="524">
        <f t="shared" si="13"/>
        <v>0</v>
      </c>
      <c r="AU12" s="525">
        <f t="shared" si="123"/>
        <v>0</v>
      </c>
      <c r="AV12" s="523"/>
      <c r="AW12" s="524">
        <f t="shared" si="14"/>
        <v>0</v>
      </c>
      <c r="AX12" s="525">
        <f t="shared" si="124"/>
        <v>0</v>
      </c>
      <c r="AY12" s="523"/>
      <c r="AZ12" s="524">
        <f t="shared" si="15"/>
        <v>0</v>
      </c>
      <c r="BA12" s="525">
        <f t="shared" si="125"/>
        <v>0</v>
      </c>
      <c r="BB12" s="523"/>
      <c r="BC12" s="524">
        <f t="shared" si="16"/>
        <v>0</v>
      </c>
      <c r="BD12" s="525">
        <f t="shared" si="126"/>
        <v>0</v>
      </c>
      <c r="BE12" s="523"/>
      <c r="BF12" s="524">
        <f t="shared" si="17"/>
        <v>0</v>
      </c>
      <c r="BG12" s="525">
        <f t="shared" si="127"/>
        <v>0</v>
      </c>
      <c r="BH12" s="523"/>
      <c r="BI12" s="524">
        <f t="shared" si="18"/>
        <v>0</v>
      </c>
      <c r="BJ12" s="525">
        <f t="shared" si="128"/>
        <v>0</v>
      </c>
      <c r="BK12" s="523"/>
      <c r="BL12" s="524">
        <f t="shared" si="19"/>
        <v>0</v>
      </c>
      <c r="BM12" s="525">
        <f t="shared" si="129"/>
        <v>0</v>
      </c>
      <c r="BN12" s="523"/>
      <c r="BO12" s="524">
        <f t="shared" si="20"/>
        <v>0</v>
      </c>
      <c r="BP12" s="525">
        <f t="shared" si="130"/>
        <v>0</v>
      </c>
      <c r="BQ12" s="523"/>
      <c r="BR12" s="524">
        <f t="shared" si="21"/>
        <v>0</v>
      </c>
      <c r="BS12" s="525">
        <f t="shared" si="131"/>
        <v>0</v>
      </c>
      <c r="BT12" s="523"/>
      <c r="BU12" s="524">
        <f t="shared" si="22"/>
        <v>0</v>
      </c>
      <c r="BV12" s="525">
        <f t="shared" si="132"/>
        <v>0</v>
      </c>
      <c r="BW12" s="523"/>
      <c r="BX12" s="524">
        <f t="shared" si="23"/>
        <v>0</v>
      </c>
      <c r="BY12" s="525">
        <f t="shared" si="133"/>
        <v>0</v>
      </c>
      <c r="BZ12" s="523"/>
      <c r="CA12" s="524">
        <f t="shared" si="24"/>
        <v>0</v>
      </c>
      <c r="CB12" s="525">
        <f t="shared" si="134"/>
        <v>0</v>
      </c>
      <c r="CC12" s="523"/>
      <c r="CD12" s="524">
        <f t="shared" si="25"/>
        <v>0</v>
      </c>
      <c r="CE12" s="525">
        <f t="shared" si="135"/>
        <v>0</v>
      </c>
      <c r="CF12" s="523">
        <v>2.5</v>
      </c>
      <c r="CG12" s="524">
        <f t="shared" si="26"/>
        <v>4.9446202531645569E-2</v>
      </c>
      <c r="CH12" s="525">
        <f t="shared" si="136"/>
        <v>0</v>
      </c>
      <c r="CI12" s="523"/>
      <c r="CJ12" s="524">
        <f t="shared" si="27"/>
        <v>0</v>
      </c>
      <c r="CK12" s="525">
        <f t="shared" si="137"/>
        <v>0</v>
      </c>
      <c r="CL12" s="523"/>
      <c r="CM12" s="524">
        <f t="shared" si="28"/>
        <v>0</v>
      </c>
      <c r="CN12" s="525">
        <f t="shared" si="138"/>
        <v>0</v>
      </c>
      <c r="CO12" s="523"/>
      <c r="CP12" s="524">
        <f t="shared" si="29"/>
        <v>0</v>
      </c>
      <c r="CQ12" s="525">
        <f t="shared" si="139"/>
        <v>0</v>
      </c>
      <c r="CR12" s="523"/>
      <c r="CS12" s="524">
        <f t="shared" si="30"/>
        <v>0</v>
      </c>
      <c r="CT12" s="525">
        <f t="shared" si="140"/>
        <v>0</v>
      </c>
      <c r="CU12" s="523"/>
      <c r="CV12" s="524">
        <f t="shared" si="31"/>
        <v>0</v>
      </c>
      <c r="CW12" s="525">
        <f t="shared" si="141"/>
        <v>0</v>
      </c>
      <c r="CX12" s="523"/>
      <c r="CY12" s="524">
        <f t="shared" si="32"/>
        <v>0</v>
      </c>
      <c r="CZ12" s="525">
        <f t="shared" si="142"/>
        <v>0</v>
      </c>
      <c r="DA12" s="523">
        <v>203.48837209302314</v>
      </c>
      <c r="DB12" s="524">
        <f t="shared" si="33"/>
        <v>4.0246909037385903</v>
      </c>
      <c r="DC12" s="525">
        <f t="shared" si="143"/>
        <v>0</v>
      </c>
      <c r="DD12" s="523"/>
      <c r="DE12" s="524">
        <f t="shared" si="34"/>
        <v>0</v>
      </c>
      <c r="DF12" s="525">
        <f t="shared" si="144"/>
        <v>0</v>
      </c>
      <c r="DG12" s="523"/>
      <c r="DH12" s="524">
        <f t="shared" si="35"/>
        <v>0</v>
      </c>
      <c r="DI12" s="525">
        <v>0</v>
      </c>
      <c r="DJ12" s="523"/>
      <c r="DK12" s="524">
        <f t="shared" si="36"/>
        <v>0</v>
      </c>
      <c r="DL12" s="525">
        <f t="shared" si="145"/>
        <v>0</v>
      </c>
      <c r="DM12" s="523"/>
      <c r="DN12" s="524">
        <f t="shared" si="37"/>
        <v>0</v>
      </c>
      <c r="DO12" s="525">
        <f t="shared" si="146"/>
        <v>0</v>
      </c>
      <c r="DP12" s="523"/>
      <c r="DQ12" s="524">
        <f t="shared" si="38"/>
        <v>0</v>
      </c>
      <c r="DR12" s="525">
        <f t="shared" si="147"/>
        <v>0</v>
      </c>
      <c r="DS12" s="523"/>
      <c r="DT12" s="524">
        <f t="shared" si="39"/>
        <v>0</v>
      </c>
      <c r="DU12" s="525">
        <f t="shared" si="148"/>
        <v>0</v>
      </c>
      <c r="DV12" s="523"/>
      <c r="DW12" s="524">
        <f t="shared" si="40"/>
        <v>0</v>
      </c>
      <c r="DX12" s="525">
        <f t="shared" si="149"/>
        <v>0</v>
      </c>
      <c r="DY12" s="523"/>
      <c r="DZ12" s="524">
        <f t="shared" si="41"/>
        <v>0</v>
      </c>
      <c r="EA12" s="525">
        <f t="shared" si="150"/>
        <v>0</v>
      </c>
      <c r="EB12" s="523"/>
      <c r="EC12" s="524">
        <f t="shared" si="42"/>
        <v>0</v>
      </c>
      <c r="ED12" s="525">
        <f t="shared" si="151"/>
        <v>0</v>
      </c>
      <c r="EE12" s="523">
        <v>223.0823529411764</v>
      </c>
      <c r="EF12" s="524">
        <f t="shared" si="43"/>
        <v>4.4122300819061788</v>
      </c>
      <c r="EG12" s="525">
        <f t="shared" si="152"/>
        <v>0</v>
      </c>
      <c r="EH12" s="523">
        <v>1</v>
      </c>
      <c r="EI12" s="524">
        <f t="shared" si="44"/>
        <v>1.9778481012658226E-2</v>
      </c>
      <c r="EJ12" s="525">
        <f t="shared" si="153"/>
        <v>0</v>
      </c>
      <c r="EK12" s="523">
        <v>24.390243902438897</v>
      </c>
      <c r="EL12" s="524">
        <f t="shared" si="45"/>
        <v>0.48240197591849082</v>
      </c>
      <c r="EM12" s="525">
        <f t="shared" si="154"/>
        <v>0</v>
      </c>
      <c r="EN12" s="523">
        <v>79.069767441860449</v>
      </c>
      <c r="EO12" s="524">
        <f t="shared" si="46"/>
        <v>1.5638798940241385</v>
      </c>
      <c r="EP12" s="525">
        <f t="shared" si="155"/>
        <v>0</v>
      </c>
      <c r="EQ12" s="523"/>
      <c r="ER12" s="524">
        <f t="shared" si="47"/>
        <v>0</v>
      </c>
      <c r="ES12" s="525">
        <f t="shared" si="156"/>
        <v>0</v>
      </c>
      <c r="ET12" s="523"/>
      <c r="EU12" s="524">
        <f t="shared" si="48"/>
        <v>0</v>
      </c>
      <c r="EV12" s="525">
        <f t="shared" si="157"/>
        <v>0</v>
      </c>
      <c r="EW12" s="523"/>
      <c r="EX12" s="524">
        <f t="shared" si="49"/>
        <v>0</v>
      </c>
      <c r="EY12" s="525">
        <f t="shared" si="158"/>
        <v>0</v>
      </c>
      <c r="EZ12" s="523"/>
      <c r="FA12" s="524">
        <f t="shared" si="50"/>
        <v>0</v>
      </c>
      <c r="FB12" s="525">
        <f t="shared" si="159"/>
        <v>0</v>
      </c>
      <c r="FC12" s="523"/>
      <c r="FD12" s="524">
        <f t="shared" si="51"/>
        <v>0</v>
      </c>
      <c r="FE12" s="525">
        <f t="shared" si="160"/>
        <v>0</v>
      </c>
      <c r="FF12" s="523"/>
      <c r="FG12" s="524">
        <f t="shared" si="52"/>
        <v>0</v>
      </c>
      <c r="FH12" s="525">
        <f t="shared" si="161"/>
        <v>0</v>
      </c>
      <c r="FI12" s="523"/>
      <c r="FJ12" s="524">
        <f t="shared" si="53"/>
        <v>0</v>
      </c>
      <c r="FK12" s="525">
        <f t="shared" si="162"/>
        <v>0</v>
      </c>
      <c r="FL12" s="523"/>
      <c r="FM12" s="524">
        <f t="shared" si="54"/>
        <v>0</v>
      </c>
      <c r="FN12" s="525">
        <f t="shared" si="163"/>
        <v>0</v>
      </c>
      <c r="FO12" s="523"/>
      <c r="FP12" s="524">
        <f t="shared" si="55"/>
        <v>0</v>
      </c>
      <c r="FQ12" s="525">
        <f t="shared" si="164"/>
        <v>0</v>
      </c>
      <c r="FR12" s="523"/>
      <c r="FS12" s="524">
        <f t="shared" si="56"/>
        <v>0</v>
      </c>
      <c r="FT12" s="525">
        <f t="shared" si="165"/>
        <v>0</v>
      </c>
      <c r="FU12" s="523"/>
      <c r="FV12" s="524">
        <f t="shared" si="57"/>
        <v>0</v>
      </c>
      <c r="FW12" s="525">
        <f t="shared" si="166"/>
        <v>0</v>
      </c>
      <c r="FX12" s="523"/>
      <c r="FY12" s="524">
        <f t="shared" si="58"/>
        <v>0</v>
      </c>
      <c r="FZ12" s="525">
        <f t="shared" si="167"/>
        <v>0</v>
      </c>
      <c r="GA12" s="523"/>
      <c r="GB12" s="524">
        <f t="shared" si="168"/>
        <v>0</v>
      </c>
      <c r="GC12" s="525">
        <f t="shared" si="169"/>
        <v>0</v>
      </c>
      <c r="GD12" s="523"/>
      <c r="GE12" s="524">
        <f t="shared" si="59"/>
        <v>0</v>
      </c>
      <c r="GF12" s="525">
        <f t="shared" si="170"/>
        <v>0</v>
      </c>
      <c r="GG12" s="523">
        <v>15.412332173048235</v>
      </c>
      <c r="GH12" s="524">
        <f t="shared" si="171"/>
        <v>0.30483251924541604</v>
      </c>
      <c r="GI12" s="525">
        <f t="shared" si="172"/>
        <v>0</v>
      </c>
      <c r="GJ12" s="523">
        <v>17.981054201889609</v>
      </c>
      <c r="GK12" s="524">
        <f t="shared" si="60"/>
        <v>0.35563793911965208</v>
      </c>
      <c r="GL12" s="525">
        <f t="shared" si="173"/>
        <v>0</v>
      </c>
      <c r="GM12" s="523"/>
      <c r="GN12" s="524">
        <f t="shared" si="61"/>
        <v>0</v>
      </c>
      <c r="GO12" s="525">
        <f t="shared" si="174"/>
        <v>0</v>
      </c>
      <c r="GP12" s="523">
        <v>28.255942317255098</v>
      </c>
      <c r="GQ12" s="524">
        <f t="shared" si="62"/>
        <v>0.55885961861659605</v>
      </c>
      <c r="GR12" s="525">
        <f t="shared" si="175"/>
        <v>0</v>
      </c>
      <c r="GS12" s="523">
        <v>195.22287419194433</v>
      </c>
      <c r="GT12" s="524">
        <f t="shared" si="63"/>
        <v>3.8612119104419369</v>
      </c>
      <c r="GU12" s="525">
        <f t="shared" si="176"/>
        <v>0</v>
      </c>
      <c r="GV12" s="523">
        <v>35.962108403779219</v>
      </c>
      <c r="GW12" s="524">
        <f t="shared" si="64"/>
        <v>0.71127587823930416</v>
      </c>
      <c r="GX12" s="525">
        <f t="shared" si="177"/>
        <v>0</v>
      </c>
      <c r="GY12" s="523"/>
      <c r="GZ12" s="524">
        <f t="shared" si="65"/>
        <v>0</v>
      </c>
      <c r="HA12" s="525">
        <f t="shared" si="178"/>
        <v>0</v>
      </c>
      <c r="HB12" s="523"/>
      <c r="HC12" s="524">
        <f t="shared" si="66"/>
        <v>0</v>
      </c>
      <c r="HD12" s="525">
        <f t="shared" si="179"/>
        <v>0</v>
      </c>
      <c r="HE12" s="523"/>
      <c r="HF12" s="524">
        <f t="shared" si="67"/>
        <v>0</v>
      </c>
      <c r="HG12" s="525">
        <f t="shared" si="180"/>
        <v>0</v>
      </c>
      <c r="HH12" s="523"/>
      <c r="HI12" s="524">
        <f t="shared" si="68"/>
        <v>0</v>
      </c>
      <c r="HJ12" s="525">
        <f t="shared" si="181"/>
        <v>0</v>
      </c>
      <c r="HK12" s="523"/>
      <c r="HL12" s="524">
        <f t="shared" si="69"/>
        <v>0</v>
      </c>
      <c r="HM12" s="525">
        <f t="shared" si="182"/>
        <v>0</v>
      </c>
      <c r="HN12" s="523">
        <v>871.31051218299353</v>
      </c>
      <c r="HO12" s="524">
        <f t="shared" si="70"/>
        <v>17.233198421340852</v>
      </c>
      <c r="HP12" s="525">
        <f t="shared" si="183"/>
        <v>0</v>
      </c>
      <c r="HQ12" s="523"/>
      <c r="HR12" s="524">
        <f t="shared" si="71"/>
        <v>0</v>
      </c>
      <c r="HS12" s="525">
        <f t="shared" si="184"/>
        <v>0</v>
      </c>
      <c r="HT12" s="523"/>
      <c r="HU12" s="524">
        <f t="shared" si="72"/>
        <v>0</v>
      </c>
      <c r="HV12" s="525">
        <f t="shared" si="185"/>
        <v>0</v>
      </c>
      <c r="HW12" s="523"/>
      <c r="HX12" s="524">
        <f t="shared" si="73"/>
        <v>0</v>
      </c>
      <c r="HY12" s="525">
        <f t="shared" si="186"/>
        <v>0</v>
      </c>
      <c r="HZ12" s="523"/>
      <c r="IA12" s="524">
        <f t="shared" si="74"/>
        <v>0</v>
      </c>
      <c r="IB12" s="525">
        <f t="shared" si="200"/>
        <v>0</v>
      </c>
      <c r="IC12" s="523"/>
      <c r="ID12" s="524">
        <f t="shared" si="75"/>
        <v>0</v>
      </c>
      <c r="IE12" s="525">
        <f t="shared" si="187"/>
        <v>0</v>
      </c>
      <c r="IF12" s="523"/>
      <c r="IG12" s="524">
        <f t="shared" si="76"/>
        <v>0</v>
      </c>
      <c r="IH12" s="525">
        <f t="shared" si="188"/>
        <v>0</v>
      </c>
      <c r="II12" s="523">
        <v>25.687220288413727</v>
      </c>
      <c r="IJ12" s="524">
        <f t="shared" si="77"/>
        <v>0.50805419874236013</v>
      </c>
      <c r="IK12" s="525">
        <f t="shared" si="189"/>
        <v>0</v>
      </c>
      <c r="IL12" s="523"/>
      <c r="IM12" s="524">
        <f t="shared" si="78"/>
        <v>0</v>
      </c>
      <c r="IN12" s="525">
        <f t="shared" si="190"/>
        <v>0</v>
      </c>
      <c r="IO12" s="523"/>
      <c r="IP12" s="524">
        <f t="shared" si="79"/>
        <v>0</v>
      </c>
      <c r="IQ12" s="525">
        <f t="shared" si="191"/>
        <v>0</v>
      </c>
      <c r="IR12" s="523">
        <v>46.236996519144704</v>
      </c>
      <c r="IS12" s="524">
        <f t="shared" si="80"/>
        <v>0.91449755773624808</v>
      </c>
      <c r="IT12" s="525">
        <f t="shared" si="192"/>
        <v>0</v>
      </c>
      <c r="IU12" s="523"/>
      <c r="IV12" s="524">
        <f t="shared" si="81"/>
        <v>0</v>
      </c>
      <c r="IW12" s="525">
        <f t="shared" si="193"/>
        <v>0</v>
      </c>
      <c r="IX12" s="523"/>
      <c r="IY12" s="524">
        <f t="shared" si="82"/>
        <v>0</v>
      </c>
      <c r="IZ12" s="525">
        <f t="shared" si="194"/>
        <v>0</v>
      </c>
      <c r="JA12" s="523"/>
      <c r="JB12" s="524">
        <f t="shared" si="83"/>
        <v>0</v>
      </c>
      <c r="JC12" s="525">
        <f t="shared" si="195"/>
        <v>0</v>
      </c>
      <c r="JD12" s="523"/>
      <c r="JE12" s="524">
        <f t="shared" si="84"/>
        <v>0</v>
      </c>
      <c r="JF12" s="525">
        <f t="shared" si="196"/>
        <v>0</v>
      </c>
      <c r="JG12" s="523"/>
      <c r="JH12" s="524">
        <f t="shared" si="85"/>
        <v>0</v>
      </c>
      <c r="JI12" s="525">
        <f t="shared" si="197"/>
        <v>0</v>
      </c>
      <c r="JJ12" s="523">
        <v>23.118498259572352</v>
      </c>
      <c r="JK12" s="524">
        <f t="shared" si="86"/>
        <v>0.45724877886812404</v>
      </c>
      <c r="JL12" s="525" t="str">
        <f t="shared" si="87"/>
        <v>0</v>
      </c>
      <c r="JM12" s="523"/>
      <c r="JN12" s="524">
        <f t="shared" si="88"/>
        <v>0</v>
      </c>
      <c r="JO12" s="525" t="str">
        <f t="shared" si="89"/>
        <v>0</v>
      </c>
      <c r="JP12" s="523"/>
      <c r="JQ12" s="525" t="str">
        <f t="shared" si="90"/>
        <v>0</v>
      </c>
      <c r="JR12" s="525" t="str">
        <f t="shared" si="91"/>
        <v>0</v>
      </c>
      <c r="JS12" s="523"/>
      <c r="JT12" s="525" t="str">
        <f t="shared" si="92"/>
        <v>0</v>
      </c>
      <c r="JU12" s="525" t="str">
        <f t="shared" si="93"/>
        <v>0</v>
      </c>
      <c r="JV12" s="523"/>
      <c r="JW12" s="525" t="str">
        <f t="shared" si="94"/>
        <v>0</v>
      </c>
      <c r="JX12" s="525" t="str">
        <f t="shared" si="95"/>
        <v>0</v>
      </c>
      <c r="JY12" s="523"/>
      <c r="JZ12" s="525" t="str">
        <f t="shared" si="96"/>
        <v>0</v>
      </c>
      <c r="KA12" s="525" t="str">
        <f t="shared" si="97"/>
        <v>0</v>
      </c>
      <c r="KB12" s="523"/>
      <c r="KC12" s="525" t="str">
        <f t="shared" si="98"/>
        <v>0</v>
      </c>
      <c r="KD12" s="525" t="str">
        <f t="shared" si="99"/>
        <v>0</v>
      </c>
      <c r="KE12" s="523"/>
      <c r="KF12" s="525" t="str">
        <f t="shared" si="100"/>
        <v>0</v>
      </c>
      <c r="KG12" s="525" t="str">
        <f t="shared" si="101"/>
        <v>0</v>
      </c>
      <c r="KH12" s="523"/>
      <c r="KI12" s="525" t="str">
        <f t="shared" si="102"/>
        <v>0</v>
      </c>
      <c r="KJ12" s="525" t="str">
        <f t="shared" si="103"/>
        <v>0</v>
      </c>
      <c r="KK12" s="523"/>
      <c r="KL12" s="525" t="str">
        <f t="shared" si="104"/>
        <v>0</v>
      </c>
      <c r="KM12" s="525" t="str">
        <f t="shared" si="105"/>
        <v>0</v>
      </c>
      <c r="KN12" s="523"/>
      <c r="KO12" s="525" t="str">
        <f t="shared" si="106"/>
        <v>0</v>
      </c>
      <c r="KP12" s="525" t="str">
        <f t="shared" si="107"/>
        <v>0</v>
      </c>
      <c r="KQ12" s="523"/>
      <c r="KR12" s="525" t="str">
        <f t="shared" si="108"/>
        <v>0</v>
      </c>
      <c r="KS12" s="525" t="str">
        <f t="shared" si="109"/>
        <v>0</v>
      </c>
      <c r="KT12" s="525">
        <f t="shared" si="201"/>
        <v>0</v>
      </c>
      <c r="KU12" s="525">
        <f t="shared" si="202"/>
        <v>0</v>
      </c>
      <c r="KV12" s="264">
        <f t="shared" si="198"/>
        <v>1806.7182749165397</v>
      </c>
    </row>
    <row r="13" spans="1:309" ht="15" customHeight="1">
      <c r="A13" s="266">
        <f t="shared" si="199"/>
        <v>45966</v>
      </c>
      <c r="B13" s="267" t="str">
        <f>+Report1!B13</f>
        <v>Toilet/Towel</v>
      </c>
      <c r="C13" s="267" t="str">
        <f>+Report1!C13</f>
        <v>15/13,5/29/20</v>
      </c>
      <c r="D13" s="268">
        <f>+Report1!P13</f>
        <v>30.387999999999998</v>
      </c>
      <c r="E13" s="269">
        <f>+Report1!R13</f>
        <v>28.984999999999999</v>
      </c>
      <c r="F13" s="523"/>
      <c r="G13" s="524">
        <f t="shared" si="0"/>
        <v>0</v>
      </c>
      <c r="H13" s="525">
        <f t="shared" si="110"/>
        <v>0</v>
      </c>
      <c r="I13" s="523"/>
      <c r="J13" s="524">
        <f t="shared" si="1"/>
        <v>0</v>
      </c>
      <c r="K13" s="525">
        <f t="shared" si="111"/>
        <v>0</v>
      </c>
      <c r="L13" s="523"/>
      <c r="M13" s="524">
        <f t="shared" si="2"/>
        <v>0</v>
      </c>
      <c r="N13" s="525">
        <f t="shared" si="112"/>
        <v>0</v>
      </c>
      <c r="O13" s="523">
        <v>3.0000000000000071</v>
      </c>
      <c r="P13" s="524">
        <f t="shared" si="3"/>
        <v>0.10350181128169768</v>
      </c>
      <c r="Q13" s="525">
        <f t="shared" si="113"/>
        <v>0</v>
      </c>
      <c r="R13" s="523"/>
      <c r="S13" s="524">
        <f t="shared" si="4"/>
        <v>0</v>
      </c>
      <c r="T13" s="525">
        <f t="shared" si="114"/>
        <v>0</v>
      </c>
      <c r="U13" s="523">
        <v>5.1249999999999929</v>
      </c>
      <c r="V13" s="524">
        <f t="shared" si="5"/>
        <v>0.17681559427289953</v>
      </c>
      <c r="W13" s="525">
        <f t="shared" si="115"/>
        <v>0</v>
      </c>
      <c r="X13" s="523"/>
      <c r="Y13" s="524">
        <f t="shared" si="6"/>
        <v>0</v>
      </c>
      <c r="Z13" s="525">
        <f t="shared" si="116"/>
        <v>0</v>
      </c>
      <c r="AA13" s="523"/>
      <c r="AB13" s="524">
        <f t="shared" si="7"/>
        <v>0</v>
      </c>
      <c r="AC13" s="525">
        <f t="shared" si="117"/>
        <v>0</v>
      </c>
      <c r="AD13" s="523"/>
      <c r="AE13" s="524">
        <f t="shared" si="8"/>
        <v>0</v>
      </c>
      <c r="AF13" s="525">
        <f t="shared" si="118"/>
        <v>0</v>
      </c>
      <c r="AG13" s="523"/>
      <c r="AH13" s="524">
        <f t="shared" si="9"/>
        <v>0</v>
      </c>
      <c r="AI13" s="525">
        <f t="shared" si="119"/>
        <v>0</v>
      </c>
      <c r="AJ13" s="523">
        <v>2.9375</v>
      </c>
      <c r="AK13" s="524">
        <f t="shared" si="10"/>
        <v>0.10134552354666207</v>
      </c>
      <c r="AL13" s="525">
        <f t="shared" si="120"/>
        <v>0</v>
      </c>
      <c r="AM13" s="523"/>
      <c r="AN13" s="524">
        <f t="shared" si="11"/>
        <v>0</v>
      </c>
      <c r="AO13" s="525">
        <f t="shared" si="121"/>
        <v>0</v>
      </c>
      <c r="AP13" s="523"/>
      <c r="AQ13" s="524">
        <f t="shared" si="12"/>
        <v>0</v>
      </c>
      <c r="AR13" s="525">
        <f t="shared" si="122"/>
        <v>0</v>
      </c>
      <c r="AS13" s="523"/>
      <c r="AT13" s="524">
        <f t="shared" si="13"/>
        <v>0</v>
      </c>
      <c r="AU13" s="525">
        <f t="shared" si="123"/>
        <v>0</v>
      </c>
      <c r="AV13" s="523"/>
      <c r="AW13" s="524">
        <f t="shared" si="14"/>
        <v>0</v>
      </c>
      <c r="AX13" s="525">
        <f t="shared" si="124"/>
        <v>0</v>
      </c>
      <c r="AY13" s="523"/>
      <c r="AZ13" s="524">
        <f t="shared" si="15"/>
        <v>0</v>
      </c>
      <c r="BA13" s="525">
        <f t="shared" si="125"/>
        <v>0</v>
      </c>
      <c r="BB13" s="523"/>
      <c r="BC13" s="524">
        <f t="shared" si="16"/>
        <v>0</v>
      </c>
      <c r="BD13" s="525">
        <f t="shared" si="126"/>
        <v>0</v>
      </c>
      <c r="BE13" s="523"/>
      <c r="BF13" s="524">
        <f t="shared" si="17"/>
        <v>0</v>
      </c>
      <c r="BG13" s="525">
        <f t="shared" si="127"/>
        <v>0</v>
      </c>
      <c r="BH13" s="523"/>
      <c r="BI13" s="524">
        <f t="shared" si="18"/>
        <v>0</v>
      </c>
      <c r="BJ13" s="525">
        <f t="shared" si="128"/>
        <v>0</v>
      </c>
      <c r="BK13" s="523"/>
      <c r="BL13" s="524">
        <f t="shared" si="19"/>
        <v>0</v>
      </c>
      <c r="BM13" s="525">
        <f t="shared" si="129"/>
        <v>0</v>
      </c>
      <c r="BN13" s="523"/>
      <c r="BO13" s="524">
        <f t="shared" si="20"/>
        <v>0</v>
      </c>
      <c r="BP13" s="525">
        <f t="shared" si="130"/>
        <v>0</v>
      </c>
      <c r="BQ13" s="523"/>
      <c r="BR13" s="524">
        <f t="shared" si="21"/>
        <v>0</v>
      </c>
      <c r="BS13" s="525">
        <f t="shared" si="131"/>
        <v>0</v>
      </c>
      <c r="BT13" s="523"/>
      <c r="BU13" s="524">
        <f t="shared" si="22"/>
        <v>0</v>
      </c>
      <c r="BV13" s="525">
        <f t="shared" si="132"/>
        <v>0</v>
      </c>
      <c r="BW13" s="523"/>
      <c r="BX13" s="524">
        <f t="shared" si="23"/>
        <v>0</v>
      </c>
      <c r="BY13" s="525">
        <f t="shared" si="133"/>
        <v>0</v>
      </c>
      <c r="BZ13" s="523"/>
      <c r="CA13" s="524">
        <f t="shared" si="24"/>
        <v>0</v>
      </c>
      <c r="CB13" s="525">
        <f t="shared" si="134"/>
        <v>0</v>
      </c>
      <c r="CC13" s="523"/>
      <c r="CD13" s="524">
        <f t="shared" si="25"/>
        <v>0</v>
      </c>
      <c r="CE13" s="525">
        <f t="shared" si="135"/>
        <v>0</v>
      </c>
      <c r="CF13" s="523">
        <v>2.5</v>
      </c>
      <c r="CG13" s="524">
        <f t="shared" si="26"/>
        <v>8.6251509401414531E-2</v>
      </c>
      <c r="CH13" s="525">
        <f t="shared" si="136"/>
        <v>0</v>
      </c>
      <c r="CI13" s="523"/>
      <c r="CJ13" s="524">
        <f t="shared" si="27"/>
        <v>0</v>
      </c>
      <c r="CK13" s="525">
        <f t="shared" si="137"/>
        <v>0</v>
      </c>
      <c r="CL13" s="523"/>
      <c r="CM13" s="524">
        <f t="shared" si="28"/>
        <v>0</v>
      </c>
      <c r="CN13" s="525">
        <f t="shared" si="138"/>
        <v>0</v>
      </c>
      <c r="CO13" s="523"/>
      <c r="CP13" s="524">
        <f t="shared" si="29"/>
        <v>0</v>
      </c>
      <c r="CQ13" s="525">
        <f t="shared" si="139"/>
        <v>0</v>
      </c>
      <c r="CR13" s="523"/>
      <c r="CS13" s="524">
        <f t="shared" si="30"/>
        <v>0</v>
      </c>
      <c r="CT13" s="525">
        <f t="shared" si="140"/>
        <v>0</v>
      </c>
      <c r="CU13" s="523"/>
      <c r="CV13" s="524">
        <f t="shared" si="31"/>
        <v>0</v>
      </c>
      <c r="CW13" s="525">
        <f t="shared" si="141"/>
        <v>0</v>
      </c>
      <c r="CX13" s="523"/>
      <c r="CY13" s="524">
        <f t="shared" si="32"/>
        <v>0</v>
      </c>
      <c r="CZ13" s="525">
        <f t="shared" si="142"/>
        <v>0</v>
      </c>
      <c r="DA13" s="523">
        <v>116.2790697674418</v>
      </c>
      <c r="DB13" s="524">
        <f t="shared" si="33"/>
        <v>4.0116981116936969</v>
      </c>
      <c r="DC13" s="525">
        <f t="shared" si="143"/>
        <v>0</v>
      </c>
      <c r="DD13" s="523"/>
      <c r="DE13" s="524">
        <f t="shared" si="34"/>
        <v>0</v>
      </c>
      <c r="DF13" s="525">
        <f t="shared" si="144"/>
        <v>0</v>
      </c>
      <c r="DG13" s="523"/>
      <c r="DH13" s="524">
        <f t="shared" si="35"/>
        <v>0</v>
      </c>
      <c r="DI13" s="525">
        <v>0</v>
      </c>
      <c r="DJ13" s="523"/>
      <c r="DK13" s="524">
        <f t="shared" si="36"/>
        <v>0</v>
      </c>
      <c r="DL13" s="525">
        <f t="shared" si="145"/>
        <v>0</v>
      </c>
      <c r="DM13" s="523"/>
      <c r="DN13" s="524">
        <f t="shared" si="37"/>
        <v>0</v>
      </c>
      <c r="DO13" s="525">
        <f t="shared" si="146"/>
        <v>0</v>
      </c>
      <c r="DP13" s="523"/>
      <c r="DQ13" s="524">
        <f t="shared" si="38"/>
        <v>0</v>
      </c>
      <c r="DR13" s="525">
        <f t="shared" si="147"/>
        <v>0</v>
      </c>
      <c r="DS13" s="523"/>
      <c r="DT13" s="524">
        <f t="shared" si="39"/>
        <v>0</v>
      </c>
      <c r="DU13" s="525">
        <f t="shared" si="148"/>
        <v>0</v>
      </c>
      <c r="DV13" s="523"/>
      <c r="DW13" s="524">
        <f t="shared" si="40"/>
        <v>0</v>
      </c>
      <c r="DX13" s="525">
        <f t="shared" si="149"/>
        <v>0</v>
      </c>
      <c r="DY13" s="523"/>
      <c r="DZ13" s="524">
        <f t="shared" si="41"/>
        <v>0</v>
      </c>
      <c r="EA13" s="525">
        <f t="shared" si="150"/>
        <v>0</v>
      </c>
      <c r="EB13" s="523">
        <v>511.62790697674427</v>
      </c>
      <c r="EC13" s="524">
        <f t="shared" si="42"/>
        <v>17.651471691452279</v>
      </c>
      <c r="ED13" s="525">
        <f t="shared" si="151"/>
        <v>0</v>
      </c>
      <c r="EE13" s="523">
        <v>176.11764705882354</v>
      </c>
      <c r="EF13" s="524">
        <f t="shared" si="43"/>
        <v>6.0761651564196493</v>
      </c>
      <c r="EG13" s="525">
        <f t="shared" si="152"/>
        <v>0</v>
      </c>
      <c r="EH13" s="523"/>
      <c r="EI13" s="524">
        <f t="shared" si="44"/>
        <v>0</v>
      </c>
      <c r="EJ13" s="525">
        <f t="shared" si="153"/>
        <v>0</v>
      </c>
      <c r="EK13" s="523">
        <v>12.195121951219335</v>
      </c>
      <c r="EL13" s="524">
        <f t="shared" si="45"/>
        <v>0.42073907025079643</v>
      </c>
      <c r="EM13" s="525">
        <f t="shared" si="154"/>
        <v>0</v>
      </c>
      <c r="EN13" s="523">
        <v>49.418604651162696</v>
      </c>
      <c r="EO13" s="524">
        <f t="shared" si="46"/>
        <v>1.7049716974698188</v>
      </c>
      <c r="EP13" s="525">
        <f t="shared" si="155"/>
        <v>0</v>
      </c>
      <c r="EQ13" s="523"/>
      <c r="ER13" s="524">
        <f t="shared" si="47"/>
        <v>0</v>
      </c>
      <c r="ES13" s="525">
        <f t="shared" si="156"/>
        <v>0</v>
      </c>
      <c r="ET13" s="523"/>
      <c r="EU13" s="524">
        <f t="shared" si="48"/>
        <v>0</v>
      </c>
      <c r="EV13" s="525">
        <f t="shared" si="157"/>
        <v>0</v>
      </c>
      <c r="EW13" s="523"/>
      <c r="EX13" s="524">
        <f t="shared" si="49"/>
        <v>0</v>
      </c>
      <c r="EY13" s="525">
        <f t="shared" si="158"/>
        <v>0</v>
      </c>
      <c r="EZ13" s="523"/>
      <c r="FA13" s="524">
        <f t="shared" si="50"/>
        <v>0</v>
      </c>
      <c r="FB13" s="525">
        <f t="shared" si="159"/>
        <v>0</v>
      </c>
      <c r="FC13" s="523"/>
      <c r="FD13" s="524">
        <f t="shared" si="51"/>
        <v>0</v>
      </c>
      <c r="FE13" s="525">
        <f t="shared" si="160"/>
        <v>0</v>
      </c>
      <c r="FF13" s="523"/>
      <c r="FG13" s="524">
        <f t="shared" si="52"/>
        <v>0</v>
      </c>
      <c r="FH13" s="525">
        <f t="shared" si="161"/>
        <v>0</v>
      </c>
      <c r="FI13" s="523"/>
      <c r="FJ13" s="524">
        <f t="shared" si="53"/>
        <v>0</v>
      </c>
      <c r="FK13" s="525">
        <f t="shared" si="162"/>
        <v>0</v>
      </c>
      <c r="FL13" s="523"/>
      <c r="FM13" s="524">
        <f t="shared" si="54"/>
        <v>0</v>
      </c>
      <c r="FN13" s="525">
        <f t="shared" si="163"/>
        <v>0</v>
      </c>
      <c r="FO13" s="523"/>
      <c r="FP13" s="524">
        <f t="shared" si="55"/>
        <v>0</v>
      </c>
      <c r="FQ13" s="525">
        <f t="shared" si="164"/>
        <v>0</v>
      </c>
      <c r="FR13" s="523"/>
      <c r="FS13" s="524">
        <f t="shared" si="56"/>
        <v>0</v>
      </c>
      <c r="FT13" s="525">
        <f t="shared" si="165"/>
        <v>0</v>
      </c>
      <c r="FU13" s="523"/>
      <c r="FV13" s="524">
        <f t="shared" si="57"/>
        <v>0</v>
      </c>
      <c r="FW13" s="525">
        <f t="shared" si="166"/>
        <v>0</v>
      </c>
      <c r="FX13" s="523"/>
      <c r="FY13" s="524">
        <f t="shared" si="58"/>
        <v>0</v>
      </c>
      <c r="FZ13" s="525">
        <f t="shared" si="167"/>
        <v>0</v>
      </c>
      <c r="GA13" s="523"/>
      <c r="GB13" s="524">
        <f t="shared" si="168"/>
        <v>0</v>
      </c>
      <c r="GC13" s="525">
        <f t="shared" si="169"/>
        <v>0</v>
      </c>
      <c r="GD13" s="523"/>
      <c r="GE13" s="524">
        <f t="shared" si="59"/>
        <v>0</v>
      </c>
      <c r="GF13" s="525">
        <f t="shared" si="170"/>
        <v>0</v>
      </c>
      <c r="GG13" s="523">
        <v>10.472204784822488</v>
      </c>
      <c r="GH13" s="524">
        <f t="shared" si="171"/>
        <v>0.361297387780662</v>
      </c>
      <c r="GI13" s="525">
        <f t="shared" si="172"/>
        <v>0</v>
      </c>
      <c r="GJ13" s="523">
        <v>10.472204784822488</v>
      </c>
      <c r="GK13" s="524">
        <f t="shared" si="60"/>
        <v>0.361297387780662</v>
      </c>
      <c r="GL13" s="525">
        <f t="shared" si="173"/>
        <v>0</v>
      </c>
      <c r="GM13" s="523"/>
      <c r="GN13" s="524">
        <f t="shared" si="61"/>
        <v>0</v>
      </c>
      <c r="GO13" s="525">
        <f t="shared" si="174"/>
        <v>0</v>
      </c>
      <c r="GP13" s="523">
        <v>20.944409569644975</v>
      </c>
      <c r="GQ13" s="524">
        <f t="shared" si="62"/>
        <v>0.72259477556132401</v>
      </c>
      <c r="GR13" s="525">
        <f t="shared" si="175"/>
        <v>0</v>
      </c>
      <c r="GS13" s="523">
        <v>121.47757550394086</v>
      </c>
      <c r="GT13" s="524">
        <f t="shared" si="63"/>
        <v>4.1910496982556786</v>
      </c>
      <c r="GU13" s="525">
        <f t="shared" si="176"/>
        <v>0</v>
      </c>
      <c r="GV13" s="523">
        <v>20.944409569644975</v>
      </c>
      <c r="GW13" s="524">
        <f t="shared" si="64"/>
        <v>0.72259477556132401</v>
      </c>
      <c r="GX13" s="525">
        <f t="shared" si="177"/>
        <v>0</v>
      </c>
      <c r="GY13" s="523"/>
      <c r="GZ13" s="524">
        <f t="shared" si="65"/>
        <v>0</v>
      </c>
      <c r="HA13" s="525">
        <f t="shared" si="178"/>
        <v>0</v>
      </c>
      <c r="HB13" s="523"/>
      <c r="HC13" s="524">
        <f t="shared" si="66"/>
        <v>0</v>
      </c>
      <c r="HD13" s="525">
        <f t="shared" si="179"/>
        <v>0</v>
      </c>
      <c r="HE13" s="523"/>
      <c r="HF13" s="524">
        <f t="shared" si="67"/>
        <v>0</v>
      </c>
      <c r="HG13" s="525">
        <f t="shared" si="180"/>
        <v>0</v>
      </c>
      <c r="HH13" s="523"/>
      <c r="HI13" s="524">
        <f t="shared" si="68"/>
        <v>0</v>
      </c>
      <c r="HJ13" s="525">
        <f t="shared" si="181"/>
        <v>0</v>
      </c>
      <c r="HK13" s="523"/>
      <c r="HL13" s="524">
        <f t="shared" si="69"/>
        <v>0</v>
      </c>
      <c r="HM13" s="525">
        <f t="shared" si="182"/>
        <v>0</v>
      </c>
      <c r="HN13" s="523">
        <v>668.54555346306768</v>
      </c>
      <c r="HO13" s="524">
        <f t="shared" si="70"/>
        <v>23.065225235917463</v>
      </c>
      <c r="HP13" s="525">
        <f t="shared" si="183"/>
        <v>0</v>
      </c>
      <c r="HQ13" s="523"/>
      <c r="HR13" s="524">
        <f t="shared" si="71"/>
        <v>0</v>
      </c>
      <c r="HS13" s="525">
        <f t="shared" si="184"/>
        <v>0</v>
      </c>
      <c r="HT13" s="523"/>
      <c r="HU13" s="524">
        <f t="shared" si="72"/>
        <v>0</v>
      </c>
      <c r="HV13" s="525">
        <f t="shared" si="185"/>
        <v>0</v>
      </c>
      <c r="HW13" s="523"/>
      <c r="HX13" s="524">
        <f t="shared" si="73"/>
        <v>0</v>
      </c>
      <c r="HY13" s="525">
        <f t="shared" si="186"/>
        <v>0</v>
      </c>
      <c r="HZ13" s="523"/>
      <c r="IA13" s="524">
        <f t="shared" si="74"/>
        <v>0</v>
      </c>
      <c r="IB13" s="525">
        <f t="shared" si="200"/>
        <v>0</v>
      </c>
      <c r="IC13" s="523"/>
      <c r="ID13" s="524">
        <f t="shared" si="75"/>
        <v>0</v>
      </c>
      <c r="IE13" s="525">
        <f t="shared" si="187"/>
        <v>0</v>
      </c>
      <c r="IF13" s="523"/>
      <c r="IG13" s="524">
        <f t="shared" si="76"/>
        <v>0</v>
      </c>
      <c r="IH13" s="525">
        <f t="shared" si="188"/>
        <v>0</v>
      </c>
      <c r="II13" s="523">
        <v>14.661086698751483</v>
      </c>
      <c r="IJ13" s="524">
        <f t="shared" si="77"/>
        <v>0.50581634289292676</v>
      </c>
      <c r="IK13" s="525">
        <f t="shared" si="189"/>
        <v>0</v>
      </c>
      <c r="IL13" s="523"/>
      <c r="IM13" s="524">
        <f t="shared" si="78"/>
        <v>0</v>
      </c>
      <c r="IN13" s="525">
        <f t="shared" si="190"/>
        <v>0</v>
      </c>
      <c r="IO13" s="523"/>
      <c r="IP13" s="524">
        <f t="shared" si="79"/>
        <v>0</v>
      </c>
      <c r="IQ13" s="525">
        <f t="shared" si="191"/>
        <v>0</v>
      </c>
      <c r="IR13" s="523">
        <v>25.13329148357397</v>
      </c>
      <c r="IS13" s="524">
        <f t="shared" si="80"/>
        <v>0.86711373067358877</v>
      </c>
      <c r="IT13" s="525">
        <f t="shared" si="192"/>
        <v>0</v>
      </c>
      <c r="IU13" s="523"/>
      <c r="IV13" s="524">
        <f t="shared" si="81"/>
        <v>0</v>
      </c>
      <c r="IW13" s="525">
        <f t="shared" si="193"/>
        <v>0</v>
      </c>
      <c r="IX13" s="523"/>
      <c r="IY13" s="524">
        <f t="shared" si="82"/>
        <v>0</v>
      </c>
      <c r="IZ13" s="525">
        <f t="shared" si="194"/>
        <v>0</v>
      </c>
      <c r="JA13" s="523"/>
      <c r="JB13" s="524">
        <f t="shared" si="83"/>
        <v>0</v>
      </c>
      <c r="JC13" s="525">
        <f t="shared" si="195"/>
        <v>0</v>
      </c>
      <c r="JD13" s="523"/>
      <c r="JE13" s="524">
        <f t="shared" si="84"/>
        <v>0</v>
      </c>
      <c r="JF13" s="525">
        <f t="shared" si="196"/>
        <v>0</v>
      </c>
      <c r="JG13" s="523"/>
      <c r="JH13" s="524">
        <f t="shared" si="85"/>
        <v>0</v>
      </c>
      <c r="JI13" s="525">
        <f t="shared" si="197"/>
        <v>0</v>
      </c>
      <c r="JJ13" s="523">
        <v>16.75552765571598</v>
      </c>
      <c r="JK13" s="524">
        <f t="shared" si="86"/>
        <v>0.57807582044905914</v>
      </c>
      <c r="JL13" s="525" t="str">
        <f t="shared" si="87"/>
        <v>0</v>
      </c>
      <c r="JM13" s="523"/>
      <c r="JN13" s="524">
        <f t="shared" si="88"/>
        <v>0</v>
      </c>
      <c r="JO13" s="525" t="str">
        <f t="shared" si="89"/>
        <v>0</v>
      </c>
      <c r="JP13" s="523"/>
      <c r="JQ13" s="525" t="str">
        <f t="shared" si="90"/>
        <v>0</v>
      </c>
      <c r="JR13" s="525" t="str">
        <f t="shared" si="91"/>
        <v>0</v>
      </c>
      <c r="JS13" s="523"/>
      <c r="JT13" s="525" t="str">
        <f t="shared" si="92"/>
        <v>0</v>
      </c>
      <c r="JU13" s="525" t="str">
        <f t="shared" si="93"/>
        <v>0</v>
      </c>
      <c r="JV13" s="523"/>
      <c r="JW13" s="525" t="str">
        <f t="shared" si="94"/>
        <v>0</v>
      </c>
      <c r="JX13" s="525" t="str">
        <f t="shared" si="95"/>
        <v>0</v>
      </c>
      <c r="JY13" s="523"/>
      <c r="JZ13" s="525" t="str">
        <f t="shared" si="96"/>
        <v>0</v>
      </c>
      <c r="KA13" s="525" t="str">
        <f t="shared" si="97"/>
        <v>0</v>
      </c>
      <c r="KB13" s="523"/>
      <c r="KC13" s="525" t="str">
        <f t="shared" si="98"/>
        <v>0</v>
      </c>
      <c r="KD13" s="525" t="str">
        <f t="shared" si="99"/>
        <v>0</v>
      </c>
      <c r="KE13" s="523"/>
      <c r="KF13" s="525" t="str">
        <f t="shared" si="100"/>
        <v>0</v>
      </c>
      <c r="KG13" s="525" t="str">
        <f t="shared" si="101"/>
        <v>0</v>
      </c>
      <c r="KH13" s="523"/>
      <c r="KI13" s="525" t="str">
        <f t="shared" si="102"/>
        <v>0</v>
      </c>
      <c r="KJ13" s="525" t="str">
        <f t="shared" si="103"/>
        <v>0</v>
      </c>
      <c r="KK13" s="523"/>
      <c r="KL13" s="525" t="str">
        <f t="shared" si="104"/>
        <v>0</v>
      </c>
      <c r="KM13" s="525" t="str">
        <f t="shared" si="105"/>
        <v>0</v>
      </c>
      <c r="KN13" s="523"/>
      <c r="KO13" s="525" t="str">
        <f t="shared" si="106"/>
        <v>0</v>
      </c>
      <c r="KP13" s="525" t="str">
        <f t="shared" si="107"/>
        <v>0</v>
      </c>
      <c r="KQ13" s="523"/>
      <c r="KR13" s="525" t="str">
        <f t="shared" si="108"/>
        <v>0</v>
      </c>
      <c r="KS13" s="525" t="str">
        <f t="shared" si="109"/>
        <v>0</v>
      </c>
      <c r="KT13" s="525">
        <f t="shared" si="201"/>
        <v>0</v>
      </c>
      <c r="KU13" s="525">
        <f t="shared" si="202"/>
        <v>0</v>
      </c>
      <c r="KV13" s="264">
        <f t="shared" si="198"/>
        <v>1788.6071139193764</v>
      </c>
    </row>
    <row r="14" spans="1:309" ht="15" customHeight="1">
      <c r="A14" s="266">
        <f t="shared" si="199"/>
        <v>45967</v>
      </c>
      <c r="B14" s="267" t="str">
        <f>+Report1!B14</f>
        <v>Towel</v>
      </c>
      <c r="C14" s="267" t="str">
        <f>+Report1!C14</f>
        <v>20</v>
      </c>
      <c r="D14" s="268">
        <f>+Report1!P14</f>
        <v>58.853999999999999</v>
      </c>
      <c r="E14" s="269">
        <f>+Report1!R14</f>
        <v>56.119</v>
      </c>
      <c r="F14" s="523"/>
      <c r="G14" s="524">
        <f t="shared" si="0"/>
        <v>0</v>
      </c>
      <c r="H14" s="525">
        <f t="shared" si="110"/>
        <v>0</v>
      </c>
      <c r="I14" s="523"/>
      <c r="J14" s="524">
        <f t="shared" si="1"/>
        <v>0</v>
      </c>
      <c r="K14" s="525">
        <f t="shared" si="111"/>
        <v>0</v>
      </c>
      <c r="L14" s="523"/>
      <c r="M14" s="524">
        <f t="shared" si="2"/>
        <v>0</v>
      </c>
      <c r="N14" s="525">
        <f t="shared" si="112"/>
        <v>0</v>
      </c>
      <c r="O14" s="523">
        <v>2.9999999999999929</v>
      </c>
      <c r="P14" s="524">
        <f t="shared" si="3"/>
        <v>5.3457830681230827E-2</v>
      </c>
      <c r="Q14" s="525">
        <f t="shared" si="113"/>
        <v>0</v>
      </c>
      <c r="R14" s="523"/>
      <c r="S14" s="524">
        <f t="shared" si="4"/>
        <v>0</v>
      </c>
      <c r="T14" s="525">
        <f t="shared" si="114"/>
        <v>0</v>
      </c>
      <c r="U14" s="523">
        <v>5.1250000000000071</v>
      </c>
      <c r="V14" s="524">
        <f t="shared" si="5"/>
        <v>9.1323794080436338E-2</v>
      </c>
      <c r="W14" s="525">
        <f t="shared" si="115"/>
        <v>0</v>
      </c>
      <c r="X14" s="523"/>
      <c r="Y14" s="524">
        <f t="shared" si="6"/>
        <v>0</v>
      </c>
      <c r="Z14" s="525">
        <f t="shared" si="116"/>
        <v>0</v>
      </c>
      <c r="AA14" s="523"/>
      <c r="AB14" s="524">
        <f t="shared" si="7"/>
        <v>0</v>
      </c>
      <c r="AC14" s="525">
        <f t="shared" si="117"/>
        <v>0</v>
      </c>
      <c r="AD14" s="523"/>
      <c r="AE14" s="524">
        <f t="shared" si="8"/>
        <v>0</v>
      </c>
      <c r="AF14" s="525">
        <f t="shared" si="118"/>
        <v>0</v>
      </c>
      <c r="AG14" s="523"/>
      <c r="AH14" s="524">
        <f t="shared" si="9"/>
        <v>0</v>
      </c>
      <c r="AI14" s="525">
        <f t="shared" si="119"/>
        <v>0</v>
      </c>
      <c r="AJ14" s="523"/>
      <c r="AK14" s="524">
        <f t="shared" si="10"/>
        <v>0</v>
      </c>
      <c r="AL14" s="525">
        <f t="shared" si="120"/>
        <v>0</v>
      </c>
      <c r="AM14" s="523"/>
      <c r="AN14" s="524">
        <f t="shared" si="11"/>
        <v>0</v>
      </c>
      <c r="AO14" s="525">
        <f t="shared" si="121"/>
        <v>0</v>
      </c>
      <c r="AP14" s="523"/>
      <c r="AQ14" s="524">
        <f t="shared" si="12"/>
        <v>0</v>
      </c>
      <c r="AR14" s="525">
        <f t="shared" si="122"/>
        <v>0</v>
      </c>
      <c r="AS14" s="523"/>
      <c r="AT14" s="524">
        <f t="shared" si="13"/>
        <v>0</v>
      </c>
      <c r="AU14" s="525">
        <f t="shared" si="123"/>
        <v>0</v>
      </c>
      <c r="AV14" s="523"/>
      <c r="AW14" s="524">
        <f t="shared" si="14"/>
        <v>0</v>
      </c>
      <c r="AX14" s="525">
        <f t="shared" si="124"/>
        <v>0</v>
      </c>
      <c r="AY14" s="523"/>
      <c r="AZ14" s="524">
        <f t="shared" si="15"/>
        <v>0</v>
      </c>
      <c r="BA14" s="525">
        <f t="shared" si="125"/>
        <v>0</v>
      </c>
      <c r="BB14" s="523"/>
      <c r="BC14" s="524">
        <f t="shared" si="16"/>
        <v>0</v>
      </c>
      <c r="BD14" s="525">
        <f t="shared" si="126"/>
        <v>0</v>
      </c>
      <c r="BE14" s="523"/>
      <c r="BF14" s="524">
        <f t="shared" si="17"/>
        <v>0</v>
      </c>
      <c r="BG14" s="525">
        <f t="shared" si="127"/>
        <v>0</v>
      </c>
      <c r="BH14" s="523"/>
      <c r="BI14" s="524">
        <f t="shared" si="18"/>
        <v>0</v>
      </c>
      <c r="BJ14" s="525">
        <f t="shared" si="128"/>
        <v>0</v>
      </c>
      <c r="BK14" s="523"/>
      <c r="BL14" s="524">
        <f t="shared" si="19"/>
        <v>0</v>
      </c>
      <c r="BM14" s="525">
        <f t="shared" si="129"/>
        <v>0</v>
      </c>
      <c r="BN14" s="523"/>
      <c r="BO14" s="524">
        <f t="shared" si="20"/>
        <v>0</v>
      </c>
      <c r="BP14" s="525">
        <f t="shared" si="130"/>
        <v>0</v>
      </c>
      <c r="BQ14" s="523"/>
      <c r="BR14" s="524">
        <f t="shared" si="21"/>
        <v>0</v>
      </c>
      <c r="BS14" s="525">
        <f t="shared" si="131"/>
        <v>0</v>
      </c>
      <c r="BT14" s="523"/>
      <c r="BU14" s="524">
        <f t="shared" si="22"/>
        <v>0</v>
      </c>
      <c r="BV14" s="525">
        <f t="shared" si="132"/>
        <v>0</v>
      </c>
      <c r="BW14" s="523"/>
      <c r="BX14" s="524">
        <f t="shared" si="23"/>
        <v>0</v>
      </c>
      <c r="BY14" s="525">
        <f t="shared" si="133"/>
        <v>0</v>
      </c>
      <c r="BZ14" s="523"/>
      <c r="CA14" s="524">
        <f t="shared" si="24"/>
        <v>0</v>
      </c>
      <c r="CB14" s="525">
        <f t="shared" si="134"/>
        <v>0</v>
      </c>
      <c r="CC14" s="523"/>
      <c r="CD14" s="524">
        <f t="shared" si="25"/>
        <v>0</v>
      </c>
      <c r="CE14" s="525">
        <f t="shared" si="135"/>
        <v>0</v>
      </c>
      <c r="CF14" s="523">
        <v>1.8000000000000007</v>
      </c>
      <c r="CG14" s="524">
        <f t="shared" si="26"/>
        <v>3.2074698408738583E-2</v>
      </c>
      <c r="CH14" s="525">
        <f t="shared" si="136"/>
        <v>0</v>
      </c>
      <c r="CI14" s="523"/>
      <c r="CJ14" s="524">
        <f t="shared" si="27"/>
        <v>0</v>
      </c>
      <c r="CK14" s="525">
        <f t="shared" si="137"/>
        <v>0</v>
      </c>
      <c r="CL14" s="523"/>
      <c r="CM14" s="524">
        <f t="shared" si="28"/>
        <v>0</v>
      </c>
      <c r="CN14" s="525">
        <f t="shared" si="138"/>
        <v>0</v>
      </c>
      <c r="CO14" s="523"/>
      <c r="CP14" s="524">
        <f t="shared" si="29"/>
        <v>0</v>
      </c>
      <c r="CQ14" s="525">
        <f t="shared" si="139"/>
        <v>0</v>
      </c>
      <c r="CR14" s="523"/>
      <c r="CS14" s="524">
        <f t="shared" si="30"/>
        <v>0</v>
      </c>
      <c r="CT14" s="525">
        <f t="shared" si="140"/>
        <v>0</v>
      </c>
      <c r="CU14" s="523"/>
      <c r="CV14" s="524">
        <f t="shared" si="31"/>
        <v>0</v>
      </c>
      <c r="CW14" s="525">
        <f t="shared" si="141"/>
        <v>0</v>
      </c>
      <c r="CX14" s="523"/>
      <c r="CY14" s="524">
        <f t="shared" si="32"/>
        <v>0</v>
      </c>
      <c r="CZ14" s="525">
        <f t="shared" si="142"/>
        <v>0</v>
      </c>
      <c r="DA14" s="523"/>
      <c r="DB14" s="524">
        <f t="shared" si="33"/>
        <v>0</v>
      </c>
      <c r="DC14" s="525">
        <f t="shared" si="143"/>
        <v>0</v>
      </c>
      <c r="DD14" s="523"/>
      <c r="DE14" s="524">
        <f t="shared" si="34"/>
        <v>0</v>
      </c>
      <c r="DF14" s="525">
        <f t="shared" si="144"/>
        <v>0</v>
      </c>
      <c r="DG14" s="523"/>
      <c r="DH14" s="524">
        <f t="shared" si="35"/>
        <v>0</v>
      </c>
      <c r="DI14" s="525">
        <f t="shared" ref="DI14:DI39" si="203">+DG14*$H$8</f>
        <v>0</v>
      </c>
      <c r="DJ14" s="523"/>
      <c r="DK14" s="524">
        <f t="shared" si="36"/>
        <v>0</v>
      </c>
      <c r="DL14" s="525">
        <f t="shared" si="145"/>
        <v>0</v>
      </c>
      <c r="DM14" s="523"/>
      <c r="DN14" s="524">
        <f t="shared" si="37"/>
        <v>0</v>
      </c>
      <c r="DO14" s="525">
        <f t="shared" si="146"/>
        <v>0</v>
      </c>
      <c r="DP14" s="523"/>
      <c r="DQ14" s="524">
        <f t="shared" si="38"/>
        <v>0</v>
      </c>
      <c r="DR14" s="525">
        <f t="shared" si="147"/>
        <v>0</v>
      </c>
      <c r="DS14" s="523"/>
      <c r="DT14" s="524">
        <f t="shared" si="39"/>
        <v>0</v>
      </c>
      <c r="DU14" s="525">
        <f t="shared" si="148"/>
        <v>0</v>
      </c>
      <c r="DV14" s="523"/>
      <c r="DW14" s="524">
        <f t="shared" si="40"/>
        <v>0</v>
      </c>
      <c r="DX14" s="525">
        <f t="shared" si="149"/>
        <v>0</v>
      </c>
      <c r="DY14" s="523"/>
      <c r="DZ14" s="524">
        <f t="shared" si="41"/>
        <v>0</v>
      </c>
      <c r="EA14" s="525">
        <f t="shared" si="150"/>
        <v>0</v>
      </c>
      <c r="EB14" s="523">
        <v>837.20930232558158</v>
      </c>
      <c r="EC14" s="524">
        <f t="shared" si="42"/>
        <v>14.918464376157479</v>
      </c>
      <c r="ED14" s="525">
        <f t="shared" si="151"/>
        <v>0</v>
      </c>
      <c r="EE14" s="523">
        <v>234.82352941176475</v>
      </c>
      <c r="EF14" s="524">
        <f t="shared" si="43"/>
        <v>4.1843854917543926</v>
      </c>
      <c r="EG14" s="525">
        <f t="shared" si="152"/>
        <v>0</v>
      </c>
      <c r="EH14" s="523"/>
      <c r="EI14" s="524">
        <f t="shared" si="44"/>
        <v>0</v>
      </c>
      <c r="EJ14" s="525">
        <f t="shared" si="153"/>
        <v>0</v>
      </c>
      <c r="EK14" s="523">
        <v>36.585365853658686</v>
      </c>
      <c r="EL14" s="524">
        <f t="shared" si="45"/>
        <v>0.65192476440525826</v>
      </c>
      <c r="EM14" s="525">
        <f t="shared" si="154"/>
        <v>0</v>
      </c>
      <c r="EN14" s="523">
        <v>49.418604651162696</v>
      </c>
      <c r="EO14" s="524">
        <f t="shared" si="46"/>
        <v>0.88060379998151594</v>
      </c>
      <c r="EP14" s="525">
        <f t="shared" si="155"/>
        <v>0</v>
      </c>
      <c r="EQ14" s="523"/>
      <c r="ER14" s="524">
        <f t="shared" si="47"/>
        <v>0</v>
      </c>
      <c r="ES14" s="525">
        <f t="shared" si="156"/>
        <v>0</v>
      </c>
      <c r="ET14" s="523"/>
      <c r="EU14" s="524">
        <f t="shared" si="48"/>
        <v>0</v>
      </c>
      <c r="EV14" s="525">
        <f t="shared" si="157"/>
        <v>0</v>
      </c>
      <c r="EW14" s="523"/>
      <c r="EX14" s="524">
        <f t="shared" si="49"/>
        <v>0</v>
      </c>
      <c r="EY14" s="525">
        <f t="shared" si="158"/>
        <v>0</v>
      </c>
      <c r="EZ14" s="523"/>
      <c r="FA14" s="524">
        <f t="shared" si="50"/>
        <v>0</v>
      </c>
      <c r="FB14" s="525">
        <f t="shared" si="159"/>
        <v>0</v>
      </c>
      <c r="FC14" s="523"/>
      <c r="FD14" s="524">
        <f t="shared" si="51"/>
        <v>0</v>
      </c>
      <c r="FE14" s="525">
        <f t="shared" si="160"/>
        <v>0</v>
      </c>
      <c r="FF14" s="523"/>
      <c r="FG14" s="524">
        <f t="shared" si="52"/>
        <v>0</v>
      </c>
      <c r="FH14" s="525">
        <f t="shared" si="161"/>
        <v>0</v>
      </c>
      <c r="FI14" s="523"/>
      <c r="FJ14" s="524">
        <f t="shared" si="53"/>
        <v>0</v>
      </c>
      <c r="FK14" s="525">
        <f t="shared" si="162"/>
        <v>0</v>
      </c>
      <c r="FL14" s="523"/>
      <c r="FM14" s="524">
        <f t="shared" si="54"/>
        <v>0</v>
      </c>
      <c r="FN14" s="525">
        <f t="shared" si="163"/>
        <v>0</v>
      </c>
      <c r="FO14" s="523"/>
      <c r="FP14" s="524">
        <f t="shared" si="55"/>
        <v>0</v>
      </c>
      <c r="FQ14" s="525">
        <f t="shared" si="164"/>
        <v>0</v>
      </c>
      <c r="FR14" s="523"/>
      <c r="FS14" s="524">
        <f t="shared" si="56"/>
        <v>0</v>
      </c>
      <c r="FT14" s="525">
        <f t="shared" si="165"/>
        <v>0</v>
      </c>
      <c r="FU14" s="523"/>
      <c r="FV14" s="524">
        <f t="shared" si="57"/>
        <v>0</v>
      </c>
      <c r="FW14" s="525">
        <f t="shared" si="166"/>
        <v>0</v>
      </c>
      <c r="FX14" s="523"/>
      <c r="FY14" s="524">
        <f t="shared" si="58"/>
        <v>0</v>
      </c>
      <c r="FZ14" s="525">
        <f t="shared" si="167"/>
        <v>0</v>
      </c>
      <c r="GA14" s="523"/>
      <c r="GB14" s="524">
        <f t="shared" si="168"/>
        <v>0</v>
      </c>
      <c r="GC14" s="525">
        <f t="shared" si="169"/>
        <v>0</v>
      </c>
      <c r="GD14" s="523"/>
      <c r="GE14" s="524">
        <f t="shared" si="59"/>
        <v>0</v>
      </c>
      <c r="GF14" s="525">
        <f t="shared" si="170"/>
        <v>0</v>
      </c>
      <c r="GG14" s="523">
        <v>20.339771313466439</v>
      </c>
      <c r="GH14" s="524">
        <f t="shared" si="171"/>
        <v>0.36244001699008249</v>
      </c>
      <c r="GI14" s="525">
        <f t="shared" si="172"/>
        <v>0</v>
      </c>
      <c r="GJ14" s="523">
        <v>20.339771313466439</v>
      </c>
      <c r="GK14" s="524">
        <f t="shared" si="60"/>
        <v>0.36244001699008249</v>
      </c>
      <c r="GL14" s="525">
        <f t="shared" si="173"/>
        <v>0</v>
      </c>
      <c r="GM14" s="523"/>
      <c r="GN14" s="524">
        <f t="shared" si="61"/>
        <v>0</v>
      </c>
      <c r="GO14" s="525">
        <f t="shared" si="174"/>
        <v>0</v>
      </c>
      <c r="GP14" s="523">
        <v>34.868179394513895</v>
      </c>
      <c r="GQ14" s="524">
        <f t="shared" si="62"/>
        <v>0.62132574341156999</v>
      </c>
      <c r="GR14" s="525">
        <f t="shared" si="175"/>
        <v>0</v>
      </c>
      <c r="GS14" s="523">
        <v>197.58634990224539</v>
      </c>
      <c r="GT14" s="524">
        <f t="shared" si="63"/>
        <v>3.5208458793322297</v>
      </c>
      <c r="GU14" s="525">
        <f t="shared" si="176"/>
        <v>0</v>
      </c>
      <c r="GV14" s="523">
        <v>34.868179394513895</v>
      </c>
      <c r="GW14" s="524">
        <f t="shared" si="64"/>
        <v>0.62132574341156999</v>
      </c>
      <c r="GX14" s="525">
        <f t="shared" si="177"/>
        <v>0</v>
      </c>
      <c r="GY14" s="523"/>
      <c r="GZ14" s="524">
        <f t="shared" si="65"/>
        <v>0</v>
      </c>
      <c r="HA14" s="525">
        <f t="shared" si="178"/>
        <v>0</v>
      </c>
      <c r="HB14" s="523"/>
      <c r="HC14" s="524">
        <f t="shared" si="66"/>
        <v>0</v>
      </c>
      <c r="HD14" s="525">
        <f t="shared" si="179"/>
        <v>0</v>
      </c>
      <c r="HE14" s="523"/>
      <c r="HF14" s="524">
        <f t="shared" si="67"/>
        <v>0</v>
      </c>
      <c r="HG14" s="525">
        <f t="shared" si="180"/>
        <v>0</v>
      </c>
      <c r="HH14" s="523"/>
      <c r="HI14" s="524">
        <f t="shared" si="68"/>
        <v>0</v>
      </c>
      <c r="HJ14" s="525">
        <f t="shared" si="181"/>
        <v>0</v>
      </c>
      <c r="HK14" s="523"/>
      <c r="HL14" s="524">
        <f t="shared" si="69"/>
        <v>0</v>
      </c>
      <c r="HM14" s="525">
        <f t="shared" si="182"/>
        <v>0</v>
      </c>
      <c r="HN14" s="523">
        <v>985.60720421825943</v>
      </c>
      <c r="HO14" s="524">
        <f t="shared" si="70"/>
        <v>17.562807680433711</v>
      </c>
      <c r="HP14" s="525">
        <f t="shared" si="183"/>
        <v>0</v>
      </c>
      <c r="HQ14" s="523"/>
      <c r="HR14" s="524">
        <f t="shared" si="71"/>
        <v>0</v>
      </c>
      <c r="HS14" s="525">
        <f t="shared" si="184"/>
        <v>0</v>
      </c>
      <c r="HT14" s="523"/>
      <c r="HU14" s="524">
        <f t="shared" si="72"/>
        <v>0</v>
      </c>
      <c r="HV14" s="525">
        <f t="shared" si="185"/>
        <v>0</v>
      </c>
      <c r="HW14" s="523"/>
      <c r="HX14" s="524">
        <f t="shared" si="73"/>
        <v>0</v>
      </c>
      <c r="HY14" s="525">
        <f t="shared" si="186"/>
        <v>0</v>
      </c>
      <c r="HZ14" s="523"/>
      <c r="IA14" s="524">
        <f t="shared" si="74"/>
        <v>0</v>
      </c>
      <c r="IB14" s="525">
        <f t="shared" si="200"/>
        <v>0</v>
      </c>
      <c r="IC14" s="523"/>
      <c r="ID14" s="524">
        <f t="shared" si="75"/>
        <v>0</v>
      </c>
      <c r="IE14" s="525">
        <f t="shared" si="187"/>
        <v>0</v>
      </c>
      <c r="IF14" s="523"/>
      <c r="IG14" s="524">
        <f t="shared" si="76"/>
        <v>0</v>
      </c>
      <c r="IH14" s="525">
        <f t="shared" si="188"/>
        <v>0</v>
      </c>
      <c r="II14" s="523">
        <v>26.151134545885419</v>
      </c>
      <c r="IJ14" s="524">
        <f t="shared" si="77"/>
        <v>0.46599430755867743</v>
      </c>
      <c r="IK14" s="525">
        <f t="shared" si="189"/>
        <v>0</v>
      </c>
      <c r="IL14" s="523"/>
      <c r="IM14" s="524">
        <f t="shared" si="78"/>
        <v>0</v>
      </c>
      <c r="IN14" s="525">
        <f t="shared" si="190"/>
        <v>0</v>
      </c>
      <c r="IO14" s="523"/>
      <c r="IP14" s="524">
        <f t="shared" si="79"/>
        <v>0</v>
      </c>
      <c r="IQ14" s="525">
        <f t="shared" si="191"/>
        <v>0</v>
      </c>
      <c r="IR14" s="523">
        <v>52.302269091770839</v>
      </c>
      <c r="IS14" s="524">
        <f t="shared" si="80"/>
        <v>0.93198861511735487</v>
      </c>
      <c r="IT14" s="525">
        <f t="shared" si="192"/>
        <v>0</v>
      </c>
      <c r="IU14" s="523"/>
      <c r="IV14" s="524">
        <f t="shared" si="81"/>
        <v>0</v>
      </c>
      <c r="IW14" s="525">
        <f t="shared" si="193"/>
        <v>0</v>
      </c>
      <c r="IX14" s="523"/>
      <c r="IY14" s="524">
        <f t="shared" si="82"/>
        <v>0</v>
      </c>
      <c r="IZ14" s="525">
        <f t="shared" si="194"/>
        <v>0</v>
      </c>
      <c r="JA14" s="523"/>
      <c r="JB14" s="524">
        <f t="shared" si="83"/>
        <v>0</v>
      </c>
      <c r="JC14" s="525">
        <f t="shared" si="195"/>
        <v>0</v>
      </c>
      <c r="JD14" s="523"/>
      <c r="JE14" s="524">
        <f t="shared" si="84"/>
        <v>0</v>
      </c>
      <c r="JF14" s="525">
        <f t="shared" si="196"/>
        <v>0</v>
      </c>
      <c r="JG14" s="523"/>
      <c r="JH14" s="524">
        <f t="shared" si="85"/>
        <v>0</v>
      </c>
      <c r="JI14" s="525">
        <f t="shared" si="197"/>
        <v>0</v>
      </c>
      <c r="JJ14" s="523">
        <v>29.056816162094911</v>
      </c>
      <c r="JK14" s="524">
        <f t="shared" si="86"/>
        <v>0.51777145284297499</v>
      </c>
      <c r="JL14" s="525" t="str">
        <f t="shared" si="87"/>
        <v>0</v>
      </c>
      <c r="JM14" s="523"/>
      <c r="JN14" s="524">
        <f t="shared" si="88"/>
        <v>0</v>
      </c>
      <c r="JO14" s="525" t="str">
        <f t="shared" si="89"/>
        <v>0</v>
      </c>
      <c r="JP14" s="523"/>
      <c r="JQ14" s="525" t="str">
        <f t="shared" si="90"/>
        <v>0</v>
      </c>
      <c r="JR14" s="525" t="str">
        <f t="shared" si="91"/>
        <v>0</v>
      </c>
      <c r="JS14" s="523"/>
      <c r="JT14" s="525" t="str">
        <f t="shared" si="92"/>
        <v>0</v>
      </c>
      <c r="JU14" s="525" t="str">
        <f t="shared" si="93"/>
        <v>0</v>
      </c>
      <c r="JV14" s="523"/>
      <c r="JW14" s="525" t="str">
        <f t="shared" si="94"/>
        <v>0</v>
      </c>
      <c r="JX14" s="525" t="str">
        <f t="shared" si="95"/>
        <v>0</v>
      </c>
      <c r="JY14" s="523"/>
      <c r="JZ14" s="525" t="str">
        <f t="shared" si="96"/>
        <v>0</v>
      </c>
      <c r="KA14" s="525" t="str">
        <f t="shared" si="97"/>
        <v>0</v>
      </c>
      <c r="KB14" s="523"/>
      <c r="KC14" s="525" t="str">
        <f t="shared" si="98"/>
        <v>0</v>
      </c>
      <c r="KD14" s="525" t="str">
        <f t="shared" si="99"/>
        <v>0</v>
      </c>
      <c r="KE14" s="523"/>
      <c r="KF14" s="525" t="str">
        <f t="shared" si="100"/>
        <v>0</v>
      </c>
      <c r="KG14" s="525" t="str">
        <f t="shared" si="101"/>
        <v>0</v>
      </c>
      <c r="KH14" s="523"/>
      <c r="KI14" s="525" t="str">
        <f t="shared" si="102"/>
        <v>0</v>
      </c>
      <c r="KJ14" s="525" t="str">
        <f t="shared" si="103"/>
        <v>0</v>
      </c>
      <c r="KK14" s="523"/>
      <c r="KL14" s="525" t="str">
        <f t="shared" si="104"/>
        <v>0</v>
      </c>
      <c r="KM14" s="525" t="str">
        <f t="shared" si="105"/>
        <v>0</v>
      </c>
      <c r="KN14" s="523"/>
      <c r="KO14" s="525" t="str">
        <f t="shared" si="106"/>
        <v>0</v>
      </c>
      <c r="KP14" s="525" t="str">
        <f t="shared" si="107"/>
        <v>0</v>
      </c>
      <c r="KQ14" s="523"/>
      <c r="KR14" s="525" t="str">
        <f t="shared" si="108"/>
        <v>0</v>
      </c>
      <c r="KS14" s="525" t="str">
        <f t="shared" si="109"/>
        <v>0</v>
      </c>
      <c r="KT14" s="525">
        <f t="shared" si="201"/>
        <v>0</v>
      </c>
      <c r="KU14" s="525">
        <f t="shared" si="202"/>
        <v>0</v>
      </c>
      <c r="KV14" s="264">
        <f t="shared" si="198"/>
        <v>2569.0814775783847</v>
      </c>
    </row>
    <row r="15" spans="1:309" ht="15" customHeight="1">
      <c r="A15" s="266">
        <f t="shared" si="199"/>
        <v>45968</v>
      </c>
      <c r="B15" s="267" t="str">
        <f>+Report1!B15</f>
        <v>Towel</v>
      </c>
      <c r="C15" s="267" t="str">
        <f>+Report1!C15</f>
        <v>20/19</v>
      </c>
      <c r="D15" s="268">
        <f>+Report1!P15</f>
        <v>58.433000000000007</v>
      </c>
      <c r="E15" s="269">
        <f>+Report1!R15</f>
        <v>56.67</v>
      </c>
      <c r="F15" s="523"/>
      <c r="G15" s="524">
        <f t="shared" si="0"/>
        <v>0</v>
      </c>
      <c r="H15" s="525">
        <f t="shared" si="110"/>
        <v>0</v>
      </c>
      <c r="I15" s="523"/>
      <c r="J15" s="524">
        <f t="shared" si="1"/>
        <v>0</v>
      </c>
      <c r="K15" s="525">
        <f t="shared" si="111"/>
        <v>0</v>
      </c>
      <c r="L15" s="523"/>
      <c r="M15" s="524">
        <f t="shared" si="2"/>
        <v>0</v>
      </c>
      <c r="N15" s="525">
        <f t="shared" si="112"/>
        <v>0</v>
      </c>
      <c r="O15" s="523">
        <v>3</v>
      </c>
      <c r="P15" s="524">
        <f t="shared" si="3"/>
        <v>5.293806246691371E-2</v>
      </c>
      <c r="Q15" s="525">
        <f t="shared" si="113"/>
        <v>0</v>
      </c>
      <c r="R15" s="523"/>
      <c r="S15" s="524">
        <f t="shared" si="4"/>
        <v>0</v>
      </c>
      <c r="T15" s="525">
        <f t="shared" si="114"/>
        <v>0</v>
      </c>
      <c r="U15" s="523">
        <v>5.125</v>
      </c>
      <c r="V15" s="524">
        <f t="shared" si="5"/>
        <v>9.0435856714310925E-2</v>
      </c>
      <c r="W15" s="525">
        <f t="shared" si="115"/>
        <v>0</v>
      </c>
      <c r="X15" s="523"/>
      <c r="Y15" s="524">
        <f t="shared" si="6"/>
        <v>0</v>
      </c>
      <c r="Z15" s="525">
        <f t="shared" si="116"/>
        <v>0</v>
      </c>
      <c r="AA15" s="523"/>
      <c r="AB15" s="524">
        <f t="shared" si="7"/>
        <v>0</v>
      </c>
      <c r="AC15" s="525">
        <f t="shared" si="117"/>
        <v>0</v>
      </c>
      <c r="AD15" s="523"/>
      <c r="AE15" s="524">
        <f t="shared" si="8"/>
        <v>0</v>
      </c>
      <c r="AF15" s="525">
        <f t="shared" si="118"/>
        <v>0</v>
      </c>
      <c r="AG15" s="523"/>
      <c r="AH15" s="524">
        <f t="shared" si="9"/>
        <v>0</v>
      </c>
      <c r="AI15" s="525">
        <f t="shared" si="119"/>
        <v>0</v>
      </c>
      <c r="AJ15" s="523"/>
      <c r="AK15" s="524">
        <f t="shared" si="10"/>
        <v>0</v>
      </c>
      <c r="AL15" s="525">
        <f t="shared" si="120"/>
        <v>0</v>
      </c>
      <c r="AM15" s="523"/>
      <c r="AN15" s="524">
        <f t="shared" si="11"/>
        <v>0</v>
      </c>
      <c r="AO15" s="525">
        <f t="shared" si="121"/>
        <v>0</v>
      </c>
      <c r="AP15" s="523"/>
      <c r="AQ15" s="524">
        <f t="shared" si="12"/>
        <v>0</v>
      </c>
      <c r="AR15" s="525">
        <f t="shared" si="122"/>
        <v>0</v>
      </c>
      <c r="AS15" s="523"/>
      <c r="AT15" s="524">
        <f t="shared" si="13"/>
        <v>0</v>
      </c>
      <c r="AU15" s="525">
        <f t="shared" si="123"/>
        <v>0</v>
      </c>
      <c r="AV15" s="523"/>
      <c r="AW15" s="524">
        <f t="shared" si="14"/>
        <v>0</v>
      </c>
      <c r="AX15" s="525">
        <f t="shared" si="124"/>
        <v>0</v>
      </c>
      <c r="AY15" s="523"/>
      <c r="AZ15" s="524">
        <f t="shared" si="15"/>
        <v>0</v>
      </c>
      <c r="BA15" s="525">
        <f t="shared" si="125"/>
        <v>0</v>
      </c>
      <c r="BB15" s="523"/>
      <c r="BC15" s="524">
        <f t="shared" si="16"/>
        <v>0</v>
      </c>
      <c r="BD15" s="525">
        <f t="shared" si="126"/>
        <v>0</v>
      </c>
      <c r="BE15" s="523"/>
      <c r="BF15" s="524">
        <f t="shared" si="17"/>
        <v>0</v>
      </c>
      <c r="BG15" s="525">
        <f t="shared" si="127"/>
        <v>0</v>
      </c>
      <c r="BH15" s="523"/>
      <c r="BI15" s="524">
        <f t="shared" si="18"/>
        <v>0</v>
      </c>
      <c r="BJ15" s="525">
        <f t="shared" si="128"/>
        <v>0</v>
      </c>
      <c r="BK15" s="523"/>
      <c r="BL15" s="524">
        <f t="shared" si="19"/>
        <v>0</v>
      </c>
      <c r="BM15" s="525">
        <f t="shared" si="129"/>
        <v>0</v>
      </c>
      <c r="BN15" s="523"/>
      <c r="BO15" s="524">
        <f t="shared" si="20"/>
        <v>0</v>
      </c>
      <c r="BP15" s="525">
        <f t="shared" si="130"/>
        <v>0</v>
      </c>
      <c r="BQ15" s="523"/>
      <c r="BR15" s="524">
        <f t="shared" si="21"/>
        <v>0</v>
      </c>
      <c r="BS15" s="525">
        <f t="shared" si="131"/>
        <v>0</v>
      </c>
      <c r="BT15" s="523"/>
      <c r="BU15" s="524">
        <f t="shared" si="22"/>
        <v>0</v>
      </c>
      <c r="BV15" s="525">
        <f t="shared" si="132"/>
        <v>0</v>
      </c>
      <c r="BW15" s="523"/>
      <c r="BX15" s="524">
        <f t="shared" si="23"/>
        <v>0</v>
      </c>
      <c r="BY15" s="525">
        <f t="shared" si="133"/>
        <v>0</v>
      </c>
      <c r="BZ15" s="523"/>
      <c r="CA15" s="524">
        <f t="shared" si="24"/>
        <v>0</v>
      </c>
      <c r="CB15" s="525">
        <f t="shared" si="134"/>
        <v>0</v>
      </c>
      <c r="CC15" s="523"/>
      <c r="CD15" s="524">
        <f t="shared" si="25"/>
        <v>0</v>
      </c>
      <c r="CE15" s="525">
        <f t="shared" si="135"/>
        <v>0</v>
      </c>
      <c r="CF15" s="523">
        <v>3</v>
      </c>
      <c r="CG15" s="524">
        <f t="shared" si="26"/>
        <v>5.293806246691371E-2</v>
      </c>
      <c r="CH15" s="525">
        <f t="shared" si="136"/>
        <v>0</v>
      </c>
      <c r="CI15" s="523"/>
      <c r="CJ15" s="524">
        <f t="shared" si="27"/>
        <v>0</v>
      </c>
      <c r="CK15" s="525">
        <f t="shared" si="137"/>
        <v>0</v>
      </c>
      <c r="CL15" s="523"/>
      <c r="CM15" s="524">
        <f t="shared" si="28"/>
        <v>0</v>
      </c>
      <c r="CN15" s="525">
        <f t="shared" si="138"/>
        <v>0</v>
      </c>
      <c r="CO15" s="523"/>
      <c r="CP15" s="524">
        <f t="shared" si="29"/>
        <v>0</v>
      </c>
      <c r="CQ15" s="525">
        <f t="shared" si="139"/>
        <v>0</v>
      </c>
      <c r="CR15" s="523"/>
      <c r="CS15" s="524">
        <f t="shared" si="30"/>
        <v>0</v>
      </c>
      <c r="CT15" s="525">
        <f t="shared" si="140"/>
        <v>0</v>
      </c>
      <c r="CU15" s="523"/>
      <c r="CV15" s="524">
        <f t="shared" si="31"/>
        <v>0</v>
      </c>
      <c r="CW15" s="525">
        <f t="shared" si="141"/>
        <v>0</v>
      </c>
      <c r="CX15" s="523"/>
      <c r="CY15" s="524">
        <f t="shared" si="32"/>
        <v>0</v>
      </c>
      <c r="CZ15" s="525">
        <f t="shared" si="142"/>
        <v>0</v>
      </c>
      <c r="DA15" s="523"/>
      <c r="DB15" s="524">
        <f t="shared" si="33"/>
        <v>0</v>
      </c>
      <c r="DC15" s="525">
        <f t="shared" si="143"/>
        <v>0</v>
      </c>
      <c r="DD15" s="523"/>
      <c r="DE15" s="524">
        <f t="shared" si="34"/>
        <v>0</v>
      </c>
      <c r="DF15" s="525">
        <f t="shared" si="144"/>
        <v>0</v>
      </c>
      <c r="DG15" s="523"/>
      <c r="DH15" s="524">
        <f t="shared" si="35"/>
        <v>0</v>
      </c>
      <c r="DI15" s="525">
        <f t="shared" si="203"/>
        <v>0</v>
      </c>
      <c r="DJ15" s="523"/>
      <c r="DK15" s="524">
        <f t="shared" si="36"/>
        <v>0</v>
      </c>
      <c r="DL15" s="525">
        <f t="shared" si="145"/>
        <v>0</v>
      </c>
      <c r="DM15" s="523"/>
      <c r="DN15" s="524">
        <f t="shared" si="37"/>
        <v>0</v>
      </c>
      <c r="DO15" s="525">
        <f t="shared" si="146"/>
        <v>0</v>
      </c>
      <c r="DP15" s="523"/>
      <c r="DQ15" s="524">
        <f t="shared" si="38"/>
        <v>0</v>
      </c>
      <c r="DR15" s="525">
        <f t="shared" si="147"/>
        <v>0</v>
      </c>
      <c r="DS15" s="523"/>
      <c r="DT15" s="524">
        <f t="shared" si="39"/>
        <v>0</v>
      </c>
      <c r="DU15" s="525">
        <f t="shared" si="148"/>
        <v>0</v>
      </c>
      <c r="DV15" s="523"/>
      <c r="DW15" s="524">
        <f t="shared" si="40"/>
        <v>0</v>
      </c>
      <c r="DX15" s="525">
        <f t="shared" si="149"/>
        <v>0</v>
      </c>
      <c r="DY15" s="523"/>
      <c r="DZ15" s="524">
        <f t="shared" si="41"/>
        <v>0</v>
      </c>
      <c r="EA15" s="525">
        <f t="shared" si="150"/>
        <v>0</v>
      </c>
      <c r="EB15" s="523">
        <v>802.32558139534888</v>
      </c>
      <c r="EC15" s="524">
        <f t="shared" si="42"/>
        <v>14.157853915569946</v>
      </c>
      <c r="ED15" s="525">
        <f t="shared" si="151"/>
        <v>0</v>
      </c>
      <c r="EE15" s="523">
        <v>176.11764705882365</v>
      </c>
      <c r="EF15" s="524">
        <f t="shared" si="43"/>
        <v>3.1077756671752894</v>
      </c>
      <c r="EG15" s="525">
        <f t="shared" si="152"/>
        <v>0</v>
      </c>
      <c r="EH15" s="523"/>
      <c r="EI15" s="524">
        <f t="shared" si="44"/>
        <v>0</v>
      </c>
      <c r="EJ15" s="525">
        <f t="shared" si="153"/>
        <v>0</v>
      </c>
      <c r="EK15" s="523">
        <v>60.975609756097356</v>
      </c>
      <c r="EL15" s="524">
        <f t="shared" si="45"/>
        <v>1.0759768794088116</v>
      </c>
      <c r="EM15" s="525">
        <f t="shared" si="154"/>
        <v>0</v>
      </c>
      <c r="EN15" s="523">
        <v>59.302325581395507</v>
      </c>
      <c r="EO15" s="524">
        <f t="shared" si="46"/>
        <v>1.04645007202039</v>
      </c>
      <c r="EP15" s="525">
        <f t="shared" si="155"/>
        <v>0</v>
      </c>
      <c r="EQ15" s="523"/>
      <c r="ER15" s="524">
        <f t="shared" si="47"/>
        <v>0</v>
      </c>
      <c r="ES15" s="525">
        <f t="shared" si="156"/>
        <v>0</v>
      </c>
      <c r="ET15" s="523"/>
      <c r="EU15" s="524">
        <f t="shared" si="48"/>
        <v>0</v>
      </c>
      <c r="EV15" s="525">
        <f t="shared" si="157"/>
        <v>0</v>
      </c>
      <c r="EW15" s="523"/>
      <c r="EX15" s="524">
        <f t="shared" si="49"/>
        <v>0</v>
      </c>
      <c r="EY15" s="525">
        <f t="shared" si="158"/>
        <v>0</v>
      </c>
      <c r="EZ15" s="523"/>
      <c r="FA15" s="524">
        <f t="shared" si="50"/>
        <v>0</v>
      </c>
      <c r="FB15" s="525">
        <f t="shared" si="159"/>
        <v>0</v>
      </c>
      <c r="FC15" s="523"/>
      <c r="FD15" s="524">
        <f t="shared" si="51"/>
        <v>0</v>
      </c>
      <c r="FE15" s="525">
        <f t="shared" si="160"/>
        <v>0</v>
      </c>
      <c r="FF15" s="523"/>
      <c r="FG15" s="524">
        <f t="shared" si="52"/>
        <v>0</v>
      </c>
      <c r="FH15" s="525">
        <f t="shared" si="161"/>
        <v>0</v>
      </c>
      <c r="FI15" s="523"/>
      <c r="FJ15" s="524">
        <f t="shared" si="53"/>
        <v>0</v>
      </c>
      <c r="FK15" s="525">
        <f t="shared" si="162"/>
        <v>0</v>
      </c>
      <c r="FL15" s="523"/>
      <c r="FM15" s="524">
        <f t="shared" si="54"/>
        <v>0</v>
      </c>
      <c r="FN15" s="525">
        <f t="shared" si="163"/>
        <v>0</v>
      </c>
      <c r="FO15" s="523"/>
      <c r="FP15" s="524">
        <f t="shared" si="55"/>
        <v>0</v>
      </c>
      <c r="FQ15" s="525">
        <f t="shared" si="164"/>
        <v>0</v>
      </c>
      <c r="FR15" s="523"/>
      <c r="FS15" s="524">
        <f t="shared" si="56"/>
        <v>0</v>
      </c>
      <c r="FT15" s="525">
        <f t="shared" si="165"/>
        <v>0</v>
      </c>
      <c r="FU15" s="523"/>
      <c r="FV15" s="524">
        <f t="shared" si="57"/>
        <v>0</v>
      </c>
      <c r="FW15" s="525">
        <f t="shared" si="166"/>
        <v>0</v>
      </c>
      <c r="FX15" s="523"/>
      <c r="FY15" s="524">
        <f t="shared" si="58"/>
        <v>0</v>
      </c>
      <c r="FZ15" s="525">
        <f t="shared" si="167"/>
        <v>0</v>
      </c>
      <c r="GA15" s="523"/>
      <c r="GB15" s="524">
        <f t="shared" si="168"/>
        <v>0</v>
      </c>
      <c r="GC15" s="525">
        <f t="shared" si="169"/>
        <v>0</v>
      </c>
      <c r="GD15" s="523"/>
      <c r="GE15" s="524">
        <f t="shared" si="59"/>
        <v>0</v>
      </c>
      <c r="GF15" s="525">
        <f t="shared" si="170"/>
        <v>0</v>
      </c>
      <c r="GG15" s="523">
        <v>16.439161626107751</v>
      </c>
      <c r="GH15" s="524">
        <f t="shared" si="171"/>
        <v>0.29008578835552762</v>
      </c>
      <c r="GI15" s="525">
        <f t="shared" si="172"/>
        <v>0</v>
      </c>
      <c r="GJ15" s="523">
        <v>16.439161626107751</v>
      </c>
      <c r="GK15" s="524">
        <f t="shared" si="60"/>
        <v>0.29008578835552762</v>
      </c>
      <c r="GL15" s="525">
        <f t="shared" si="173"/>
        <v>0</v>
      </c>
      <c r="GM15" s="523"/>
      <c r="GN15" s="524">
        <f t="shared" si="61"/>
        <v>0</v>
      </c>
      <c r="GO15" s="525">
        <f t="shared" si="174"/>
        <v>0</v>
      </c>
      <c r="GP15" s="523">
        <v>35.618183523233462</v>
      </c>
      <c r="GQ15" s="524">
        <f t="shared" si="62"/>
        <v>0.62851920810364326</v>
      </c>
      <c r="GR15" s="525">
        <f t="shared" si="175"/>
        <v>0</v>
      </c>
      <c r="GS15" s="523">
        <v>202.74966005532895</v>
      </c>
      <c r="GT15" s="524">
        <f t="shared" si="63"/>
        <v>3.5777247230515075</v>
      </c>
      <c r="GU15" s="525">
        <f t="shared" si="176"/>
        <v>0</v>
      </c>
      <c r="GV15" s="523">
        <v>38.358043794251422</v>
      </c>
      <c r="GW15" s="524">
        <f t="shared" si="64"/>
        <v>0.67686683949623117</v>
      </c>
      <c r="GX15" s="525">
        <f t="shared" si="177"/>
        <v>0</v>
      </c>
      <c r="GY15" s="523"/>
      <c r="GZ15" s="524">
        <f t="shared" si="65"/>
        <v>0</v>
      </c>
      <c r="HA15" s="525">
        <f t="shared" si="178"/>
        <v>0</v>
      </c>
      <c r="HB15" s="523"/>
      <c r="HC15" s="524">
        <f t="shared" si="66"/>
        <v>0</v>
      </c>
      <c r="HD15" s="525">
        <f t="shared" si="179"/>
        <v>0</v>
      </c>
      <c r="HE15" s="523"/>
      <c r="HF15" s="524">
        <f t="shared" si="67"/>
        <v>0</v>
      </c>
      <c r="HG15" s="525">
        <f t="shared" si="180"/>
        <v>0</v>
      </c>
      <c r="HH15" s="523"/>
      <c r="HI15" s="524">
        <f t="shared" si="68"/>
        <v>0</v>
      </c>
      <c r="HJ15" s="525">
        <f t="shared" si="181"/>
        <v>0</v>
      </c>
      <c r="HK15" s="523"/>
      <c r="HL15" s="524">
        <f t="shared" si="69"/>
        <v>0</v>
      </c>
      <c r="HM15" s="525">
        <f t="shared" si="182"/>
        <v>0</v>
      </c>
      <c r="HN15" s="523">
        <v>808.80675200450139</v>
      </c>
      <c r="HO15" s="524">
        <f t="shared" si="70"/>
        <v>14.27222078709196</v>
      </c>
      <c r="HP15" s="525">
        <f t="shared" si="183"/>
        <v>0</v>
      </c>
      <c r="HQ15" s="523"/>
      <c r="HR15" s="524">
        <f t="shared" si="71"/>
        <v>0</v>
      </c>
      <c r="HS15" s="525">
        <f t="shared" si="184"/>
        <v>0</v>
      </c>
      <c r="HT15" s="523"/>
      <c r="HU15" s="524">
        <f t="shared" si="72"/>
        <v>0</v>
      </c>
      <c r="HV15" s="525">
        <f t="shared" si="185"/>
        <v>0</v>
      </c>
      <c r="HW15" s="523"/>
      <c r="HX15" s="524">
        <f t="shared" si="73"/>
        <v>0</v>
      </c>
      <c r="HY15" s="525">
        <f t="shared" si="186"/>
        <v>0</v>
      </c>
      <c r="HZ15" s="523"/>
      <c r="IA15" s="524">
        <f t="shared" si="74"/>
        <v>0</v>
      </c>
      <c r="IB15" s="525">
        <f t="shared" si="200"/>
        <v>0</v>
      </c>
      <c r="IC15" s="523"/>
      <c r="ID15" s="524">
        <f t="shared" si="75"/>
        <v>0</v>
      </c>
      <c r="IE15" s="525">
        <f t="shared" si="187"/>
        <v>0</v>
      </c>
      <c r="IF15" s="523"/>
      <c r="IG15" s="524">
        <f t="shared" si="76"/>
        <v>0</v>
      </c>
      <c r="IH15" s="525">
        <f t="shared" si="188"/>
        <v>0</v>
      </c>
      <c r="II15" s="523">
        <v>27.398602710179588</v>
      </c>
      <c r="IJ15" s="524">
        <f t="shared" si="77"/>
        <v>0.48347631392587942</v>
      </c>
      <c r="IK15" s="525">
        <f t="shared" si="189"/>
        <v>0</v>
      </c>
      <c r="IL15" s="523"/>
      <c r="IM15" s="524">
        <f t="shared" si="78"/>
        <v>0</v>
      </c>
      <c r="IN15" s="525">
        <f t="shared" si="190"/>
        <v>0</v>
      </c>
      <c r="IO15" s="523"/>
      <c r="IP15" s="524">
        <f t="shared" si="79"/>
        <v>0</v>
      </c>
      <c r="IQ15" s="525">
        <f t="shared" si="191"/>
        <v>0</v>
      </c>
      <c r="IR15" s="523">
        <v>49.317484878323256</v>
      </c>
      <c r="IS15" s="524">
        <f t="shared" si="80"/>
        <v>0.87025736506658291</v>
      </c>
      <c r="IT15" s="525">
        <f t="shared" si="192"/>
        <v>0</v>
      </c>
      <c r="IU15" s="523"/>
      <c r="IV15" s="524">
        <f t="shared" si="81"/>
        <v>0</v>
      </c>
      <c r="IW15" s="525">
        <f t="shared" si="193"/>
        <v>0</v>
      </c>
      <c r="IX15" s="523"/>
      <c r="IY15" s="524">
        <f t="shared" si="82"/>
        <v>0</v>
      </c>
      <c r="IZ15" s="525">
        <f t="shared" si="194"/>
        <v>0</v>
      </c>
      <c r="JA15" s="523"/>
      <c r="JB15" s="524">
        <f t="shared" si="83"/>
        <v>0</v>
      </c>
      <c r="JC15" s="525">
        <f t="shared" si="195"/>
        <v>0</v>
      </c>
      <c r="JD15" s="523"/>
      <c r="JE15" s="524">
        <f t="shared" si="84"/>
        <v>0</v>
      </c>
      <c r="JF15" s="525">
        <f t="shared" si="196"/>
        <v>0</v>
      </c>
      <c r="JG15" s="523"/>
      <c r="JH15" s="524">
        <f t="shared" si="85"/>
        <v>0</v>
      </c>
      <c r="JI15" s="525">
        <f t="shared" si="197"/>
        <v>0</v>
      </c>
      <c r="JJ15" s="523">
        <v>27.398602710179588</v>
      </c>
      <c r="JK15" s="524">
        <f t="shared" si="86"/>
        <v>0.48347631392587942</v>
      </c>
      <c r="JL15" s="525" t="str">
        <f t="shared" si="87"/>
        <v>0</v>
      </c>
      <c r="JM15" s="523"/>
      <c r="JN15" s="524">
        <f t="shared" si="88"/>
        <v>0</v>
      </c>
      <c r="JO15" s="525" t="str">
        <f t="shared" si="89"/>
        <v>0</v>
      </c>
      <c r="JP15" s="523"/>
      <c r="JQ15" s="525" t="str">
        <f t="shared" si="90"/>
        <v>0</v>
      </c>
      <c r="JR15" s="525" t="str">
        <f t="shared" si="91"/>
        <v>0</v>
      </c>
      <c r="JS15" s="523"/>
      <c r="JT15" s="525" t="str">
        <f t="shared" si="92"/>
        <v>0</v>
      </c>
      <c r="JU15" s="525" t="str">
        <f t="shared" si="93"/>
        <v>0</v>
      </c>
      <c r="JV15" s="523"/>
      <c r="JW15" s="525" t="str">
        <f t="shared" si="94"/>
        <v>0</v>
      </c>
      <c r="JX15" s="525" t="str">
        <f t="shared" si="95"/>
        <v>0</v>
      </c>
      <c r="JY15" s="523"/>
      <c r="JZ15" s="525" t="str">
        <f t="shared" si="96"/>
        <v>0</v>
      </c>
      <c r="KA15" s="525" t="str">
        <f t="shared" si="97"/>
        <v>0</v>
      </c>
      <c r="KB15" s="523"/>
      <c r="KC15" s="525" t="str">
        <f t="shared" si="98"/>
        <v>0</v>
      </c>
      <c r="KD15" s="525" t="str">
        <f t="shared" si="99"/>
        <v>0</v>
      </c>
      <c r="KE15" s="523"/>
      <c r="KF15" s="525" t="str">
        <f t="shared" si="100"/>
        <v>0</v>
      </c>
      <c r="KG15" s="525" t="str">
        <f t="shared" si="101"/>
        <v>0</v>
      </c>
      <c r="KH15" s="523"/>
      <c r="KI15" s="525" t="str">
        <f t="shared" si="102"/>
        <v>0</v>
      </c>
      <c r="KJ15" s="525" t="str">
        <f t="shared" si="103"/>
        <v>0</v>
      </c>
      <c r="KK15" s="523"/>
      <c r="KL15" s="525" t="str">
        <f t="shared" si="104"/>
        <v>0</v>
      </c>
      <c r="KM15" s="525" t="str">
        <f t="shared" si="105"/>
        <v>0</v>
      </c>
      <c r="KN15" s="523"/>
      <c r="KO15" s="525" t="str">
        <f t="shared" si="106"/>
        <v>0</v>
      </c>
      <c r="KP15" s="525" t="str">
        <f t="shared" si="107"/>
        <v>0</v>
      </c>
      <c r="KQ15" s="523"/>
      <c r="KR15" s="525" t="str">
        <f t="shared" si="108"/>
        <v>0</v>
      </c>
      <c r="KS15" s="525" t="str">
        <f t="shared" si="109"/>
        <v>0</v>
      </c>
      <c r="KT15" s="525">
        <f t="shared" si="201"/>
        <v>0</v>
      </c>
      <c r="KU15" s="525">
        <f t="shared" si="202"/>
        <v>0</v>
      </c>
      <c r="KV15" s="264">
        <f t="shared" si="198"/>
        <v>2332.3718167198786</v>
      </c>
    </row>
    <row r="16" spans="1:309" ht="15" customHeight="1">
      <c r="A16" s="266">
        <f t="shared" si="199"/>
        <v>45969</v>
      </c>
      <c r="B16" s="267" t="str">
        <f>+Report1!B16</f>
        <v>Towel</v>
      </c>
      <c r="C16" s="267" t="str">
        <f>+Report1!C16</f>
        <v>19/17</v>
      </c>
      <c r="D16" s="268">
        <f>+Report1!P16</f>
        <v>53.438000000000002</v>
      </c>
      <c r="E16" s="269">
        <f>+Report1!R16</f>
        <v>51.448</v>
      </c>
      <c r="F16" s="523"/>
      <c r="G16" s="524">
        <f t="shared" si="0"/>
        <v>0</v>
      </c>
      <c r="H16" s="525">
        <f t="shared" si="110"/>
        <v>0</v>
      </c>
      <c r="I16" s="523"/>
      <c r="J16" s="524">
        <f t="shared" si="1"/>
        <v>0</v>
      </c>
      <c r="K16" s="525">
        <f t="shared" si="111"/>
        <v>0</v>
      </c>
      <c r="L16" s="523"/>
      <c r="M16" s="524">
        <f t="shared" si="2"/>
        <v>0</v>
      </c>
      <c r="N16" s="525">
        <f t="shared" si="112"/>
        <v>0</v>
      </c>
      <c r="O16" s="523">
        <v>3.0892000000000053</v>
      </c>
      <c r="P16" s="524">
        <f t="shared" si="3"/>
        <v>6.0045094075571556E-2</v>
      </c>
      <c r="Q16" s="525">
        <f t="shared" si="113"/>
        <v>0</v>
      </c>
      <c r="R16" s="523"/>
      <c r="S16" s="524">
        <f t="shared" si="4"/>
        <v>0</v>
      </c>
      <c r="T16" s="525">
        <f t="shared" si="114"/>
        <v>0</v>
      </c>
      <c r="U16" s="523">
        <v>5.283299999999997</v>
      </c>
      <c r="V16" s="524">
        <f t="shared" si="5"/>
        <v>0.1026920385632094</v>
      </c>
      <c r="W16" s="525">
        <f t="shared" si="115"/>
        <v>0</v>
      </c>
      <c r="X16" s="523"/>
      <c r="Y16" s="524">
        <f t="shared" si="6"/>
        <v>0</v>
      </c>
      <c r="Z16" s="525">
        <f t="shared" si="116"/>
        <v>0</v>
      </c>
      <c r="AA16" s="523"/>
      <c r="AB16" s="524">
        <f t="shared" si="7"/>
        <v>0</v>
      </c>
      <c r="AC16" s="525">
        <f t="shared" si="117"/>
        <v>0</v>
      </c>
      <c r="AD16" s="523"/>
      <c r="AE16" s="524">
        <f t="shared" si="8"/>
        <v>0</v>
      </c>
      <c r="AF16" s="525">
        <f t="shared" si="118"/>
        <v>0</v>
      </c>
      <c r="AG16" s="523"/>
      <c r="AH16" s="524">
        <f t="shared" si="9"/>
        <v>0</v>
      </c>
      <c r="AI16" s="525">
        <f t="shared" si="119"/>
        <v>0</v>
      </c>
      <c r="AJ16" s="523"/>
      <c r="AK16" s="524">
        <f t="shared" si="10"/>
        <v>0</v>
      </c>
      <c r="AL16" s="525">
        <f t="shared" si="120"/>
        <v>0</v>
      </c>
      <c r="AM16" s="523"/>
      <c r="AN16" s="524">
        <f t="shared" si="11"/>
        <v>0</v>
      </c>
      <c r="AO16" s="525">
        <f t="shared" si="121"/>
        <v>0</v>
      </c>
      <c r="AP16" s="523"/>
      <c r="AQ16" s="524">
        <f t="shared" si="12"/>
        <v>0</v>
      </c>
      <c r="AR16" s="525">
        <f t="shared" si="122"/>
        <v>0</v>
      </c>
      <c r="AS16" s="523"/>
      <c r="AT16" s="524">
        <f t="shared" si="13"/>
        <v>0</v>
      </c>
      <c r="AU16" s="525">
        <f t="shared" si="123"/>
        <v>0</v>
      </c>
      <c r="AV16" s="523"/>
      <c r="AW16" s="524">
        <f t="shared" si="14"/>
        <v>0</v>
      </c>
      <c r="AX16" s="525">
        <f t="shared" si="124"/>
        <v>0</v>
      </c>
      <c r="AY16" s="523"/>
      <c r="AZ16" s="524">
        <f t="shared" si="15"/>
        <v>0</v>
      </c>
      <c r="BA16" s="525">
        <f t="shared" si="125"/>
        <v>0</v>
      </c>
      <c r="BB16" s="523"/>
      <c r="BC16" s="524">
        <f t="shared" si="16"/>
        <v>0</v>
      </c>
      <c r="BD16" s="525">
        <f t="shared" si="126"/>
        <v>0</v>
      </c>
      <c r="BE16" s="523"/>
      <c r="BF16" s="524">
        <f t="shared" si="17"/>
        <v>0</v>
      </c>
      <c r="BG16" s="525">
        <f t="shared" si="127"/>
        <v>0</v>
      </c>
      <c r="BH16" s="523"/>
      <c r="BI16" s="524">
        <f t="shared" si="18"/>
        <v>0</v>
      </c>
      <c r="BJ16" s="525">
        <f t="shared" si="128"/>
        <v>0</v>
      </c>
      <c r="BK16" s="523"/>
      <c r="BL16" s="524">
        <f t="shared" si="19"/>
        <v>0</v>
      </c>
      <c r="BM16" s="525">
        <f t="shared" si="129"/>
        <v>0</v>
      </c>
      <c r="BN16" s="523"/>
      <c r="BO16" s="524">
        <f t="shared" si="20"/>
        <v>0</v>
      </c>
      <c r="BP16" s="525">
        <f t="shared" si="130"/>
        <v>0</v>
      </c>
      <c r="BQ16" s="523"/>
      <c r="BR16" s="524">
        <f t="shared" si="21"/>
        <v>0</v>
      </c>
      <c r="BS16" s="525">
        <f t="shared" si="131"/>
        <v>0</v>
      </c>
      <c r="BT16" s="523"/>
      <c r="BU16" s="524">
        <f t="shared" si="22"/>
        <v>0</v>
      </c>
      <c r="BV16" s="525">
        <f t="shared" si="132"/>
        <v>0</v>
      </c>
      <c r="BW16" s="523"/>
      <c r="BX16" s="524">
        <f t="shared" si="23"/>
        <v>0</v>
      </c>
      <c r="BY16" s="525">
        <f t="shared" si="133"/>
        <v>0</v>
      </c>
      <c r="BZ16" s="523"/>
      <c r="CA16" s="524">
        <f t="shared" si="24"/>
        <v>0</v>
      </c>
      <c r="CB16" s="525">
        <f t="shared" si="134"/>
        <v>0</v>
      </c>
      <c r="CC16" s="523"/>
      <c r="CD16" s="524">
        <f t="shared" si="25"/>
        <v>0</v>
      </c>
      <c r="CE16" s="525">
        <f t="shared" si="135"/>
        <v>0</v>
      </c>
      <c r="CF16" s="523">
        <v>3</v>
      </c>
      <c r="CG16" s="524">
        <f t="shared" si="26"/>
        <v>5.8311304618255323E-2</v>
      </c>
      <c r="CH16" s="525">
        <f t="shared" si="136"/>
        <v>0</v>
      </c>
      <c r="CI16" s="523"/>
      <c r="CJ16" s="524">
        <f t="shared" si="27"/>
        <v>0</v>
      </c>
      <c r="CK16" s="525">
        <f t="shared" si="137"/>
        <v>0</v>
      </c>
      <c r="CL16" s="523"/>
      <c r="CM16" s="524">
        <f t="shared" si="28"/>
        <v>0</v>
      </c>
      <c r="CN16" s="525">
        <f t="shared" si="138"/>
        <v>0</v>
      </c>
      <c r="CO16" s="523"/>
      <c r="CP16" s="524">
        <f t="shared" si="29"/>
        <v>0</v>
      </c>
      <c r="CQ16" s="525">
        <f t="shared" si="139"/>
        <v>0</v>
      </c>
      <c r="CR16" s="523"/>
      <c r="CS16" s="524">
        <f t="shared" si="30"/>
        <v>0</v>
      </c>
      <c r="CT16" s="525">
        <f t="shared" si="140"/>
        <v>0</v>
      </c>
      <c r="CU16" s="523"/>
      <c r="CV16" s="524">
        <f t="shared" si="31"/>
        <v>0</v>
      </c>
      <c r="CW16" s="525">
        <f t="shared" si="141"/>
        <v>0</v>
      </c>
      <c r="CX16" s="523"/>
      <c r="CY16" s="524">
        <f t="shared" si="32"/>
        <v>0</v>
      </c>
      <c r="CZ16" s="525">
        <f t="shared" si="142"/>
        <v>0</v>
      </c>
      <c r="DA16" s="523">
        <v>142.36744186046553</v>
      </c>
      <c r="DB16" s="524">
        <f t="shared" si="33"/>
        <v>2.7672104233491202</v>
      </c>
      <c r="DC16" s="525">
        <f t="shared" si="143"/>
        <v>0</v>
      </c>
      <c r="DD16" s="523"/>
      <c r="DE16" s="524">
        <f t="shared" si="34"/>
        <v>0</v>
      </c>
      <c r="DF16" s="525">
        <f t="shared" si="144"/>
        <v>0</v>
      </c>
      <c r="DG16" s="523"/>
      <c r="DH16" s="524">
        <f t="shared" si="35"/>
        <v>0</v>
      </c>
      <c r="DI16" s="525">
        <f t="shared" si="203"/>
        <v>0</v>
      </c>
      <c r="DJ16" s="523"/>
      <c r="DK16" s="524">
        <f t="shared" si="36"/>
        <v>0</v>
      </c>
      <c r="DL16" s="525">
        <f t="shared" si="145"/>
        <v>0</v>
      </c>
      <c r="DM16" s="523"/>
      <c r="DN16" s="524">
        <f t="shared" si="37"/>
        <v>0</v>
      </c>
      <c r="DO16" s="525">
        <f t="shared" si="146"/>
        <v>0</v>
      </c>
      <c r="DP16" s="523"/>
      <c r="DQ16" s="524">
        <f t="shared" si="38"/>
        <v>0</v>
      </c>
      <c r="DR16" s="525">
        <f t="shared" si="147"/>
        <v>0</v>
      </c>
      <c r="DS16" s="523"/>
      <c r="DT16" s="524">
        <f t="shared" si="39"/>
        <v>0</v>
      </c>
      <c r="DU16" s="525">
        <f t="shared" si="148"/>
        <v>0</v>
      </c>
      <c r="DV16" s="523"/>
      <c r="DW16" s="524">
        <f t="shared" si="40"/>
        <v>0</v>
      </c>
      <c r="DX16" s="525">
        <f t="shared" si="149"/>
        <v>0</v>
      </c>
      <c r="DY16" s="523"/>
      <c r="DZ16" s="524">
        <f t="shared" si="41"/>
        <v>0</v>
      </c>
      <c r="EA16" s="525">
        <f t="shared" si="150"/>
        <v>0</v>
      </c>
      <c r="EB16" s="523">
        <v>371.7748372093024</v>
      </c>
      <c r="EC16" s="524">
        <f t="shared" si="42"/>
        <v>7.226225260637972</v>
      </c>
      <c r="ED16" s="525">
        <f t="shared" si="151"/>
        <v>0</v>
      </c>
      <c r="EE16" s="523">
        <v>223.95647058823511</v>
      </c>
      <c r="EF16" s="524">
        <f t="shared" si="43"/>
        <v>4.353064659233306</v>
      </c>
      <c r="EG16" s="525">
        <f t="shared" si="152"/>
        <v>0</v>
      </c>
      <c r="EH16" s="523"/>
      <c r="EI16" s="524">
        <f t="shared" si="44"/>
        <v>0</v>
      </c>
      <c r="EJ16" s="525">
        <f t="shared" si="153"/>
        <v>0</v>
      </c>
      <c r="EK16" s="523">
        <v>50.297056219512342</v>
      </c>
      <c r="EL16" s="524">
        <f t="shared" si="45"/>
        <v>0.97762898887249927</v>
      </c>
      <c r="EM16" s="525">
        <f t="shared" si="154"/>
        <v>0</v>
      </c>
      <c r="EN16" s="523">
        <v>56.047023255813656</v>
      </c>
      <c r="EO16" s="524">
        <f t="shared" si="46"/>
        <v>1.0893916820053968</v>
      </c>
      <c r="EP16" s="525">
        <f t="shared" si="155"/>
        <v>0</v>
      </c>
      <c r="EQ16" s="523"/>
      <c r="ER16" s="524">
        <f t="shared" si="47"/>
        <v>0</v>
      </c>
      <c r="ES16" s="525">
        <f t="shared" si="156"/>
        <v>0</v>
      </c>
      <c r="ET16" s="523"/>
      <c r="EU16" s="524">
        <f t="shared" si="48"/>
        <v>0</v>
      </c>
      <c r="EV16" s="525">
        <f t="shared" si="157"/>
        <v>0</v>
      </c>
      <c r="EW16" s="523"/>
      <c r="EX16" s="524">
        <f t="shared" si="49"/>
        <v>0</v>
      </c>
      <c r="EY16" s="525">
        <f t="shared" si="158"/>
        <v>0</v>
      </c>
      <c r="EZ16" s="523"/>
      <c r="FA16" s="524">
        <f t="shared" si="50"/>
        <v>0</v>
      </c>
      <c r="FB16" s="525">
        <f t="shared" si="159"/>
        <v>0</v>
      </c>
      <c r="FC16" s="523"/>
      <c r="FD16" s="524">
        <f t="shared" si="51"/>
        <v>0</v>
      </c>
      <c r="FE16" s="525">
        <f t="shared" si="160"/>
        <v>0</v>
      </c>
      <c r="FF16" s="523"/>
      <c r="FG16" s="524">
        <f t="shared" si="52"/>
        <v>0</v>
      </c>
      <c r="FH16" s="525">
        <f t="shared" si="161"/>
        <v>0</v>
      </c>
      <c r="FI16" s="523"/>
      <c r="FJ16" s="524">
        <f t="shared" si="53"/>
        <v>0</v>
      </c>
      <c r="FK16" s="525">
        <f t="shared" si="162"/>
        <v>0</v>
      </c>
      <c r="FL16" s="523"/>
      <c r="FM16" s="524">
        <f t="shared" si="54"/>
        <v>0</v>
      </c>
      <c r="FN16" s="525">
        <f t="shared" si="163"/>
        <v>0</v>
      </c>
      <c r="FO16" s="523"/>
      <c r="FP16" s="524">
        <f t="shared" si="55"/>
        <v>0</v>
      </c>
      <c r="FQ16" s="525">
        <f t="shared" si="164"/>
        <v>0</v>
      </c>
      <c r="FR16" s="523"/>
      <c r="FS16" s="524">
        <f t="shared" si="56"/>
        <v>0</v>
      </c>
      <c r="FT16" s="525">
        <f t="shared" si="165"/>
        <v>0</v>
      </c>
      <c r="FU16" s="523"/>
      <c r="FV16" s="524">
        <f t="shared" si="57"/>
        <v>0</v>
      </c>
      <c r="FW16" s="525">
        <f t="shared" si="166"/>
        <v>0</v>
      </c>
      <c r="FX16" s="523"/>
      <c r="FY16" s="524">
        <f t="shared" si="58"/>
        <v>0</v>
      </c>
      <c r="FZ16" s="525">
        <f t="shared" si="167"/>
        <v>0</v>
      </c>
      <c r="GA16" s="523"/>
      <c r="GB16" s="524">
        <f t="shared" si="168"/>
        <v>0</v>
      </c>
      <c r="GC16" s="525">
        <f t="shared" si="169"/>
        <v>0</v>
      </c>
      <c r="GD16" s="523"/>
      <c r="GE16" s="524">
        <f t="shared" si="59"/>
        <v>0</v>
      </c>
      <c r="GF16" s="525">
        <f t="shared" si="170"/>
        <v>0</v>
      </c>
      <c r="GG16" s="523">
        <v>15.826377295492488</v>
      </c>
      <c r="GH16" s="524">
        <f t="shared" si="171"/>
        <v>0.30761890249363411</v>
      </c>
      <c r="GI16" s="525">
        <f t="shared" si="172"/>
        <v>0</v>
      </c>
      <c r="GJ16" s="523">
        <v>15.826377295492488</v>
      </c>
      <c r="GK16" s="524">
        <f t="shared" si="60"/>
        <v>0.30761890249363411</v>
      </c>
      <c r="GL16" s="525">
        <f t="shared" si="173"/>
        <v>0</v>
      </c>
      <c r="GM16" s="523"/>
      <c r="GN16" s="524">
        <f t="shared" si="61"/>
        <v>0</v>
      </c>
      <c r="GO16" s="525">
        <f t="shared" si="174"/>
        <v>0</v>
      </c>
      <c r="GP16" s="523">
        <v>31.652754590984976</v>
      </c>
      <c r="GQ16" s="524">
        <f t="shared" si="62"/>
        <v>0.61523780498726821</v>
      </c>
      <c r="GR16" s="525">
        <f t="shared" si="175"/>
        <v>0</v>
      </c>
      <c r="GS16" s="523">
        <v>242.6711185308848</v>
      </c>
      <c r="GT16" s="524">
        <f t="shared" si="63"/>
        <v>4.7168231715690556</v>
      </c>
      <c r="GU16" s="525">
        <f t="shared" si="176"/>
        <v>0</v>
      </c>
      <c r="GV16" s="523">
        <v>36.928213689482469</v>
      </c>
      <c r="GW16" s="524">
        <f t="shared" si="64"/>
        <v>0.71777743915181291</v>
      </c>
      <c r="GX16" s="525">
        <f t="shared" si="177"/>
        <v>0</v>
      </c>
      <c r="GY16" s="523"/>
      <c r="GZ16" s="524">
        <f t="shared" si="65"/>
        <v>0</v>
      </c>
      <c r="HA16" s="525">
        <f t="shared" si="178"/>
        <v>0</v>
      </c>
      <c r="HB16" s="523"/>
      <c r="HC16" s="524">
        <f t="shared" si="66"/>
        <v>0</v>
      </c>
      <c r="HD16" s="525">
        <f t="shared" si="179"/>
        <v>0</v>
      </c>
      <c r="HE16" s="523"/>
      <c r="HF16" s="524">
        <f t="shared" si="67"/>
        <v>0</v>
      </c>
      <c r="HG16" s="525">
        <f t="shared" si="180"/>
        <v>0</v>
      </c>
      <c r="HH16" s="523"/>
      <c r="HI16" s="524">
        <f t="shared" si="68"/>
        <v>0</v>
      </c>
      <c r="HJ16" s="525">
        <f t="shared" si="181"/>
        <v>0</v>
      </c>
      <c r="HK16" s="523"/>
      <c r="HL16" s="524">
        <f t="shared" si="69"/>
        <v>0</v>
      </c>
      <c r="HM16" s="525">
        <f t="shared" si="182"/>
        <v>0</v>
      </c>
      <c r="HN16" s="523">
        <v>831.41235392320539</v>
      </c>
      <c r="HO16" s="524">
        <f t="shared" si="70"/>
        <v>16.160246344332247</v>
      </c>
      <c r="HP16" s="525">
        <f t="shared" si="183"/>
        <v>0</v>
      </c>
      <c r="HQ16" s="523"/>
      <c r="HR16" s="524">
        <f t="shared" si="71"/>
        <v>0</v>
      </c>
      <c r="HS16" s="525">
        <f t="shared" si="184"/>
        <v>0</v>
      </c>
      <c r="HT16" s="523"/>
      <c r="HU16" s="524">
        <f t="shared" si="72"/>
        <v>0</v>
      </c>
      <c r="HV16" s="525">
        <f t="shared" si="185"/>
        <v>0</v>
      </c>
      <c r="HW16" s="523"/>
      <c r="HX16" s="524">
        <f t="shared" si="73"/>
        <v>0</v>
      </c>
      <c r="HY16" s="525">
        <f t="shared" si="186"/>
        <v>0</v>
      </c>
      <c r="HZ16" s="523"/>
      <c r="IA16" s="524">
        <f t="shared" si="74"/>
        <v>0</v>
      </c>
      <c r="IB16" s="525">
        <f t="shared" si="200"/>
        <v>0</v>
      </c>
      <c r="IC16" s="523"/>
      <c r="ID16" s="524">
        <f t="shared" si="75"/>
        <v>0</v>
      </c>
      <c r="IE16" s="525">
        <f t="shared" si="187"/>
        <v>0</v>
      </c>
      <c r="IF16" s="523"/>
      <c r="IG16" s="524">
        <f t="shared" si="76"/>
        <v>0</v>
      </c>
      <c r="IH16" s="525">
        <f t="shared" si="188"/>
        <v>0</v>
      </c>
      <c r="II16" s="523">
        <v>21.101836393989984</v>
      </c>
      <c r="IJ16" s="524">
        <f t="shared" si="77"/>
        <v>0.41015853665817881</v>
      </c>
      <c r="IK16" s="525">
        <f t="shared" si="189"/>
        <v>0</v>
      </c>
      <c r="IL16" s="523"/>
      <c r="IM16" s="524">
        <f t="shared" si="78"/>
        <v>0</v>
      </c>
      <c r="IN16" s="525">
        <f t="shared" si="190"/>
        <v>0</v>
      </c>
      <c r="IO16" s="523"/>
      <c r="IP16" s="524">
        <f t="shared" si="79"/>
        <v>0</v>
      </c>
      <c r="IQ16" s="525">
        <f t="shared" si="191"/>
        <v>0</v>
      </c>
      <c r="IR16" s="523">
        <v>47.479131886477461</v>
      </c>
      <c r="IS16" s="524">
        <f t="shared" si="80"/>
        <v>0.92285670748090232</v>
      </c>
      <c r="IT16" s="525">
        <f t="shared" si="192"/>
        <v>0</v>
      </c>
      <c r="IU16" s="523"/>
      <c r="IV16" s="524">
        <f t="shared" si="81"/>
        <v>0</v>
      </c>
      <c r="IW16" s="525">
        <f t="shared" si="193"/>
        <v>0</v>
      </c>
      <c r="IX16" s="523"/>
      <c r="IY16" s="524">
        <f t="shared" si="82"/>
        <v>0</v>
      </c>
      <c r="IZ16" s="525">
        <f t="shared" si="194"/>
        <v>0</v>
      </c>
      <c r="JA16" s="523"/>
      <c r="JB16" s="524">
        <f t="shared" si="83"/>
        <v>0</v>
      </c>
      <c r="JC16" s="525">
        <f t="shared" si="195"/>
        <v>0</v>
      </c>
      <c r="JD16" s="523"/>
      <c r="JE16" s="524">
        <f t="shared" si="84"/>
        <v>0</v>
      </c>
      <c r="JF16" s="525">
        <f t="shared" si="196"/>
        <v>0</v>
      </c>
      <c r="JG16" s="523"/>
      <c r="JH16" s="524">
        <f t="shared" si="85"/>
        <v>0</v>
      </c>
      <c r="JI16" s="525">
        <f t="shared" si="197"/>
        <v>0</v>
      </c>
      <c r="JJ16" s="523">
        <v>23.73956594323873</v>
      </c>
      <c r="JK16" s="524">
        <f t="shared" si="86"/>
        <v>0.46142835374045116</v>
      </c>
      <c r="JL16" s="525" t="str">
        <f t="shared" si="87"/>
        <v>0</v>
      </c>
      <c r="JM16" s="523"/>
      <c r="JN16" s="524">
        <f t="shared" si="88"/>
        <v>0</v>
      </c>
      <c r="JO16" s="525" t="str">
        <f t="shared" si="89"/>
        <v>0</v>
      </c>
      <c r="JP16" s="523"/>
      <c r="JQ16" s="525" t="str">
        <f t="shared" si="90"/>
        <v>0</v>
      </c>
      <c r="JR16" s="525" t="str">
        <f t="shared" si="91"/>
        <v>0</v>
      </c>
      <c r="JS16" s="523"/>
      <c r="JT16" s="525" t="str">
        <f t="shared" si="92"/>
        <v>0</v>
      </c>
      <c r="JU16" s="525" t="str">
        <f t="shared" si="93"/>
        <v>0</v>
      </c>
      <c r="JV16" s="523"/>
      <c r="JW16" s="525" t="str">
        <f t="shared" si="94"/>
        <v>0</v>
      </c>
      <c r="JX16" s="525" t="str">
        <f t="shared" si="95"/>
        <v>0</v>
      </c>
      <c r="JY16" s="523"/>
      <c r="JZ16" s="525" t="str">
        <f t="shared" si="96"/>
        <v>0</v>
      </c>
      <c r="KA16" s="525" t="str">
        <f t="shared" si="97"/>
        <v>0</v>
      </c>
      <c r="KB16" s="523"/>
      <c r="KC16" s="525" t="str">
        <f t="shared" si="98"/>
        <v>0</v>
      </c>
      <c r="KD16" s="525" t="str">
        <f t="shared" si="99"/>
        <v>0</v>
      </c>
      <c r="KE16" s="523"/>
      <c r="KF16" s="525" t="str">
        <f t="shared" si="100"/>
        <v>0</v>
      </c>
      <c r="KG16" s="525" t="str">
        <f t="shared" si="101"/>
        <v>0</v>
      </c>
      <c r="KH16" s="523"/>
      <c r="KI16" s="525" t="str">
        <f t="shared" si="102"/>
        <v>0</v>
      </c>
      <c r="KJ16" s="525" t="str">
        <f t="shared" si="103"/>
        <v>0</v>
      </c>
      <c r="KK16" s="523"/>
      <c r="KL16" s="525" t="str">
        <f t="shared" si="104"/>
        <v>0</v>
      </c>
      <c r="KM16" s="525" t="str">
        <f t="shared" si="105"/>
        <v>0</v>
      </c>
      <c r="KN16" s="523"/>
      <c r="KO16" s="525" t="str">
        <f t="shared" si="106"/>
        <v>0</v>
      </c>
      <c r="KP16" s="525" t="str">
        <f t="shared" si="107"/>
        <v>0</v>
      </c>
      <c r="KQ16" s="523"/>
      <c r="KR16" s="525" t="str">
        <f t="shared" si="108"/>
        <v>0</v>
      </c>
      <c r="KS16" s="525" t="str">
        <f t="shared" si="109"/>
        <v>0</v>
      </c>
      <c r="KT16" s="525">
        <f t="shared" si="201"/>
        <v>0</v>
      </c>
      <c r="KU16" s="525">
        <f t="shared" si="202"/>
        <v>0</v>
      </c>
      <c r="KV16" s="264">
        <f t="shared" si="198"/>
        <v>2122.4530586825776</v>
      </c>
      <c r="KW16" s="264"/>
    </row>
    <row r="17" spans="1:309" ht="15" customHeight="1">
      <c r="A17" s="266">
        <f t="shared" si="199"/>
        <v>45970</v>
      </c>
      <c r="B17" s="267" t="str">
        <f>+Report1!B17</f>
        <v>Towel/Facial/Toilet</v>
      </c>
      <c r="C17" s="267" t="str">
        <f>+Report1!C17</f>
        <v>17/14/16,5/13,5</v>
      </c>
      <c r="D17" s="268">
        <f>+Report1!P17</f>
        <v>49.893000000000001</v>
      </c>
      <c r="E17" s="269">
        <f>+Report1!R17</f>
        <v>50.395000000000003</v>
      </c>
      <c r="F17" s="523"/>
      <c r="G17" s="524">
        <f t="shared" si="0"/>
        <v>0</v>
      </c>
      <c r="H17" s="525">
        <f t="shared" si="110"/>
        <v>0</v>
      </c>
      <c r="I17" s="523"/>
      <c r="J17" s="524">
        <f t="shared" si="1"/>
        <v>0</v>
      </c>
      <c r="K17" s="525">
        <f t="shared" si="111"/>
        <v>0</v>
      </c>
      <c r="L17" s="523"/>
      <c r="M17" s="524">
        <f t="shared" si="2"/>
        <v>0</v>
      </c>
      <c r="N17" s="525">
        <f t="shared" si="112"/>
        <v>0</v>
      </c>
      <c r="O17" s="523">
        <v>2.9116</v>
      </c>
      <c r="P17" s="524">
        <f t="shared" si="3"/>
        <v>5.777557297350927E-2</v>
      </c>
      <c r="Q17" s="525">
        <f t="shared" si="113"/>
        <v>0</v>
      </c>
      <c r="R17" s="523"/>
      <c r="S17" s="524">
        <f t="shared" si="4"/>
        <v>0</v>
      </c>
      <c r="T17" s="525">
        <f t="shared" si="114"/>
        <v>0</v>
      </c>
      <c r="U17" s="523">
        <v>4.9646000000000043</v>
      </c>
      <c r="V17" s="524">
        <f t="shared" si="5"/>
        <v>9.8513741442603511E-2</v>
      </c>
      <c r="W17" s="525">
        <f t="shared" si="115"/>
        <v>0</v>
      </c>
      <c r="X17" s="523"/>
      <c r="Y17" s="524">
        <f t="shared" si="6"/>
        <v>0</v>
      </c>
      <c r="Z17" s="525">
        <f t="shared" si="116"/>
        <v>0</v>
      </c>
      <c r="AA17" s="523"/>
      <c r="AB17" s="524">
        <f t="shared" si="7"/>
        <v>0</v>
      </c>
      <c r="AC17" s="525">
        <f t="shared" si="117"/>
        <v>0</v>
      </c>
      <c r="AD17" s="523"/>
      <c r="AE17" s="524">
        <f t="shared" si="8"/>
        <v>0</v>
      </c>
      <c r="AF17" s="525">
        <f t="shared" si="118"/>
        <v>0</v>
      </c>
      <c r="AG17" s="523"/>
      <c r="AH17" s="524">
        <f t="shared" si="9"/>
        <v>0</v>
      </c>
      <c r="AI17" s="525">
        <f t="shared" si="119"/>
        <v>0</v>
      </c>
      <c r="AJ17" s="523"/>
      <c r="AK17" s="524">
        <f t="shared" si="10"/>
        <v>0</v>
      </c>
      <c r="AL17" s="525">
        <f t="shared" si="120"/>
        <v>0</v>
      </c>
      <c r="AM17" s="523"/>
      <c r="AN17" s="524">
        <f t="shared" si="11"/>
        <v>0</v>
      </c>
      <c r="AO17" s="525">
        <f t="shared" si="121"/>
        <v>0</v>
      </c>
      <c r="AP17" s="523"/>
      <c r="AQ17" s="524">
        <f t="shared" si="12"/>
        <v>0</v>
      </c>
      <c r="AR17" s="525">
        <f t="shared" si="122"/>
        <v>0</v>
      </c>
      <c r="AS17" s="523"/>
      <c r="AT17" s="524">
        <f t="shared" si="13"/>
        <v>0</v>
      </c>
      <c r="AU17" s="525">
        <f t="shared" si="123"/>
        <v>0</v>
      </c>
      <c r="AV17" s="523"/>
      <c r="AW17" s="524">
        <f t="shared" si="14"/>
        <v>0</v>
      </c>
      <c r="AX17" s="525">
        <f t="shared" si="124"/>
        <v>0</v>
      </c>
      <c r="AY17" s="523"/>
      <c r="AZ17" s="524">
        <f t="shared" si="15"/>
        <v>0</v>
      </c>
      <c r="BA17" s="525">
        <f t="shared" si="125"/>
        <v>0</v>
      </c>
      <c r="BB17" s="523"/>
      <c r="BC17" s="524">
        <f t="shared" si="16"/>
        <v>0</v>
      </c>
      <c r="BD17" s="525">
        <f t="shared" si="126"/>
        <v>0</v>
      </c>
      <c r="BE17" s="523"/>
      <c r="BF17" s="524">
        <f t="shared" si="17"/>
        <v>0</v>
      </c>
      <c r="BG17" s="525">
        <f t="shared" si="127"/>
        <v>0</v>
      </c>
      <c r="BH17" s="523"/>
      <c r="BI17" s="524">
        <f t="shared" si="18"/>
        <v>0</v>
      </c>
      <c r="BJ17" s="525">
        <f t="shared" si="128"/>
        <v>0</v>
      </c>
      <c r="BK17" s="523"/>
      <c r="BL17" s="524">
        <f t="shared" si="19"/>
        <v>0</v>
      </c>
      <c r="BM17" s="525">
        <f t="shared" si="129"/>
        <v>0</v>
      </c>
      <c r="BN17" s="523"/>
      <c r="BO17" s="524">
        <f t="shared" si="20"/>
        <v>0</v>
      </c>
      <c r="BP17" s="525">
        <f t="shared" si="130"/>
        <v>0</v>
      </c>
      <c r="BQ17" s="523"/>
      <c r="BR17" s="524">
        <f t="shared" si="21"/>
        <v>0</v>
      </c>
      <c r="BS17" s="525">
        <f t="shared" si="131"/>
        <v>0</v>
      </c>
      <c r="BT17" s="523"/>
      <c r="BU17" s="524">
        <f t="shared" si="22"/>
        <v>0</v>
      </c>
      <c r="BV17" s="525">
        <f t="shared" si="132"/>
        <v>0</v>
      </c>
      <c r="BW17" s="523"/>
      <c r="BX17" s="524">
        <f t="shared" si="23"/>
        <v>0</v>
      </c>
      <c r="BY17" s="525">
        <f t="shared" si="133"/>
        <v>0</v>
      </c>
      <c r="BZ17" s="523"/>
      <c r="CA17" s="524">
        <f t="shared" si="24"/>
        <v>0</v>
      </c>
      <c r="CB17" s="525">
        <f t="shared" si="134"/>
        <v>0</v>
      </c>
      <c r="CC17" s="523"/>
      <c r="CD17" s="524">
        <f t="shared" si="25"/>
        <v>0</v>
      </c>
      <c r="CE17" s="525">
        <f t="shared" si="135"/>
        <v>0</v>
      </c>
      <c r="CF17" s="523">
        <v>3</v>
      </c>
      <c r="CG17" s="524">
        <f t="shared" si="26"/>
        <v>5.9529715249528721E-2</v>
      </c>
      <c r="CH17" s="525">
        <f t="shared" si="136"/>
        <v>0</v>
      </c>
      <c r="CI17" s="523"/>
      <c r="CJ17" s="524">
        <f t="shared" si="27"/>
        <v>0</v>
      </c>
      <c r="CK17" s="525">
        <f t="shared" si="137"/>
        <v>0</v>
      </c>
      <c r="CL17" s="523"/>
      <c r="CM17" s="524">
        <f t="shared" si="28"/>
        <v>0</v>
      </c>
      <c r="CN17" s="525">
        <f t="shared" si="138"/>
        <v>0</v>
      </c>
      <c r="CO17" s="523"/>
      <c r="CP17" s="524">
        <f t="shared" si="29"/>
        <v>0</v>
      </c>
      <c r="CQ17" s="525">
        <f t="shared" si="139"/>
        <v>0</v>
      </c>
      <c r="CR17" s="523"/>
      <c r="CS17" s="524">
        <f t="shared" si="30"/>
        <v>0</v>
      </c>
      <c r="CT17" s="525">
        <f t="shared" si="140"/>
        <v>0</v>
      </c>
      <c r="CU17" s="523"/>
      <c r="CV17" s="524">
        <f t="shared" si="31"/>
        <v>0</v>
      </c>
      <c r="CW17" s="525">
        <f t="shared" si="141"/>
        <v>0</v>
      </c>
      <c r="CX17" s="523"/>
      <c r="CY17" s="524">
        <f t="shared" si="32"/>
        <v>0</v>
      </c>
      <c r="CZ17" s="525">
        <f t="shared" si="142"/>
        <v>0</v>
      </c>
      <c r="DA17" s="523">
        <v>133.79999999999995</v>
      </c>
      <c r="DB17" s="524">
        <f t="shared" si="33"/>
        <v>2.6550253001289801</v>
      </c>
      <c r="DC17" s="525">
        <f t="shared" si="143"/>
        <v>0</v>
      </c>
      <c r="DD17" s="523"/>
      <c r="DE17" s="524">
        <f t="shared" si="34"/>
        <v>0</v>
      </c>
      <c r="DF17" s="525">
        <f t="shared" si="144"/>
        <v>0</v>
      </c>
      <c r="DG17" s="523"/>
      <c r="DH17" s="524">
        <f t="shared" si="35"/>
        <v>0</v>
      </c>
      <c r="DI17" s="525">
        <f t="shared" si="203"/>
        <v>0</v>
      </c>
      <c r="DJ17" s="523"/>
      <c r="DK17" s="524">
        <f t="shared" si="36"/>
        <v>0</v>
      </c>
      <c r="DL17" s="525">
        <f t="shared" si="145"/>
        <v>0</v>
      </c>
      <c r="DM17" s="523"/>
      <c r="DN17" s="524">
        <f t="shared" si="37"/>
        <v>0</v>
      </c>
      <c r="DO17" s="525">
        <f t="shared" si="146"/>
        <v>0</v>
      </c>
      <c r="DP17" s="523"/>
      <c r="DQ17" s="524">
        <f t="shared" si="38"/>
        <v>0</v>
      </c>
      <c r="DR17" s="525">
        <f t="shared" si="147"/>
        <v>0</v>
      </c>
      <c r="DS17" s="523"/>
      <c r="DT17" s="524">
        <f t="shared" si="39"/>
        <v>0</v>
      </c>
      <c r="DU17" s="525">
        <f t="shared" si="148"/>
        <v>0</v>
      </c>
      <c r="DV17" s="523"/>
      <c r="DW17" s="524">
        <f t="shared" si="40"/>
        <v>0</v>
      </c>
      <c r="DX17" s="525">
        <f t="shared" si="149"/>
        <v>0</v>
      </c>
      <c r="DY17" s="523"/>
      <c r="DZ17" s="524">
        <f t="shared" si="41"/>
        <v>0</v>
      </c>
      <c r="EA17" s="525">
        <f t="shared" si="150"/>
        <v>0</v>
      </c>
      <c r="EB17" s="523">
        <v>349.3907999999999</v>
      </c>
      <c r="EC17" s="524">
        <f t="shared" si="42"/>
        <v>6.9330449449350109</v>
      </c>
      <c r="ED17" s="525">
        <f t="shared" si="151"/>
        <v>0</v>
      </c>
      <c r="EE17" s="523">
        <v>210.47000000000003</v>
      </c>
      <c r="EF17" s="524">
        <f t="shared" si="43"/>
        <v>4.1764063895227705</v>
      </c>
      <c r="EG17" s="525">
        <f t="shared" si="152"/>
        <v>0</v>
      </c>
      <c r="EH17" s="523"/>
      <c r="EI17" s="524">
        <f t="shared" si="44"/>
        <v>0</v>
      </c>
      <c r="EJ17" s="525">
        <f t="shared" si="153"/>
        <v>0</v>
      </c>
      <c r="EK17" s="523">
        <v>47.266484999999875</v>
      </c>
      <c r="EL17" s="524">
        <f t="shared" si="45"/>
        <v>0.93792013096537097</v>
      </c>
      <c r="EM17" s="525">
        <f t="shared" si="154"/>
        <v>0</v>
      </c>
      <c r="EN17" s="523">
        <v>52.67450000000008</v>
      </c>
      <c r="EO17" s="524">
        <f t="shared" si="46"/>
        <v>1.0452326619704351</v>
      </c>
      <c r="EP17" s="525">
        <f t="shared" si="155"/>
        <v>0</v>
      </c>
      <c r="EQ17" s="523"/>
      <c r="ER17" s="524">
        <f t="shared" si="47"/>
        <v>0</v>
      </c>
      <c r="ES17" s="525">
        <f t="shared" si="156"/>
        <v>0</v>
      </c>
      <c r="ET17" s="523"/>
      <c r="EU17" s="524">
        <f t="shared" si="48"/>
        <v>0</v>
      </c>
      <c r="EV17" s="525">
        <f t="shared" si="157"/>
        <v>0</v>
      </c>
      <c r="EW17" s="523"/>
      <c r="EX17" s="524">
        <f t="shared" si="49"/>
        <v>0</v>
      </c>
      <c r="EY17" s="525">
        <f t="shared" si="158"/>
        <v>0</v>
      </c>
      <c r="EZ17" s="523"/>
      <c r="FA17" s="524">
        <f t="shared" si="50"/>
        <v>0</v>
      </c>
      <c r="FB17" s="525">
        <f t="shared" si="159"/>
        <v>0</v>
      </c>
      <c r="FC17" s="523"/>
      <c r="FD17" s="524">
        <f t="shared" si="51"/>
        <v>0</v>
      </c>
      <c r="FE17" s="525">
        <f t="shared" si="160"/>
        <v>0</v>
      </c>
      <c r="FF17" s="523"/>
      <c r="FG17" s="524">
        <f t="shared" si="52"/>
        <v>0</v>
      </c>
      <c r="FH17" s="525">
        <f t="shared" si="161"/>
        <v>0</v>
      </c>
      <c r="FI17" s="523"/>
      <c r="FJ17" s="524">
        <f t="shared" si="53"/>
        <v>0</v>
      </c>
      <c r="FK17" s="525">
        <f t="shared" si="162"/>
        <v>0</v>
      </c>
      <c r="FL17" s="523"/>
      <c r="FM17" s="524">
        <f t="shared" si="54"/>
        <v>0</v>
      </c>
      <c r="FN17" s="525">
        <f t="shared" si="163"/>
        <v>0</v>
      </c>
      <c r="FO17" s="523"/>
      <c r="FP17" s="524">
        <f t="shared" si="55"/>
        <v>0</v>
      </c>
      <c r="FQ17" s="525">
        <f t="shared" si="164"/>
        <v>0</v>
      </c>
      <c r="FR17" s="523"/>
      <c r="FS17" s="524">
        <f t="shared" si="56"/>
        <v>0</v>
      </c>
      <c r="FT17" s="525">
        <f t="shared" si="165"/>
        <v>0</v>
      </c>
      <c r="FU17" s="523"/>
      <c r="FV17" s="524">
        <f t="shared" si="57"/>
        <v>0</v>
      </c>
      <c r="FW17" s="525">
        <f t="shared" si="166"/>
        <v>0</v>
      </c>
      <c r="FX17" s="523"/>
      <c r="FY17" s="524">
        <f t="shared" si="58"/>
        <v>0</v>
      </c>
      <c r="FZ17" s="525">
        <f t="shared" si="167"/>
        <v>0</v>
      </c>
      <c r="GA17" s="523"/>
      <c r="GB17" s="524">
        <f t="shared" si="168"/>
        <v>0</v>
      </c>
      <c r="GC17" s="525">
        <f t="shared" si="169"/>
        <v>0</v>
      </c>
      <c r="GD17" s="523"/>
      <c r="GE17" s="524">
        <f t="shared" si="59"/>
        <v>0</v>
      </c>
      <c r="GF17" s="525">
        <f t="shared" si="170"/>
        <v>0</v>
      </c>
      <c r="GG17" s="523">
        <v>14.980033827400193</v>
      </c>
      <c r="GH17" s="524">
        <f t="shared" si="171"/>
        <v>0.29725238272448046</v>
      </c>
      <c r="GI17" s="525">
        <f t="shared" si="172"/>
        <v>0</v>
      </c>
      <c r="GJ17" s="523">
        <v>14.980033827400193</v>
      </c>
      <c r="GK17" s="524">
        <f t="shared" si="60"/>
        <v>0.29725238272448046</v>
      </c>
      <c r="GL17" s="525">
        <f t="shared" si="173"/>
        <v>0</v>
      </c>
      <c r="GM17" s="523"/>
      <c r="GN17" s="524">
        <f t="shared" si="61"/>
        <v>0</v>
      </c>
      <c r="GO17" s="525">
        <f t="shared" si="174"/>
        <v>0</v>
      </c>
      <c r="GP17" s="523">
        <v>29.960067654800387</v>
      </c>
      <c r="GQ17" s="524">
        <f t="shared" si="62"/>
        <v>0.59450476544896091</v>
      </c>
      <c r="GR17" s="525">
        <f t="shared" si="175"/>
        <v>0</v>
      </c>
      <c r="GS17" s="523">
        <v>214.71381819273611</v>
      </c>
      <c r="GT17" s="524">
        <f t="shared" si="63"/>
        <v>4.2606174857175532</v>
      </c>
      <c r="GU17" s="525">
        <f t="shared" si="176"/>
        <v>0</v>
      </c>
      <c r="GV17" s="523">
        <v>29.960067654800387</v>
      </c>
      <c r="GW17" s="524">
        <f t="shared" si="64"/>
        <v>0.59450476544896091</v>
      </c>
      <c r="GX17" s="525">
        <f t="shared" si="177"/>
        <v>0</v>
      </c>
      <c r="GY17" s="523"/>
      <c r="GZ17" s="524">
        <f t="shared" si="65"/>
        <v>0</v>
      </c>
      <c r="HA17" s="525">
        <f t="shared" si="178"/>
        <v>0</v>
      </c>
      <c r="HB17" s="523"/>
      <c r="HC17" s="524">
        <f t="shared" si="66"/>
        <v>0</v>
      </c>
      <c r="HD17" s="525">
        <f t="shared" si="179"/>
        <v>0</v>
      </c>
      <c r="HE17" s="523"/>
      <c r="HF17" s="524">
        <f t="shared" si="67"/>
        <v>0</v>
      </c>
      <c r="HG17" s="525">
        <f t="shared" si="180"/>
        <v>0</v>
      </c>
      <c r="HH17" s="523"/>
      <c r="HI17" s="524">
        <f t="shared" si="68"/>
        <v>0</v>
      </c>
      <c r="HJ17" s="525">
        <f t="shared" si="181"/>
        <v>0</v>
      </c>
      <c r="HK17" s="523"/>
      <c r="HL17" s="524">
        <f t="shared" si="69"/>
        <v>0</v>
      </c>
      <c r="HM17" s="525">
        <f t="shared" si="182"/>
        <v>0</v>
      </c>
      <c r="HN17" s="523">
        <v>786.95111039942344</v>
      </c>
      <c r="HO17" s="524">
        <f t="shared" si="70"/>
        <v>15.615658505792705</v>
      </c>
      <c r="HP17" s="525">
        <f t="shared" si="183"/>
        <v>0</v>
      </c>
      <c r="HQ17" s="523"/>
      <c r="HR17" s="524">
        <f t="shared" si="71"/>
        <v>0</v>
      </c>
      <c r="HS17" s="525">
        <f t="shared" si="184"/>
        <v>0</v>
      </c>
      <c r="HT17" s="523"/>
      <c r="HU17" s="524">
        <f t="shared" si="72"/>
        <v>0</v>
      </c>
      <c r="HV17" s="525">
        <f t="shared" si="185"/>
        <v>0</v>
      </c>
      <c r="HW17" s="523"/>
      <c r="HX17" s="524">
        <f t="shared" si="73"/>
        <v>0</v>
      </c>
      <c r="HY17" s="525">
        <f t="shared" si="186"/>
        <v>0</v>
      </c>
      <c r="HZ17" s="523"/>
      <c r="IA17" s="524">
        <f t="shared" si="74"/>
        <v>0</v>
      </c>
      <c r="IB17" s="525">
        <f t="shared" si="200"/>
        <v>0</v>
      </c>
      <c r="IC17" s="523"/>
      <c r="ID17" s="524">
        <f t="shared" si="75"/>
        <v>0</v>
      </c>
      <c r="IE17" s="525">
        <f t="shared" si="187"/>
        <v>0</v>
      </c>
      <c r="IF17" s="523"/>
      <c r="IG17" s="524">
        <f t="shared" si="76"/>
        <v>0</v>
      </c>
      <c r="IH17" s="525">
        <f t="shared" si="188"/>
        <v>0</v>
      </c>
      <c r="II17" s="523">
        <v>19.97337843653359</v>
      </c>
      <c r="IJ17" s="524">
        <f t="shared" si="77"/>
        <v>0.39633651029930722</v>
      </c>
      <c r="IK17" s="525">
        <f t="shared" si="189"/>
        <v>0</v>
      </c>
      <c r="IL17" s="523"/>
      <c r="IM17" s="524">
        <f t="shared" si="78"/>
        <v>0</v>
      </c>
      <c r="IN17" s="525">
        <f t="shared" si="190"/>
        <v>0</v>
      </c>
      <c r="IO17" s="523"/>
      <c r="IP17" s="524">
        <f t="shared" si="79"/>
        <v>0</v>
      </c>
      <c r="IQ17" s="525">
        <f t="shared" si="191"/>
        <v>0</v>
      </c>
      <c r="IR17" s="523">
        <v>44.940101482200582</v>
      </c>
      <c r="IS17" s="524">
        <f t="shared" si="80"/>
        <v>0.89175714817344143</v>
      </c>
      <c r="IT17" s="525">
        <f t="shared" si="192"/>
        <v>0</v>
      </c>
      <c r="IU17" s="523"/>
      <c r="IV17" s="524">
        <f t="shared" si="81"/>
        <v>0</v>
      </c>
      <c r="IW17" s="525">
        <f t="shared" si="193"/>
        <v>0</v>
      </c>
      <c r="IX17" s="523"/>
      <c r="IY17" s="524">
        <f t="shared" si="82"/>
        <v>0</v>
      </c>
      <c r="IZ17" s="525">
        <f t="shared" si="194"/>
        <v>0</v>
      </c>
      <c r="JA17" s="523"/>
      <c r="JB17" s="524">
        <f t="shared" si="83"/>
        <v>0</v>
      </c>
      <c r="JC17" s="525">
        <f t="shared" si="195"/>
        <v>0</v>
      </c>
      <c r="JD17" s="523"/>
      <c r="JE17" s="524">
        <f t="shared" si="84"/>
        <v>0</v>
      </c>
      <c r="JF17" s="525">
        <f t="shared" si="196"/>
        <v>0</v>
      </c>
      <c r="JG17" s="523"/>
      <c r="JH17" s="524">
        <f t="shared" si="85"/>
        <v>0</v>
      </c>
      <c r="JI17" s="525">
        <f t="shared" si="197"/>
        <v>0</v>
      </c>
      <c r="JJ17" s="523">
        <v>22.470050741100291</v>
      </c>
      <c r="JK17" s="524">
        <f t="shared" si="86"/>
        <v>0.44587857408672071</v>
      </c>
      <c r="JL17" s="525" t="str">
        <f t="shared" si="87"/>
        <v>0</v>
      </c>
      <c r="JM17" s="523"/>
      <c r="JN17" s="524">
        <f t="shared" si="88"/>
        <v>0</v>
      </c>
      <c r="JO17" s="525" t="str">
        <f t="shared" si="89"/>
        <v>0</v>
      </c>
      <c r="JP17" s="523"/>
      <c r="JQ17" s="525" t="str">
        <f t="shared" si="90"/>
        <v>0</v>
      </c>
      <c r="JR17" s="525" t="str">
        <f t="shared" si="91"/>
        <v>0</v>
      </c>
      <c r="JS17" s="523"/>
      <c r="JT17" s="525" t="str">
        <f t="shared" si="92"/>
        <v>0</v>
      </c>
      <c r="JU17" s="525" t="str">
        <f t="shared" si="93"/>
        <v>0</v>
      </c>
      <c r="JV17" s="523"/>
      <c r="JW17" s="525" t="str">
        <f t="shared" si="94"/>
        <v>0</v>
      </c>
      <c r="JX17" s="525" t="str">
        <f t="shared" si="95"/>
        <v>0</v>
      </c>
      <c r="JY17" s="523"/>
      <c r="JZ17" s="525" t="str">
        <f t="shared" si="96"/>
        <v>0</v>
      </c>
      <c r="KA17" s="525" t="str">
        <f t="shared" si="97"/>
        <v>0</v>
      </c>
      <c r="KB17" s="523"/>
      <c r="KC17" s="525" t="str">
        <f t="shared" si="98"/>
        <v>0</v>
      </c>
      <c r="KD17" s="525" t="str">
        <f t="shared" si="99"/>
        <v>0</v>
      </c>
      <c r="KE17" s="523"/>
      <c r="KF17" s="525" t="str">
        <f t="shared" si="100"/>
        <v>0</v>
      </c>
      <c r="KG17" s="525" t="str">
        <f t="shared" si="101"/>
        <v>0</v>
      </c>
      <c r="KH17" s="523"/>
      <c r="KI17" s="525" t="str">
        <f t="shared" si="102"/>
        <v>0</v>
      </c>
      <c r="KJ17" s="525" t="str">
        <f t="shared" si="103"/>
        <v>0</v>
      </c>
      <c r="KK17" s="523"/>
      <c r="KL17" s="525" t="str">
        <f t="shared" si="104"/>
        <v>0</v>
      </c>
      <c r="KM17" s="525" t="str">
        <f t="shared" si="105"/>
        <v>0</v>
      </c>
      <c r="KN17" s="523"/>
      <c r="KO17" s="525" t="str">
        <f t="shared" si="106"/>
        <v>0</v>
      </c>
      <c r="KP17" s="525" t="str">
        <f t="shared" si="107"/>
        <v>0</v>
      </c>
      <c r="KQ17" s="523"/>
      <c r="KR17" s="525" t="str">
        <f t="shared" si="108"/>
        <v>0</v>
      </c>
      <c r="KS17" s="525" t="str">
        <f t="shared" si="109"/>
        <v>0</v>
      </c>
      <c r="KT17" s="525">
        <f t="shared" si="201"/>
        <v>0</v>
      </c>
      <c r="KU17" s="525">
        <f t="shared" si="202"/>
        <v>0</v>
      </c>
      <c r="KV17" s="264">
        <f t="shared" si="198"/>
        <v>1983.406647216395</v>
      </c>
      <c r="KW17" s="264"/>
    </row>
    <row r="18" spans="1:309" ht="15" customHeight="1">
      <c r="A18" s="266">
        <f t="shared" si="199"/>
        <v>45971</v>
      </c>
      <c r="B18" s="267" t="str">
        <f>+Report1!B18</f>
        <v>Toilet</v>
      </c>
      <c r="C18" s="267" t="str">
        <f>+Report1!C18</f>
        <v>13,5</v>
      </c>
      <c r="D18" s="268">
        <f>+Report1!P18</f>
        <v>51.384</v>
      </c>
      <c r="E18" s="269">
        <f>+Report1!R18</f>
        <v>51.182000000000002</v>
      </c>
      <c r="F18" s="523"/>
      <c r="G18" s="524">
        <f t="shared" si="0"/>
        <v>0</v>
      </c>
      <c r="H18" s="525">
        <f t="shared" si="110"/>
        <v>0</v>
      </c>
      <c r="I18" s="523"/>
      <c r="J18" s="524">
        <f t="shared" si="1"/>
        <v>0</v>
      </c>
      <c r="K18" s="525">
        <f t="shared" si="111"/>
        <v>0</v>
      </c>
      <c r="L18" s="523"/>
      <c r="M18" s="524">
        <f t="shared" si="2"/>
        <v>0</v>
      </c>
      <c r="N18" s="525">
        <f t="shared" si="112"/>
        <v>0</v>
      </c>
      <c r="O18" s="523">
        <v>2.9991999999999948</v>
      </c>
      <c r="P18" s="524">
        <f t="shared" si="3"/>
        <v>5.8598726114649578E-2</v>
      </c>
      <c r="Q18" s="525">
        <f t="shared" si="113"/>
        <v>0</v>
      </c>
      <c r="R18" s="523"/>
      <c r="S18" s="524">
        <f t="shared" si="4"/>
        <v>0</v>
      </c>
      <c r="T18" s="525">
        <f t="shared" si="114"/>
        <v>0</v>
      </c>
      <c r="U18" s="523">
        <v>5.1270999999999916</v>
      </c>
      <c r="V18" s="524">
        <f t="shared" si="5"/>
        <v>0.10017388925794207</v>
      </c>
      <c r="W18" s="525">
        <f t="shared" si="115"/>
        <v>0</v>
      </c>
      <c r="X18" s="523"/>
      <c r="Y18" s="524">
        <f t="shared" si="6"/>
        <v>0</v>
      </c>
      <c r="Z18" s="525">
        <f t="shared" si="116"/>
        <v>0</v>
      </c>
      <c r="AA18" s="523"/>
      <c r="AB18" s="524">
        <f t="shared" si="7"/>
        <v>0</v>
      </c>
      <c r="AC18" s="525">
        <f t="shared" si="117"/>
        <v>0</v>
      </c>
      <c r="AD18" s="523"/>
      <c r="AE18" s="524">
        <f t="shared" si="8"/>
        <v>0</v>
      </c>
      <c r="AF18" s="525">
        <f t="shared" si="118"/>
        <v>0</v>
      </c>
      <c r="AG18" s="523"/>
      <c r="AH18" s="524">
        <f t="shared" si="9"/>
        <v>0</v>
      </c>
      <c r="AI18" s="525">
        <f t="shared" si="119"/>
        <v>0</v>
      </c>
      <c r="AJ18" s="523"/>
      <c r="AK18" s="524">
        <f t="shared" si="10"/>
        <v>0</v>
      </c>
      <c r="AL18" s="525">
        <f t="shared" si="120"/>
        <v>0</v>
      </c>
      <c r="AM18" s="523"/>
      <c r="AN18" s="524">
        <f t="shared" si="11"/>
        <v>0</v>
      </c>
      <c r="AO18" s="525">
        <f t="shared" si="121"/>
        <v>0</v>
      </c>
      <c r="AP18" s="523"/>
      <c r="AQ18" s="524">
        <f t="shared" si="12"/>
        <v>0</v>
      </c>
      <c r="AR18" s="525">
        <f t="shared" si="122"/>
        <v>0</v>
      </c>
      <c r="AS18" s="523"/>
      <c r="AT18" s="524">
        <f t="shared" si="13"/>
        <v>0</v>
      </c>
      <c r="AU18" s="525">
        <f t="shared" si="123"/>
        <v>0</v>
      </c>
      <c r="AV18" s="523"/>
      <c r="AW18" s="524">
        <f t="shared" si="14"/>
        <v>0</v>
      </c>
      <c r="AX18" s="525">
        <f t="shared" si="124"/>
        <v>0</v>
      </c>
      <c r="AY18" s="523"/>
      <c r="AZ18" s="524">
        <f t="shared" si="15"/>
        <v>0</v>
      </c>
      <c r="BA18" s="525">
        <f t="shared" si="125"/>
        <v>0</v>
      </c>
      <c r="BB18" s="523"/>
      <c r="BC18" s="524">
        <f t="shared" si="16"/>
        <v>0</v>
      </c>
      <c r="BD18" s="525">
        <f t="shared" si="126"/>
        <v>0</v>
      </c>
      <c r="BE18" s="523"/>
      <c r="BF18" s="524">
        <f t="shared" si="17"/>
        <v>0</v>
      </c>
      <c r="BG18" s="525">
        <f t="shared" si="127"/>
        <v>0</v>
      </c>
      <c r="BH18" s="523"/>
      <c r="BI18" s="524">
        <f t="shared" si="18"/>
        <v>0</v>
      </c>
      <c r="BJ18" s="525">
        <f t="shared" si="128"/>
        <v>0</v>
      </c>
      <c r="BK18" s="523"/>
      <c r="BL18" s="524">
        <f t="shared" si="19"/>
        <v>0</v>
      </c>
      <c r="BM18" s="525">
        <f t="shared" si="129"/>
        <v>0</v>
      </c>
      <c r="BN18" s="523"/>
      <c r="BO18" s="524">
        <f t="shared" si="20"/>
        <v>0</v>
      </c>
      <c r="BP18" s="525">
        <f t="shared" si="130"/>
        <v>0</v>
      </c>
      <c r="BQ18" s="523"/>
      <c r="BR18" s="524">
        <f t="shared" si="21"/>
        <v>0</v>
      </c>
      <c r="BS18" s="525">
        <f t="shared" si="131"/>
        <v>0</v>
      </c>
      <c r="BT18" s="523"/>
      <c r="BU18" s="524">
        <f t="shared" si="22"/>
        <v>0</v>
      </c>
      <c r="BV18" s="525">
        <f t="shared" si="132"/>
        <v>0</v>
      </c>
      <c r="BW18" s="523"/>
      <c r="BX18" s="524">
        <f t="shared" si="23"/>
        <v>0</v>
      </c>
      <c r="BY18" s="525">
        <f t="shared" si="133"/>
        <v>0</v>
      </c>
      <c r="BZ18" s="523"/>
      <c r="CA18" s="524">
        <f t="shared" si="24"/>
        <v>0</v>
      </c>
      <c r="CB18" s="525">
        <f t="shared" si="134"/>
        <v>0</v>
      </c>
      <c r="CC18" s="523"/>
      <c r="CD18" s="524">
        <f t="shared" si="25"/>
        <v>0</v>
      </c>
      <c r="CE18" s="525">
        <f t="shared" si="135"/>
        <v>0</v>
      </c>
      <c r="CF18" s="523">
        <v>3.3000000000000007</v>
      </c>
      <c r="CG18" s="524">
        <f t="shared" si="26"/>
        <v>6.4475792270720186E-2</v>
      </c>
      <c r="CH18" s="525">
        <f t="shared" si="136"/>
        <v>0</v>
      </c>
      <c r="CI18" s="523"/>
      <c r="CJ18" s="524">
        <f t="shared" si="27"/>
        <v>0</v>
      </c>
      <c r="CK18" s="525">
        <f t="shared" si="137"/>
        <v>0</v>
      </c>
      <c r="CL18" s="523"/>
      <c r="CM18" s="524">
        <f t="shared" si="28"/>
        <v>0</v>
      </c>
      <c r="CN18" s="525">
        <f t="shared" si="138"/>
        <v>0</v>
      </c>
      <c r="CO18" s="523"/>
      <c r="CP18" s="524">
        <f t="shared" si="29"/>
        <v>0</v>
      </c>
      <c r="CQ18" s="525">
        <f t="shared" si="139"/>
        <v>0</v>
      </c>
      <c r="CR18" s="523"/>
      <c r="CS18" s="524">
        <f t="shared" si="30"/>
        <v>0</v>
      </c>
      <c r="CT18" s="525">
        <f t="shared" si="140"/>
        <v>0</v>
      </c>
      <c r="CU18" s="523"/>
      <c r="CV18" s="524">
        <f t="shared" si="31"/>
        <v>0</v>
      </c>
      <c r="CW18" s="525">
        <f t="shared" si="141"/>
        <v>0</v>
      </c>
      <c r="CX18" s="523"/>
      <c r="CY18" s="524">
        <f t="shared" si="32"/>
        <v>0</v>
      </c>
      <c r="CZ18" s="525">
        <f t="shared" si="142"/>
        <v>0</v>
      </c>
      <c r="DA18" s="523">
        <v>203.48372093023227</v>
      </c>
      <c r="DB18" s="524">
        <f t="shared" si="33"/>
        <v>3.9756891276275304</v>
      </c>
      <c r="DC18" s="525">
        <f t="shared" si="143"/>
        <v>0</v>
      </c>
      <c r="DD18" s="523"/>
      <c r="DE18" s="524">
        <f t="shared" si="34"/>
        <v>0</v>
      </c>
      <c r="DF18" s="525">
        <f t="shared" si="144"/>
        <v>0</v>
      </c>
      <c r="DG18" s="523"/>
      <c r="DH18" s="524">
        <f t="shared" si="35"/>
        <v>0</v>
      </c>
      <c r="DI18" s="525">
        <f t="shared" si="203"/>
        <v>0</v>
      </c>
      <c r="DJ18" s="523"/>
      <c r="DK18" s="524">
        <f t="shared" si="36"/>
        <v>0</v>
      </c>
      <c r="DL18" s="525">
        <f t="shared" si="145"/>
        <v>0</v>
      </c>
      <c r="DM18" s="523"/>
      <c r="DN18" s="524">
        <f t="shared" si="37"/>
        <v>0</v>
      </c>
      <c r="DO18" s="525">
        <f t="shared" si="146"/>
        <v>0</v>
      </c>
      <c r="DP18" s="523"/>
      <c r="DQ18" s="524">
        <f t="shared" si="38"/>
        <v>0</v>
      </c>
      <c r="DR18" s="525">
        <f t="shared" si="147"/>
        <v>0</v>
      </c>
      <c r="DS18" s="523"/>
      <c r="DT18" s="524">
        <f t="shared" si="39"/>
        <v>0</v>
      </c>
      <c r="DU18" s="525">
        <f t="shared" si="148"/>
        <v>0</v>
      </c>
      <c r="DV18" s="523"/>
      <c r="DW18" s="524">
        <f t="shared" si="40"/>
        <v>0</v>
      </c>
      <c r="DX18" s="525">
        <f t="shared" si="149"/>
        <v>0</v>
      </c>
      <c r="DY18" s="523"/>
      <c r="DZ18" s="524">
        <f t="shared" si="41"/>
        <v>0</v>
      </c>
      <c r="EA18" s="525">
        <f t="shared" si="150"/>
        <v>0</v>
      </c>
      <c r="EB18" s="523"/>
      <c r="EC18" s="524">
        <f t="shared" si="42"/>
        <v>0</v>
      </c>
      <c r="ED18" s="525">
        <f t="shared" si="151"/>
        <v>0</v>
      </c>
      <c r="EE18" s="523">
        <v>246.56176470588241</v>
      </c>
      <c r="EF18" s="524">
        <f t="shared" si="43"/>
        <v>4.8173530675995933</v>
      </c>
      <c r="EG18" s="525">
        <f t="shared" si="152"/>
        <v>0</v>
      </c>
      <c r="EH18" s="523"/>
      <c r="EI18" s="524">
        <f t="shared" si="44"/>
        <v>0</v>
      </c>
      <c r="EJ18" s="525">
        <f t="shared" si="153"/>
        <v>0</v>
      </c>
      <c r="EK18" s="523">
        <v>48.777922195122073</v>
      </c>
      <c r="EL18" s="524">
        <f t="shared" si="45"/>
        <v>0.95302884207577021</v>
      </c>
      <c r="EM18" s="525">
        <f t="shared" si="154"/>
        <v>0</v>
      </c>
      <c r="EN18" s="523">
        <v>69.185453488372218</v>
      </c>
      <c r="EO18" s="524">
        <f t="shared" si="46"/>
        <v>1.3517536143248059</v>
      </c>
      <c r="EP18" s="525">
        <f t="shared" si="155"/>
        <v>0</v>
      </c>
      <c r="EQ18" s="523"/>
      <c r="ER18" s="524">
        <f t="shared" si="47"/>
        <v>0</v>
      </c>
      <c r="ES18" s="525">
        <f t="shared" si="156"/>
        <v>0</v>
      </c>
      <c r="ET18" s="523"/>
      <c r="EU18" s="524">
        <f t="shared" si="48"/>
        <v>0</v>
      </c>
      <c r="EV18" s="525">
        <f t="shared" si="157"/>
        <v>0</v>
      </c>
      <c r="EW18" s="523"/>
      <c r="EX18" s="524">
        <f t="shared" si="49"/>
        <v>0</v>
      </c>
      <c r="EY18" s="525">
        <f t="shared" si="158"/>
        <v>0</v>
      </c>
      <c r="EZ18" s="523"/>
      <c r="FA18" s="524">
        <f t="shared" si="50"/>
        <v>0</v>
      </c>
      <c r="FB18" s="525">
        <f t="shared" si="159"/>
        <v>0</v>
      </c>
      <c r="FC18" s="523"/>
      <c r="FD18" s="524">
        <f t="shared" si="51"/>
        <v>0</v>
      </c>
      <c r="FE18" s="525">
        <f t="shared" si="160"/>
        <v>0</v>
      </c>
      <c r="FF18" s="523"/>
      <c r="FG18" s="524">
        <f t="shared" si="52"/>
        <v>0</v>
      </c>
      <c r="FH18" s="525">
        <f t="shared" si="161"/>
        <v>0</v>
      </c>
      <c r="FI18" s="523"/>
      <c r="FJ18" s="524">
        <f t="shared" si="53"/>
        <v>0</v>
      </c>
      <c r="FK18" s="525">
        <f t="shared" si="162"/>
        <v>0</v>
      </c>
      <c r="FL18" s="523"/>
      <c r="FM18" s="524">
        <f t="shared" si="54"/>
        <v>0</v>
      </c>
      <c r="FN18" s="525">
        <f t="shared" si="163"/>
        <v>0</v>
      </c>
      <c r="FO18" s="523"/>
      <c r="FP18" s="524">
        <f t="shared" si="55"/>
        <v>0</v>
      </c>
      <c r="FQ18" s="525">
        <f t="shared" si="164"/>
        <v>0</v>
      </c>
      <c r="FR18" s="523"/>
      <c r="FS18" s="524">
        <f t="shared" si="56"/>
        <v>0</v>
      </c>
      <c r="FT18" s="525">
        <f t="shared" si="165"/>
        <v>0</v>
      </c>
      <c r="FU18" s="523"/>
      <c r="FV18" s="524">
        <f t="shared" si="57"/>
        <v>0</v>
      </c>
      <c r="FW18" s="525">
        <f t="shared" si="166"/>
        <v>0</v>
      </c>
      <c r="FX18" s="523"/>
      <c r="FY18" s="524">
        <f t="shared" si="58"/>
        <v>0</v>
      </c>
      <c r="FZ18" s="525">
        <f t="shared" si="167"/>
        <v>0</v>
      </c>
      <c r="GA18" s="523">
        <v>7.6334789196898107</v>
      </c>
      <c r="GB18" s="524">
        <f t="shared" si="168"/>
        <v>0.14914381852389141</v>
      </c>
      <c r="GC18" s="525">
        <f t="shared" si="169"/>
        <v>0</v>
      </c>
      <c r="GD18" s="523"/>
      <c r="GE18" s="524">
        <f t="shared" si="59"/>
        <v>0</v>
      </c>
      <c r="GF18" s="525">
        <f t="shared" si="170"/>
        <v>0</v>
      </c>
      <c r="GG18" s="523">
        <v>15.266957839379621</v>
      </c>
      <c r="GH18" s="524">
        <f t="shared" si="171"/>
        <v>0.29828763704778283</v>
      </c>
      <c r="GI18" s="525">
        <f t="shared" si="172"/>
        <v>0</v>
      </c>
      <c r="GJ18" s="523">
        <v>15.266957839379621</v>
      </c>
      <c r="GK18" s="524">
        <f t="shared" si="60"/>
        <v>0.29828763704778283</v>
      </c>
      <c r="GL18" s="525">
        <f t="shared" si="173"/>
        <v>0</v>
      </c>
      <c r="GM18" s="523"/>
      <c r="GN18" s="524">
        <f t="shared" si="61"/>
        <v>0</v>
      </c>
      <c r="GO18" s="525">
        <f t="shared" si="174"/>
        <v>0</v>
      </c>
      <c r="GP18" s="523">
        <v>33.078408651989179</v>
      </c>
      <c r="GQ18" s="524">
        <f t="shared" si="62"/>
        <v>0.64628988027019607</v>
      </c>
      <c r="GR18" s="525">
        <f t="shared" si="175"/>
        <v>0</v>
      </c>
      <c r="GS18" s="523">
        <v>223.91538164423446</v>
      </c>
      <c r="GT18" s="524">
        <f t="shared" si="63"/>
        <v>4.3748853433674819</v>
      </c>
      <c r="GU18" s="525">
        <f t="shared" si="176"/>
        <v>0</v>
      </c>
      <c r="GV18" s="523">
        <v>30.533915678759243</v>
      </c>
      <c r="GW18" s="524">
        <f t="shared" si="64"/>
        <v>0.59657527409556566</v>
      </c>
      <c r="GX18" s="525">
        <f t="shared" si="177"/>
        <v>0</v>
      </c>
      <c r="GY18" s="523"/>
      <c r="GZ18" s="524">
        <f t="shared" si="65"/>
        <v>0</v>
      </c>
      <c r="HA18" s="525">
        <f t="shared" si="178"/>
        <v>0</v>
      </c>
      <c r="HB18" s="523"/>
      <c r="HC18" s="524">
        <f t="shared" si="66"/>
        <v>0</v>
      </c>
      <c r="HD18" s="525">
        <f t="shared" si="179"/>
        <v>0</v>
      </c>
      <c r="HE18" s="523"/>
      <c r="HF18" s="524">
        <f t="shared" si="67"/>
        <v>0</v>
      </c>
      <c r="HG18" s="525">
        <f t="shared" si="180"/>
        <v>0</v>
      </c>
      <c r="HH18" s="523"/>
      <c r="HI18" s="524">
        <f t="shared" si="68"/>
        <v>0</v>
      </c>
      <c r="HJ18" s="525">
        <f t="shared" si="181"/>
        <v>0</v>
      </c>
      <c r="HK18" s="523"/>
      <c r="HL18" s="524">
        <f t="shared" si="69"/>
        <v>0</v>
      </c>
      <c r="HM18" s="525">
        <f t="shared" si="182"/>
        <v>0</v>
      </c>
      <c r="HN18" s="523">
        <v>802.02418516207615</v>
      </c>
      <c r="HO18" s="524">
        <f t="shared" si="70"/>
        <v>15.670043866243525</v>
      </c>
      <c r="HP18" s="525">
        <f t="shared" si="183"/>
        <v>0</v>
      </c>
      <c r="HQ18" s="523"/>
      <c r="HR18" s="524">
        <f t="shared" si="71"/>
        <v>0</v>
      </c>
      <c r="HS18" s="525">
        <f t="shared" si="184"/>
        <v>0</v>
      </c>
      <c r="HT18" s="523"/>
      <c r="HU18" s="524">
        <f t="shared" si="72"/>
        <v>0</v>
      </c>
      <c r="HV18" s="525">
        <f t="shared" si="185"/>
        <v>0</v>
      </c>
      <c r="HW18" s="523"/>
      <c r="HX18" s="524">
        <f t="shared" si="73"/>
        <v>0</v>
      </c>
      <c r="HY18" s="525">
        <f t="shared" si="186"/>
        <v>0</v>
      </c>
      <c r="HZ18" s="523"/>
      <c r="IA18" s="524">
        <f t="shared" si="74"/>
        <v>0</v>
      </c>
      <c r="IB18" s="525">
        <f t="shared" si="200"/>
        <v>0</v>
      </c>
      <c r="IC18" s="523"/>
      <c r="ID18" s="524">
        <f t="shared" si="75"/>
        <v>0</v>
      </c>
      <c r="IE18" s="525">
        <f t="shared" si="187"/>
        <v>0</v>
      </c>
      <c r="IF18" s="523"/>
      <c r="IG18" s="524">
        <f t="shared" si="76"/>
        <v>0</v>
      </c>
      <c r="IH18" s="525">
        <f t="shared" si="188"/>
        <v>0</v>
      </c>
      <c r="II18" s="523">
        <v>20.355943785839496</v>
      </c>
      <c r="IJ18" s="524">
        <f t="shared" si="77"/>
        <v>0.39771684939704377</v>
      </c>
      <c r="IK18" s="525">
        <f t="shared" si="189"/>
        <v>0</v>
      </c>
      <c r="IL18" s="523"/>
      <c r="IM18" s="524">
        <f t="shared" si="78"/>
        <v>0</v>
      </c>
      <c r="IN18" s="525">
        <f t="shared" si="190"/>
        <v>0</v>
      </c>
      <c r="IO18" s="523"/>
      <c r="IP18" s="524">
        <f t="shared" si="79"/>
        <v>0</v>
      </c>
      <c r="IQ18" s="525">
        <f t="shared" si="191"/>
        <v>0</v>
      </c>
      <c r="IR18" s="523">
        <v>50.889859464598743</v>
      </c>
      <c r="IS18" s="524">
        <f t="shared" si="80"/>
        <v>0.99429212349260954</v>
      </c>
      <c r="IT18" s="525">
        <f t="shared" si="192"/>
        <v>0</v>
      </c>
      <c r="IU18" s="523"/>
      <c r="IV18" s="524">
        <f t="shared" si="81"/>
        <v>0</v>
      </c>
      <c r="IW18" s="525">
        <f t="shared" si="193"/>
        <v>0</v>
      </c>
      <c r="IX18" s="523"/>
      <c r="IY18" s="524">
        <f t="shared" si="82"/>
        <v>0</v>
      </c>
      <c r="IZ18" s="525">
        <f t="shared" si="194"/>
        <v>0</v>
      </c>
      <c r="JA18" s="523"/>
      <c r="JB18" s="524">
        <f t="shared" si="83"/>
        <v>0</v>
      </c>
      <c r="JC18" s="525">
        <f t="shared" si="195"/>
        <v>0</v>
      </c>
      <c r="JD18" s="523"/>
      <c r="JE18" s="524">
        <f t="shared" si="84"/>
        <v>0</v>
      </c>
      <c r="JF18" s="525">
        <f t="shared" si="196"/>
        <v>0</v>
      </c>
      <c r="JG18" s="523"/>
      <c r="JH18" s="524">
        <f t="shared" si="85"/>
        <v>0</v>
      </c>
      <c r="JI18" s="525">
        <f t="shared" si="197"/>
        <v>0</v>
      </c>
      <c r="JJ18" s="523">
        <v>20.355943785839496</v>
      </c>
      <c r="JK18" s="524">
        <f t="shared" si="86"/>
        <v>0.39771684939704377</v>
      </c>
      <c r="JL18" s="525" t="str">
        <f t="shared" si="87"/>
        <v>0</v>
      </c>
      <c r="JM18" s="523"/>
      <c r="JN18" s="524">
        <f t="shared" si="88"/>
        <v>0</v>
      </c>
      <c r="JO18" s="525" t="str">
        <f t="shared" si="89"/>
        <v>0</v>
      </c>
      <c r="JP18" s="523"/>
      <c r="JQ18" s="525" t="str">
        <f t="shared" si="90"/>
        <v>0</v>
      </c>
      <c r="JR18" s="525" t="str">
        <f t="shared" si="91"/>
        <v>0</v>
      </c>
      <c r="JS18" s="523"/>
      <c r="JT18" s="525" t="str">
        <f t="shared" si="92"/>
        <v>0</v>
      </c>
      <c r="JU18" s="525" t="str">
        <f t="shared" si="93"/>
        <v>0</v>
      </c>
      <c r="JV18" s="523"/>
      <c r="JW18" s="525" t="str">
        <f t="shared" si="94"/>
        <v>0</v>
      </c>
      <c r="JX18" s="525" t="str">
        <f t="shared" si="95"/>
        <v>0</v>
      </c>
      <c r="JY18" s="523"/>
      <c r="JZ18" s="525" t="str">
        <f t="shared" si="96"/>
        <v>0</v>
      </c>
      <c r="KA18" s="525" t="str">
        <f t="shared" si="97"/>
        <v>0</v>
      </c>
      <c r="KB18" s="523"/>
      <c r="KC18" s="525" t="str">
        <f t="shared" si="98"/>
        <v>0</v>
      </c>
      <c r="KD18" s="525" t="str">
        <f t="shared" si="99"/>
        <v>0</v>
      </c>
      <c r="KE18" s="523"/>
      <c r="KF18" s="525" t="str">
        <f t="shared" si="100"/>
        <v>0</v>
      </c>
      <c r="KG18" s="525" t="str">
        <f t="shared" si="101"/>
        <v>0</v>
      </c>
      <c r="KH18" s="523"/>
      <c r="KI18" s="525" t="str">
        <f t="shared" si="102"/>
        <v>0</v>
      </c>
      <c r="KJ18" s="525" t="str">
        <f t="shared" si="103"/>
        <v>0</v>
      </c>
      <c r="KK18" s="523"/>
      <c r="KL18" s="525" t="str">
        <f t="shared" si="104"/>
        <v>0</v>
      </c>
      <c r="KM18" s="525" t="str">
        <f t="shared" si="105"/>
        <v>0</v>
      </c>
      <c r="KN18" s="523"/>
      <c r="KO18" s="525" t="str">
        <f t="shared" si="106"/>
        <v>0</v>
      </c>
      <c r="KP18" s="525" t="str">
        <f t="shared" si="107"/>
        <v>0</v>
      </c>
      <c r="KQ18" s="523"/>
      <c r="KR18" s="525" t="str">
        <f t="shared" si="108"/>
        <v>0</v>
      </c>
      <c r="KS18" s="525" t="str">
        <f t="shared" si="109"/>
        <v>0</v>
      </c>
      <c r="KT18" s="525">
        <f t="shared" si="201"/>
        <v>0</v>
      </c>
      <c r="KU18" s="525">
        <f t="shared" si="202"/>
        <v>0</v>
      </c>
      <c r="KV18" s="264">
        <f t="shared" si="198"/>
        <v>1798.7561940913949</v>
      </c>
    </row>
    <row r="19" spans="1:309" ht="15" customHeight="1">
      <c r="A19" s="266">
        <f t="shared" si="199"/>
        <v>45972</v>
      </c>
      <c r="B19" s="267" t="str">
        <f>+Report1!B19</f>
        <v>Toilet</v>
      </c>
      <c r="C19" s="267" t="str">
        <f>+Report1!C19</f>
        <v>13,5</v>
      </c>
      <c r="D19" s="268">
        <f>+Report1!P19</f>
        <v>52.558000000000007</v>
      </c>
      <c r="E19" s="269">
        <f>+Report1!R19</f>
        <v>50.652999999999999</v>
      </c>
      <c r="F19" s="523"/>
      <c r="G19" s="524">
        <f t="shared" si="0"/>
        <v>0</v>
      </c>
      <c r="H19" s="525">
        <f t="shared" si="110"/>
        <v>0</v>
      </c>
      <c r="I19" s="523"/>
      <c r="J19" s="524">
        <f t="shared" si="1"/>
        <v>0</v>
      </c>
      <c r="K19" s="525">
        <f t="shared" si="111"/>
        <v>0</v>
      </c>
      <c r="L19" s="523"/>
      <c r="M19" s="524">
        <f t="shared" si="2"/>
        <v>0</v>
      </c>
      <c r="N19" s="525">
        <f t="shared" si="112"/>
        <v>0</v>
      </c>
      <c r="O19" s="523">
        <v>3</v>
      </c>
      <c r="P19" s="524">
        <f t="shared" si="3"/>
        <v>5.9226501885376981E-2</v>
      </c>
      <c r="Q19" s="525">
        <f t="shared" si="113"/>
        <v>0</v>
      </c>
      <c r="R19" s="523"/>
      <c r="S19" s="524">
        <f t="shared" si="4"/>
        <v>0</v>
      </c>
      <c r="T19" s="525">
        <f t="shared" si="114"/>
        <v>0</v>
      </c>
      <c r="U19" s="523">
        <v>5.1250000000000036</v>
      </c>
      <c r="V19" s="524">
        <f t="shared" si="5"/>
        <v>0.10117860738751908</v>
      </c>
      <c r="W19" s="525">
        <f t="shared" si="115"/>
        <v>0</v>
      </c>
      <c r="X19" s="523"/>
      <c r="Y19" s="524">
        <f t="shared" si="6"/>
        <v>0</v>
      </c>
      <c r="Z19" s="525">
        <f t="shared" si="116"/>
        <v>0</v>
      </c>
      <c r="AA19" s="523"/>
      <c r="AB19" s="524">
        <f t="shared" si="7"/>
        <v>0</v>
      </c>
      <c r="AC19" s="525">
        <f t="shared" si="117"/>
        <v>0</v>
      </c>
      <c r="AD19" s="523"/>
      <c r="AE19" s="524">
        <f t="shared" si="8"/>
        <v>0</v>
      </c>
      <c r="AF19" s="525">
        <f t="shared" si="118"/>
        <v>0</v>
      </c>
      <c r="AG19" s="523"/>
      <c r="AH19" s="524">
        <f t="shared" si="9"/>
        <v>0</v>
      </c>
      <c r="AI19" s="525">
        <f t="shared" si="119"/>
        <v>0</v>
      </c>
      <c r="AJ19" s="523"/>
      <c r="AK19" s="524">
        <f t="shared" si="10"/>
        <v>0</v>
      </c>
      <c r="AL19" s="525">
        <f t="shared" si="120"/>
        <v>0</v>
      </c>
      <c r="AM19" s="523"/>
      <c r="AN19" s="524">
        <f t="shared" si="11"/>
        <v>0</v>
      </c>
      <c r="AO19" s="525">
        <f t="shared" si="121"/>
        <v>0</v>
      </c>
      <c r="AP19" s="523"/>
      <c r="AQ19" s="524">
        <f t="shared" si="12"/>
        <v>0</v>
      </c>
      <c r="AR19" s="525">
        <f t="shared" si="122"/>
        <v>0</v>
      </c>
      <c r="AS19" s="523"/>
      <c r="AT19" s="524">
        <f t="shared" si="13"/>
        <v>0</v>
      </c>
      <c r="AU19" s="525">
        <f t="shared" si="123"/>
        <v>0</v>
      </c>
      <c r="AV19" s="523"/>
      <c r="AW19" s="524">
        <f t="shared" si="14"/>
        <v>0</v>
      </c>
      <c r="AX19" s="525">
        <f t="shared" si="124"/>
        <v>0</v>
      </c>
      <c r="AY19" s="523"/>
      <c r="AZ19" s="524">
        <f t="shared" si="15"/>
        <v>0</v>
      </c>
      <c r="BA19" s="525">
        <f t="shared" si="125"/>
        <v>0</v>
      </c>
      <c r="BB19" s="523"/>
      <c r="BC19" s="524">
        <f t="shared" si="16"/>
        <v>0</v>
      </c>
      <c r="BD19" s="525">
        <f t="shared" si="126"/>
        <v>0</v>
      </c>
      <c r="BE19" s="523"/>
      <c r="BF19" s="524">
        <f t="shared" si="17"/>
        <v>0</v>
      </c>
      <c r="BG19" s="525">
        <f t="shared" si="127"/>
        <v>0</v>
      </c>
      <c r="BH19" s="523"/>
      <c r="BI19" s="524">
        <f t="shared" si="18"/>
        <v>0</v>
      </c>
      <c r="BJ19" s="525">
        <f t="shared" si="128"/>
        <v>0</v>
      </c>
      <c r="BK19" s="523"/>
      <c r="BL19" s="524">
        <f t="shared" si="19"/>
        <v>0</v>
      </c>
      <c r="BM19" s="525">
        <f t="shared" si="129"/>
        <v>0</v>
      </c>
      <c r="BN19" s="523"/>
      <c r="BO19" s="524">
        <f t="shared" si="20"/>
        <v>0</v>
      </c>
      <c r="BP19" s="525">
        <f t="shared" si="130"/>
        <v>0</v>
      </c>
      <c r="BQ19" s="523"/>
      <c r="BR19" s="524">
        <f t="shared" si="21"/>
        <v>0</v>
      </c>
      <c r="BS19" s="525">
        <f t="shared" si="131"/>
        <v>0</v>
      </c>
      <c r="BT19" s="523"/>
      <c r="BU19" s="524">
        <f t="shared" si="22"/>
        <v>0</v>
      </c>
      <c r="BV19" s="525">
        <f t="shared" si="132"/>
        <v>0</v>
      </c>
      <c r="BW19" s="523"/>
      <c r="BX19" s="524">
        <f t="shared" si="23"/>
        <v>0</v>
      </c>
      <c r="BY19" s="525">
        <f t="shared" si="133"/>
        <v>0</v>
      </c>
      <c r="BZ19" s="523"/>
      <c r="CA19" s="524">
        <f t="shared" si="24"/>
        <v>0</v>
      </c>
      <c r="CB19" s="525">
        <f t="shared" si="134"/>
        <v>0</v>
      </c>
      <c r="CC19" s="523"/>
      <c r="CD19" s="524">
        <f t="shared" si="25"/>
        <v>0</v>
      </c>
      <c r="CE19" s="525">
        <f t="shared" si="135"/>
        <v>0</v>
      </c>
      <c r="CF19" s="523">
        <v>3.7999999999999972</v>
      </c>
      <c r="CG19" s="524">
        <f t="shared" si="26"/>
        <v>7.5020235721477452E-2</v>
      </c>
      <c r="CH19" s="525">
        <f t="shared" si="136"/>
        <v>0</v>
      </c>
      <c r="CI19" s="523"/>
      <c r="CJ19" s="524">
        <f t="shared" si="27"/>
        <v>0</v>
      </c>
      <c r="CK19" s="525">
        <f t="shared" si="137"/>
        <v>0</v>
      </c>
      <c r="CL19" s="523"/>
      <c r="CM19" s="524">
        <f t="shared" si="28"/>
        <v>0</v>
      </c>
      <c r="CN19" s="525">
        <f t="shared" si="138"/>
        <v>0</v>
      </c>
      <c r="CO19" s="523"/>
      <c r="CP19" s="524">
        <f t="shared" si="29"/>
        <v>0</v>
      </c>
      <c r="CQ19" s="525">
        <f t="shared" si="139"/>
        <v>0</v>
      </c>
      <c r="CR19" s="523"/>
      <c r="CS19" s="524">
        <f t="shared" si="30"/>
        <v>0</v>
      </c>
      <c r="CT19" s="525">
        <f t="shared" si="140"/>
        <v>0</v>
      </c>
      <c r="CU19" s="523"/>
      <c r="CV19" s="524">
        <f t="shared" si="31"/>
        <v>0</v>
      </c>
      <c r="CW19" s="525">
        <f t="shared" si="141"/>
        <v>0</v>
      </c>
      <c r="CX19" s="523"/>
      <c r="CY19" s="524">
        <f t="shared" si="32"/>
        <v>0</v>
      </c>
      <c r="CZ19" s="525">
        <f t="shared" si="142"/>
        <v>0</v>
      </c>
      <c r="DA19" s="523">
        <v>174.41860465116292</v>
      </c>
      <c r="DB19" s="524">
        <f t="shared" si="33"/>
        <v>3.4434012724056409</v>
      </c>
      <c r="DC19" s="525">
        <f t="shared" si="143"/>
        <v>0</v>
      </c>
      <c r="DD19" s="523"/>
      <c r="DE19" s="524">
        <f t="shared" si="34"/>
        <v>0</v>
      </c>
      <c r="DF19" s="525">
        <f t="shared" si="144"/>
        <v>0</v>
      </c>
      <c r="DG19" s="523"/>
      <c r="DH19" s="524">
        <f t="shared" si="35"/>
        <v>0</v>
      </c>
      <c r="DI19" s="525">
        <f t="shared" si="203"/>
        <v>0</v>
      </c>
      <c r="DJ19" s="523"/>
      <c r="DK19" s="524">
        <f t="shared" si="36"/>
        <v>0</v>
      </c>
      <c r="DL19" s="525">
        <f t="shared" si="145"/>
        <v>0</v>
      </c>
      <c r="DM19" s="523"/>
      <c r="DN19" s="524">
        <f t="shared" si="37"/>
        <v>0</v>
      </c>
      <c r="DO19" s="525">
        <f t="shared" si="146"/>
        <v>0</v>
      </c>
      <c r="DP19" s="523"/>
      <c r="DQ19" s="524">
        <f t="shared" si="38"/>
        <v>0</v>
      </c>
      <c r="DR19" s="525">
        <f t="shared" si="147"/>
        <v>0</v>
      </c>
      <c r="DS19" s="523"/>
      <c r="DT19" s="524">
        <f t="shared" si="39"/>
        <v>0</v>
      </c>
      <c r="DU19" s="525">
        <f t="shared" si="148"/>
        <v>0</v>
      </c>
      <c r="DV19" s="523"/>
      <c r="DW19" s="524">
        <f t="shared" si="40"/>
        <v>0</v>
      </c>
      <c r="DX19" s="525">
        <f t="shared" si="149"/>
        <v>0</v>
      </c>
      <c r="DY19" s="523">
        <v>8.6265060240963862</v>
      </c>
      <c r="DZ19" s="524">
        <f t="shared" si="41"/>
        <v>0.17030592510012016</v>
      </c>
      <c r="EA19" s="525">
        <f t="shared" si="150"/>
        <v>0</v>
      </c>
      <c r="EB19" s="523"/>
      <c r="EC19" s="524">
        <f t="shared" si="42"/>
        <v>0</v>
      </c>
      <c r="ED19" s="525">
        <f t="shared" si="151"/>
        <v>0</v>
      </c>
      <c r="EE19" s="523">
        <v>234.82352941176487</v>
      </c>
      <c r="EF19" s="524">
        <f t="shared" si="43"/>
        <v>4.6359254024789225</v>
      </c>
      <c r="EG19" s="525">
        <f t="shared" si="152"/>
        <v>0</v>
      </c>
      <c r="EH19" s="523"/>
      <c r="EI19" s="524">
        <f t="shared" si="44"/>
        <v>0</v>
      </c>
      <c r="EJ19" s="525">
        <f t="shared" si="153"/>
        <v>0</v>
      </c>
      <c r="EK19" s="523">
        <v>36.585365853658686</v>
      </c>
      <c r="EL19" s="524">
        <f t="shared" si="45"/>
        <v>0.72227441323630759</v>
      </c>
      <c r="EM19" s="525">
        <f t="shared" si="154"/>
        <v>0</v>
      </c>
      <c r="EN19" s="523">
        <v>39.534883720930111</v>
      </c>
      <c r="EO19" s="524">
        <f t="shared" si="46"/>
        <v>0.7805042884119423</v>
      </c>
      <c r="EP19" s="525">
        <f t="shared" si="155"/>
        <v>0</v>
      </c>
      <c r="EQ19" s="523"/>
      <c r="ER19" s="524">
        <f t="shared" si="47"/>
        <v>0</v>
      </c>
      <c r="ES19" s="525">
        <f t="shared" si="156"/>
        <v>0</v>
      </c>
      <c r="ET19" s="523"/>
      <c r="EU19" s="524">
        <f t="shared" si="48"/>
        <v>0</v>
      </c>
      <c r="EV19" s="525">
        <f t="shared" si="157"/>
        <v>0</v>
      </c>
      <c r="EW19" s="523"/>
      <c r="EX19" s="524">
        <f t="shared" si="49"/>
        <v>0</v>
      </c>
      <c r="EY19" s="525">
        <f t="shared" si="158"/>
        <v>0</v>
      </c>
      <c r="EZ19" s="523"/>
      <c r="FA19" s="524">
        <f t="shared" si="50"/>
        <v>0</v>
      </c>
      <c r="FB19" s="525">
        <f t="shared" si="159"/>
        <v>0</v>
      </c>
      <c r="FC19" s="523"/>
      <c r="FD19" s="524">
        <f t="shared" si="51"/>
        <v>0</v>
      </c>
      <c r="FE19" s="525">
        <f t="shared" si="160"/>
        <v>0</v>
      </c>
      <c r="FF19" s="523"/>
      <c r="FG19" s="524">
        <f t="shared" si="52"/>
        <v>0</v>
      </c>
      <c r="FH19" s="525">
        <f t="shared" si="161"/>
        <v>0</v>
      </c>
      <c r="FI19" s="523"/>
      <c r="FJ19" s="524">
        <f t="shared" si="53"/>
        <v>0</v>
      </c>
      <c r="FK19" s="525">
        <f t="shared" si="162"/>
        <v>0</v>
      </c>
      <c r="FL19" s="523"/>
      <c r="FM19" s="524">
        <f t="shared" si="54"/>
        <v>0</v>
      </c>
      <c r="FN19" s="525">
        <f t="shared" si="163"/>
        <v>0</v>
      </c>
      <c r="FO19" s="523"/>
      <c r="FP19" s="524">
        <f t="shared" si="55"/>
        <v>0</v>
      </c>
      <c r="FQ19" s="525">
        <f t="shared" si="164"/>
        <v>0</v>
      </c>
      <c r="FR19" s="523"/>
      <c r="FS19" s="524">
        <f t="shared" si="56"/>
        <v>0</v>
      </c>
      <c r="FT19" s="525">
        <f t="shared" si="165"/>
        <v>0</v>
      </c>
      <c r="FU19" s="523"/>
      <c r="FV19" s="524">
        <f t="shared" si="57"/>
        <v>0</v>
      </c>
      <c r="FW19" s="525">
        <f t="shared" si="166"/>
        <v>0</v>
      </c>
      <c r="FX19" s="523"/>
      <c r="FY19" s="524">
        <f t="shared" si="58"/>
        <v>0</v>
      </c>
      <c r="FZ19" s="525">
        <f t="shared" si="167"/>
        <v>0</v>
      </c>
      <c r="GA19" s="523">
        <v>12.9735680644556</v>
      </c>
      <c r="GB19" s="524">
        <f t="shared" si="168"/>
        <v>0.25612635114318205</v>
      </c>
      <c r="GC19" s="525">
        <f t="shared" si="169"/>
        <v>0</v>
      </c>
      <c r="GD19" s="523"/>
      <c r="GE19" s="524">
        <f t="shared" si="59"/>
        <v>0</v>
      </c>
      <c r="GF19" s="525">
        <f t="shared" si="170"/>
        <v>0</v>
      </c>
      <c r="GG19" s="523">
        <v>15.568281677346734</v>
      </c>
      <c r="GH19" s="524">
        <f t="shared" si="171"/>
        <v>0.30735162137181876</v>
      </c>
      <c r="GI19" s="525">
        <f t="shared" si="172"/>
        <v>0</v>
      </c>
      <c r="GJ19" s="523">
        <v>15.568281677346734</v>
      </c>
      <c r="GK19" s="524">
        <f t="shared" si="60"/>
        <v>0.30735162137181876</v>
      </c>
      <c r="GL19" s="525">
        <f t="shared" si="173"/>
        <v>0</v>
      </c>
      <c r="GM19" s="523"/>
      <c r="GN19" s="524">
        <f t="shared" si="61"/>
        <v>0</v>
      </c>
      <c r="GO19" s="525">
        <f t="shared" si="174"/>
        <v>0</v>
      </c>
      <c r="GP19" s="523">
        <v>33.731276967584591</v>
      </c>
      <c r="GQ19" s="524">
        <f t="shared" si="62"/>
        <v>0.66592851297227396</v>
      </c>
      <c r="GR19" s="525">
        <f t="shared" si="175"/>
        <v>0</v>
      </c>
      <c r="GS19" s="523">
        <v>207.5770890312898</v>
      </c>
      <c r="GT19" s="524">
        <f t="shared" si="63"/>
        <v>4.0980216182909164</v>
      </c>
      <c r="GU19" s="525">
        <f t="shared" si="176"/>
        <v>0</v>
      </c>
      <c r="GV19" s="523">
        <v>25.947136128911225</v>
      </c>
      <c r="GW19" s="524">
        <f t="shared" si="64"/>
        <v>0.51225270228636455</v>
      </c>
      <c r="GX19" s="525">
        <f t="shared" si="177"/>
        <v>0</v>
      </c>
      <c r="GY19" s="523"/>
      <c r="GZ19" s="524">
        <f t="shared" si="65"/>
        <v>0</v>
      </c>
      <c r="HA19" s="525">
        <f t="shared" si="178"/>
        <v>0</v>
      </c>
      <c r="HB19" s="523"/>
      <c r="HC19" s="524">
        <f t="shared" si="66"/>
        <v>0</v>
      </c>
      <c r="HD19" s="525">
        <f t="shared" si="179"/>
        <v>0</v>
      </c>
      <c r="HE19" s="523"/>
      <c r="HF19" s="524">
        <f t="shared" si="67"/>
        <v>0</v>
      </c>
      <c r="HG19" s="525">
        <f t="shared" si="180"/>
        <v>0</v>
      </c>
      <c r="HH19" s="523"/>
      <c r="HI19" s="524">
        <f t="shared" si="68"/>
        <v>0</v>
      </c>
      <c r="HJ19" s="525">
        <f t="shared" si="181"/>
        <v>0</v>
      </c>
      <c r="HK19" s="523"/>
      <c r="HL19" s="524">
        <f t="shared" si="69"/>
        <v>0</v>
      </c>
      <c r="HM19" s="525">
        <f t="shared" si="182"/>
        <v>0</v>
      </c>
      <c r="HN19" s="523">
        <v>859.88809131211804</v>
      </c>
      <c r="HO19" s="524">
        <f t="shared" si="70"/>
        <v>16.976054553770123</v>
      </c>
      <c r="HP19" s="525">
        <f t="shared" si="183"/>
        <v>0</v>
      </c>
      <c r="HQ19" s="523"/>
      <c r="HR19" s="524">
        <f t="shared" si="71"/>
        <v>0</v>
      </c>
      <c r="HS19" s="525">
        <f t="shared" si="184"/>
        <v>0</v>
      </c>
      <c r="HT19" s="523"/>
      <c r="HU19" s="524">
        <f t="shared" si="72"/>
        <v>0</v>
      </c>
      <c r="HV19" s="525">
        <f t="shared" si="185"/>
        <v>0</v>
      </c>
      <c r="HW19" s="523"/>
      <c r="HX19" s="524">
        <f t="shared" si="73"/>
        <v>0</v>
      </c>
      <c r="HY19" s="525">
        <f t="shared" si="186"/>
        <v>0</v>
      </c>
      <c r="HZ19" s="523"/>
      <c r="IA19" s="524">
        <f t="shared" si="74"/>
        <v>0</v>
      </c>
      <c r="IB19" s="525">
        <f t="shared" si="200"/>
        <v>0</v>
      </c>
      <c r="IC19" s="523"/>
      <c r="ID19" s="524">
        <f t="shared" si="75"/>
        <v>0</v>
      </c>
      <c r="IE19" s="525">
        <f t="shared" si="187"/>
        <v>0</v>
      </c>
      <c r="IF19" s="523"/>
      <c r="IG19" s="524">
        <f t="shared" si="76"/>
        <v>0</v>
      </c>
      <c r="IH19" s="525">
        <f t="shared" si="188"/>
        <v>0</v>
      </c>
      <c r="II19" s="523">
        <v>20.757708903128979</v>
      </c>
      <c r="IJ19" s="524">
        <f t="shared" si="77"/>
        <v>0.40980216182909163</v>
      </c>
      <c r="IK19" s="525">
        <f t="shared" si="189"/>
        <v>0</v>
      </c>
      <c r="IL19" s="523"/>
      <c r="IM19" s="524">
        <f t="shared" si="78"/>
        <v>0</v>
      </c>
      <c r="IN19" s="525">
        <f t="shared" si="190"/>
        <v>0</v>
      </c>
      <c r="IO19" s="523"/>
      <c r="IP19" s="524">
        <f t="shared" si="79"/>
        <v>0</v>
      </c>
      <c r="IQ19" s="525">
        <f t="shared" si="191"/>
        <v>0</v>
      </c>
      <c r="IR19" s="523">
        <v>51.89427225782245</v>
      </c>
      <c r="IS19" s="524">
        <f t="shared" si="80"/>
        <v>1.0245054045727291</v>
      </c>
      <c r="IT19" s="525">
        <f t="shared" si="192"/>
        <v>0</v>
      </c>
      <c r="IU19" s="523"/>
      <c r="IV19" s="524">
        <f t="shared" si="81"/>
        <v>0</v>
      </c>
      <c r="IW19" s="525">
        <f t="shared" si="193"/>
        <v>0</v>
      </c>
      <c r="IX19" s="523"/>
      <c r="IY19" s="524">
        <f t="shared" si="82"/>
        <v>0</v>
      </c>
      <c r="IZ19" s="525">
        <f t="shared" si="194"/>
        <v>0</v>
      </c>
      <c r="JA19" s="523"/>
      <c r="JB19" s="524">
        <f t="shared" si="83"/>
        <v>0</v>
      </c>
      <c r="JC19" s="525">
        <f t="shared" si="195"/>
        <v>0</v>
      </c>
      <c r="JD19" s="523"/>
      <c r="JE19" s="524">
        <f t="shared" si="84"/>
        <v>0</v>
      </c>
      <c r="JF19" s="525">
        <f t="shared" si="196"/>
        <v>0</v>
      </c>
      <c r="JG19" s="523"/>
      <c r="JH19" s="524">
        <f t="shared" si="85"/>
        <v>0</v>
      </c>
      <c r="JI19" s="525">
        <f t="shared" si="197"/>
        <v>0</v>
      </c>
      <c r="JJ19" s="523">
        <v>25.947136128911225</v>
      </c>
      <c r="JK19" s="524">
        <f t="shared" si="86"/>
        <v>0.51225270228636455</v>
      </c>
      <c r="JL19" s="525" t="str">
        <f t="shared" si="87"/>
        <v>0</v>
      </c>
      <c r="JM19" s="523"/>
      <c r="JN19" s="524">
        <f t="shared" si="88"/>
        <v>0</v>
      </c>
      <c r="JO19" s="525" t="str">
        <f t="shared" si="89"/>
        <v>0</v>
      </c>
      <c r="JP19" s="523"/>
      <c r="JQ19" s="525" t="str">
        <f t="shared" si="90"/>
        <v>0</v>
      </c>
      <c r="JR19" s="525" t="str">
        <f t="shared" si="91"/>
        <v>0</v>
      </c>
      <c r="JS19" s="523"/>
      <c r="JT19" s="525" t="str">
        <f t="shared" si="92"/>
        <v>0</v>
      </c>
      <c r="JU19" s="525" t="str">
        <f t="shared" si="93"/>
        <v>0</v>
      </c>
      <c r="JV19" s="523"/>
      <c r="JW19" s="525" t="str">
        <f t="shared" si="94"/>
        <v>0</v>
      </c>
      <c r="JX19" s="525" t="str">
        <f t="shared" si="95"/>
        <v>0</v>
      </c>
      <c r="JY19" s="523"/>
      <c r="JZ19" s="525" t="str">
        <f t="shared" si="96"/>
        <v>0</v>
      </c>
      <c r="KA19" s="525" t="str">
        <f t="shared" si="97"/>
        <v>0</v>
      </c>
      <c r="KB19" s="523"/>
      <c r="KC19" s="525" t="str">
        <f t="shared" si="98"/>
        <v>0</v>
      </c>
      <c r="KD19" s="525" t="str">
        <f t="shared" si="99"/>
        <v>0</v>
      </c>
      <c r="KE19" s="523"/>
      <c r="KF19" s="525" t="str">
        <f t="shared" si="100"/>
        <v>0</v>
      </c>
      <c r="KG19" s="525" t="str">
        <f t="shared" si="101"/>
        <v>0</v>
      </c>
      <c r="KH19" s="523"/>
      <c r="KI19" s="525" t="str">
        <f t="shared" si="102"/>
        <v>0</v>
      </c>
      <c r="KJ19" s="525" t="str">
        <f t="shared" si="103"/>
        <v>0</v>
      </c>
      <c r="KK19" s="523"/>
      <c r="KL19" s="525" t="str">
        <f t="shared" si="104"/>
        <v>0</v>
      </c>
      <c r="KM19" s="525" t="str">
        <f t="shared" si="105"/>
        <v>0</v>
      </c>
      <c r="KN19" s="523"/>
      <c r="KO19" s="525" t="str">
        <f t="shared" si="106"/>
        <v>0</v>
      </c>
      <c r="KP19" s="525" t="str">
        <f t="shared" si="107"/>
        <v>0</v>
      </c>
      <c r="KQ19" s="523"/>
      <c r="KR19" s="525" t="str">
        <f t="shared" si="108"/>
        <v>0</v>
      </c>
      <c r="KS19" s="525" t="str">
        <f t="shared" si="109"/>
        <v>0</v>
      </c>
      <c r="KT19" s="525">
        <f t="shared" si="201"/>
        <v>0</v>
      </c>
      <c r="KU19" s="525">
        <f t="shared" si="202"/>
        <v>0</v>
      </c>
      <c r="KV19" s="264">
        <f t="shared" si="198"/>
        <v>1775.7667318105284</v>
      </c>
    </row>
    <row r="20" spans="1:309" ht="15" customHeight="1">
      <c r="A20" s="266">
        <f t="shared" si="199"/>
        <v>45973</v>
      </c>
      <c r="B20" s="267" t="str">
        <f>+Report1!B20</f>
        <v>Toilet</v>
      </c>
      <c r="C20" s="267" t="str">
        <f>+Report1!C20</f>
        <v>13,5</v>
      </c>
      <c r="D20" s="268">
        <f>+Report1!P20</f>
        <v>50.789000000000001</v>
      </c>
      <c r="E20" s="269">
        <f>+Report1!R20</f>
        <v>49.13</v>
      </c>
      <c r="F20" s="523"/>
      <c r="G20" s="524">
        <f t="shared" si="0"/>
        <v>0</v>
      </c>
      <c r="H20" s="525">
        <f t="shared" si="110"/>
        <v>0</v>
      </c>
      <c r="I20" s="523"/>
      <c r="J20" s="524">
        <f t="shared" si="1"/>
        <v>0</v>
      </c>
      <c r="K20" s="525">
        <f t="shared" si="111"/>
        <v>0</v>
      </c>
      <c r="L20" s="523"/>
      <c r="M20" s="524">
        <f t="shared" si="2"/>
        <v>0</v>
      </c>
      <c r="N20" s="525">
        <f t="shared" si="112"/>
        <v>0</v>
      </c>
      <c r="O20" s="523">
        <v>3</v>
      </c>
      <c r="P20" s="524">
        <f t="shared" si="3"/>
        <v>6.1062487278648478E-2</v>
      </c>
      <c r="Q20" s="525">
        <f t="shared" si="113"/>
        <v>0</v>
      </c>
      <c r="R20" s="523"/>
      <c r="S20" s="524">
        <f t="shared" si="4"/>
        <v>0</v>
      </c>
      <c r="T20" s="525">
        <f t="shared" si="114"/>
        <v>0</v>
      </c>
      <c r="U20" s="523">
        <v>5.125</v>
      </c>
      <c r="V20" s="524">
        <f t="shared" si="5"/>
        <v>0.10431508243435782</v>
      </c>
      <c r="W20" s="525">
        <f t="shared" si="115"/>
        <v>0</v>
      </c>
      <c r="X20" s="523"/>
      <c r="Y20" s="524">
        <f t="shared" si="6"/>
        <v>0</v>
      </c>
      <c r="Z20" s="525">
        <f t="shared" si="116"/>
        <v>0</v>
      </c>
      <c r="AA20" s="523"/>
      <c r="AB20" s="524">
        <f t="shared" si="7"/>
        <v>0</v>
      </c>
      <c r="AC20" s="525">
        <f t="shared" si="117"/>
        <v>0</v>
      </c>
      <c r="AD20" s="523"/>
      <c r="AE20" s="524">
        <f t="shared" si="8"/>
        <v>0</v>
      </c>
      <c r="AF20" s="525">
        <f t="shared" si="118"/>
        <v>0</v>
      </c>
      <c r="AG20" s="523"/>
      <c r="AH20" s="524">
        <f t="shared" si="9"/>
        <v>0</v>
      </c>
      <c r="AI20" s="525">
        <f t="shared" si="119"/>
        <v>0</v>
      </c>
      <c r="AJ20" s="523"/>
      <c r="AK20" s="524">
        <f t="shared" si="10"/>
        <v>0</v>
      </c>
      <c r="AL20" s="525">
        <f t="shared" si="120"/>
        <v>0</v>
      </c>
      <c r="AM20" s="523"/>
      <c r="AN20" s="524">
        <f t="shared" si="11"/>
        <v>0</v>
      </c>
      <c r="AO20" s="525">
        <f t="shared" si="121"/>
        <v>0</v>
      </c>
      <c r="AP20" s="523"/>
      <c r="AQ20" s="524">
        <f t="shared" si="12"/>
        <v>0</v>
      </c>
      <c r="AR20" s="525">
        <f t="shared" si="122"/>
        <v>0</v>
      </c>
      <c r="AS20" s="523"/>
      <c r="AT20" s="524">
        <f t="shared" si="13"/>
        <v>0</v>
      </c>
      <c r="AU20" s="525">
        <f t="shared" si="123"/>
        <v>0</v>
      </c>
      <c r="AV20" s="523"/>
      <c r="AW20" s="524">
        <f t="shared" si="14"/>
        <v>0</v>
      </c>
      <c r="AX20" s="525">
        <f t="shared" si="124"/>
        <v>0</v>
      </c>
      <c r="AY20" s="523"/>
      <c r="AZ20" s="524">
        <f t="shared" si="15"/>
        <v>0</v>
      </c>
      <c r="BA20" s="525">
        <f t="shared" si="125"/>
        <v>0</v>
      </c>
      <c r="BB20" s="523"/>
      <c r="BC20" s="524">
        <f t="shared" si="16"/>
        <v>0</v>
      </c>
      <c r="BD20" s="525">
        <f t="shared" si="126"/>
        <v>0</v>
      </c>
      <c r="BE20" s="523"/>
      <c r="BF20" s="524">
        <f t="shared" si="17"/>
        <v>0</v>
      </c>
      <c r="BG20" s="525">
        <f t="shared" si="127"/>
        <v>0</v>
      </c>
      <c r="BH20" s="523"/>
      <c r="BI20" s="524">
        <f t="shared" si="18"/>
        <v>0</v>
      </c>
      <c r="BJ20" s="525">
        <f t="shared" si="128"/>
        <v>0</v>
      </c>
      <c r="BK20" s="523"/>
      <c r="BL20" s="524">
        <f t="shared" si="19"/>
        <v>0</v>
      </c>
      <c r="BM20" s="525">
        <f t="shared" si="129"/>
        <v>0</v>
      </c>
      <c r="BN20" s="523"/>
      <c r="BO20" s="524">
        <f t="shared" si="20"/>
        <v>0</v>
      </c>
      <c r="BP20" s="525">
        <f t="shared" si="130"/>
        <v>0</v>
      </c>
      <c r="BQ20" s="523"/>
      <c r="BR20" s="524">
        <f t="shared" si="21"/>
        <v>0</v>
      </c>
      <c r="BS20" s="525">
        <f t="shared" si="131"/>
        <v>0</v>
      </c>
      <c r="BT20" s="523"/>
      <c r="BU20" s="524">
        <f t="shared" si="22"/>
        <v>0</v>
      </c>
      <c r="BV20" s="525">
        <f t="shared" si="132"/>
        <v>0</v>
      </c>
      <c r="BW20" s="523"/>
      <c r="BX20" s="524">
        <f t="shared" si="23"/>
        <v>0</v>
      </c>
      <c r="BY20" s="525">
        <f t="shared" si="133"/>
        <v>0</v>
      </c>
      <c r="BZ20" s="523"/>
      <c r="CA20" s="524">
        <f t="shared" si="24"/>
        <v>0</v>
      </c>
      <c r="CB20" s="525">
        <f t="shared" si="134"/>
        <v>0</v>
      </c>
      <c r="CC20" s="523"/>
      <c r="CD20" s="524">
        <f t="shared" si="25"/>
        <v>0</v>
      </c>
      <c r="CE20" s="525">
        <f t="shared" si="135"/>
        <v>0</v>
      </c>
      <c r="CF20" s="523">
        <v>3.7999999999999972</v>
      </c>
      <c r="CG20" s="524">
        <f t="shared" si="26"/>
        <v>7.7345817219621346E-2</v>
      </c>
      <c r="CH20" s="525">
        <f t="shared" si="136"/>
        <v>0</v>
      </c>
      <c r="CI20" s="523"/>
      <c r="CJ20" s="524">
        <f t="shared" si="27"/>
        <v>0</v>
      </c>
      <c r="CK20" s="525">
        <f t="shared" si="137"/>
        <v>0</v>
      </c>
      <c r="CL20" s="523"/>
      <c r="CM20" s="524">
        <f t="shared" si="28"/>
        <v>0</v>
      </c>
      <c r="CN20" s="525">
        <f t="shared" si="138"/>
        <v>0</v>
      </c>
      <c r="CO20" s="523"/>
      <c r="CP20" s="524">
        <f t="shared" si="29"/>
        <v>0</v>
      </c>
      <c r="CQ20" s="525">
        <f t="shared" si="139"/>
        <v>0</v>
      </c>
      <c r="CR20" s="523"/>
      <c r="CS20" s="524">
        <f t="shared" si="30"/>
        <v>0</v>
      </c>
      <c r="CT20" s="525">
        <f t="shared" si="140"/>
        <v>0</v>
      </c>
      <c r="CU20" s="523"/>
      <c r="CV20" s="524">
        <f t="shared" si="31"/>
        <v>0</v>
      </c>
      <c r="CW20" s="525">
        <f t="shared" si="141"/>
        <v>0</v>
      </c>
      <c r="CX20" s="523"/>
      <c r="CY20" s="524">
        <f t="shared" si="32"/>
        <v>0</v>
      </c>
      <c r="CZ20" s="525">
        <f t="shared" si="142"/>
        <v>0</v>
      </c>
      <c r="DA20" s="523">
        <v>188.95348837209303</v>
      </c>
      <c r="DB20" s="524">
        <f t="shared" si="33"/>
        <v>3.8459899933257282</v>
      </c>
      <c r="DC20" s="525">
        <f t="shared" si="143"/>
        <v>0</v>
      </c>
      <c r="DD20" s="523"/>
      <c r="DE20" s="524">
        <f t="shared" si="34"/>
        <v>0</v>
      </c>
      <c r="DF20" s="525">
        <f t="shared" si="144"/>
        <v>0</v>
      </c>
      <c r="DG20" s="523"/>
      <c r="DH20" s="524">
        <f t="shared" si="35"/>
        <v>0</v>
      </c>
      <c r="DI20" s="525">
        <f t="shared" si="203"/>
        <v>0</v>
      </c>
      <c r="DJ20" s="523"/>
      <c r="DK20" s="524">
        <f t="shared" si="36"/>
        <v>0</v>
      </c>
      <c r="DL20" s="525">
        <f t="shared" si="145"/>
        <v>0</v>
      </c>
      <c r="DM20" s="523"/>
      <c r="DN20" s="524">
        <f t="shared" si="37"/>
        <v>0</v>
      </c>
      <c r="DO20" s="525">
        <f t="shared" si="146"/>
        <v>0</v>
      </c>
      <c r="DP20" s="523"/>
      <c r="DQ20" s="524">
        <f t="shared" si="38"/>
        <v>0</v>
      </c>
      <c r="DR20" s="525">
        <f t="shared" si="147"/>
        <v>0</v>
      </c>
      <c r="DS20" s="523"/>
      <c r="DT20" s="524">
        <f t="shared" si="39"/>
        <v>0</v>
      </c>
      <c r="DU20" s="525">
        <f t="shared" si="148"/>
        <v>0</v>
      </c>
      <c r="DV20" s="523"/>
      <c r="DW20" s="524">
        <f t="shared" si="40"/>
        <v>0</v>
      </c>
      <c r="DX20" s="525">
        <f t="shared" si="149"/>
        <v>0</v>
      </c>
      <c r="DY20" s="523"/>
      <c r="DZ20" s="524">
        <f t="shared" si="41"/>
        <v>0</v>
      </c>
      <c r="EA20" s="525">
        <f t="shared" si="150"/>
        <v>0</v>
      </c>
      <c r="EB20" s="523"/>
      <c r="EC20" s="524">
        <f t="shared" si="42"/>
        <v>0</v>
      </c>
      <c r="ED20" s="525">
        <f t="shared" si="151"/>
        <v>0</v>
      </c>
      <c r="EE20" s="523">
        <v>234.82352941176464</v>
      </c>
      <c r="EF20" s="524">
        <f t="shared" si="43"/>
        <v>4.7796362591444055</v>
      </c>
      <c r="EG20" s="525">
        <f t="shared" si="152"/>
        <v>0</v>
      </c>
      <c r="EH20" s="523"/>
      <c r="EI20" s="524">
        <f t="shared" si="44"/>
        <v>0</v>
      </c>
      <c r="EJ20" s="525">
        <f t="shared" si="153"/>
        <v>0</v>
      </c>
      <c r="EK20" s="523">
        <v>36.585365853658459</v>
      </c>
      <c r="EL20" s="524">
        <f t="shared" si="45"/>
        <v>0.74466447900790667</v>
      </c>
      <c r="EM20" s="525">
        <f t="shared" si="154"/>
        <v>0</v>
      </c>
      <c r="EN20" s="523">
        <v>49.418604651162809</v>
      </c>
      <c r="EO20" s="524">
        <f t="shared" si="46"/>
        <v>1.0058743059467292</v>
      </c>
      <c r="EP20" s="525">
        <f t="shared" si="155"/>
        <v>0</v>
      </c>
      <c r="EQ20" s="523"/>
      <c r="ER20" s="524">
        <f t="shared" si="47"/>
        <v>0</v>
      </c>
      <c r="ES20" s="525">
        <f t="shared" si="156"/>
        <v>0</v>
      </c>
      <c r="ET20" s="523"/>
      <c r="EU20" s="524">
        <f t="shared" si="48"/>
        <v>0</v>
      </c>
      <c r="EV20" s="525">
        <f t="shared" si="157"/>
        <v>0</v>
      </c>
      <c r="EW20" s="523"/>
      <c r="EX20" s="524">
        <f t="shared" si="49"/>
        <v>0</v>
      </c>
      <c r="EY20" s="525">
        <f t="shared" si="158"/>
        <v>0</v>
      </c>
      <c r="EZ20" s="523"/>
      <c r="FA20" s="524">
        <f t="shared" si="50"/>
        <v>0</v>
      </c>
      <c r="FB20" s="525">
        <f t="shared" si="159"/>
        <v>0</v>
      </c>
      <c r="FC20" s="523"/>
      <c r="FD20" s="524">
        <f t="shared" si="51"/>
        <v>0</v>
      </c>
      <c r="FE20" s="525">
        <f t="shared" si="160"/>
        <v>0</v>
      </c>
      <c r="FF20" s="523"/>
      <c r="FG20" s="524">
        <f t="shared" si="52"/>
        <v>0</v>
      </c>
      <c r="FH20" s="525">
        <f t="shared" si="161"/>
        <v>0</v>
      </c>
      <c r="FI20" s="523"/>
      <c r="FJ20" s="524">
        <f t="shared" si="53"/>
        <v>0</v>
      </c>
      <c r="FK20" s="525">
        <f t="shared" si="162"/>
        <v>0</v>
      </c>
      <c r="FL20" s="523"/>
      <c r="FM20" s="524">
        <f t="shared" si="54"/>
        <v>0</v>
      </c>
      <c r="FN20" s="525">
        <f t="shared" si="163"/>
        <v>0</v>
      </c>
      <c r="FO20" s="523"/>
      <c r="FP20" s="524">
        <f t="shared" si="55"/>
        <v>0</v>
      </c>
      <c r="FQ20" s="525">
        <f t="shared" si="164"/>
        <v>0</v>
      </c>
      <c r="FR20" s="523"/>
      <c r="FS20" s="524">
        <f t="shared" si="56"/>
        <v>0</v>
      </c>
      <c r="FT20" s="525">
        <f t="shared" si="165"/>
        <v>0</v>
      </c>
      <c r="FU20" s="523"/>
      <c r="FV20" s="524">
        <f t="shared" si="57"/>
        <v>0</v>
      </c>
      <c r="FW20" s="525">
        <f t="shared" si="166"/>
        <v>0</v>
      </c>
      <c r="FX20" s="523"/>
      <c r="FY20" s="524">
        <f t="shared" si="58"/>
        <v>0</v>
      </c>
      <c r="FZ20" s="525">
        <f t="shared" si="167"/>
        <v>0</v>
      </c>
      <c r="GA20" s="523">
        <v>7.201185333623207</v>
      </c>
      <c r="GB20" s="524">
        <f t="shared" si="168"/>
        <v>0.14657409594185236</v>
      </c>
      <c r="GC20" s="525">
        <f t="shared" si="169"/>
        <v>0</v>
      </c>
      <c r="GD20" s="523"/>
      <c r="GE20" s="524">
        <f t="shared" si="59"/>
        <v>0</v>
      </c>
      <c r="GF20" s="525">
        <f t="shared" si="170"/>
        <v>0</v>
      </c>
      <c r="GG20" s="523">
        <v>14.402370667246414</v>
      </c>
      <c r="GH20" s="524">
        <f t="shared" si="171"/>
        <v>0.29314819188370472</v>
      </c>
      <c r="GI20" s="525">
        <f t="shared" si="172"/>
        <v>0</v>
      </c>
      <c r="GJ20" s="523">
        <v>14.402370667246414</v>
      </c>
      <c r="GK20" s="524">
        <f t="shared" si="60"/>
        <v>0.29314819188370472</v>
      </c>
      <c r="GL20" s="525">
        <f t="shared" si="173"/>
        <v>0</v>
      </c>
      <c r="GM20" s="523"/>
      <c r="GN20" s="524">
        <f t="shared" si="61"/>
        <v>0</v>
      </c>
      <c r="GO20" s="525">
        <f t="shared" si="174"/>
        <v>0</v>
      </c>
      <c r="GP20" s="523">
        <v>31.205136445700564</v>
      </c>
      <c r="GQ20" s="524">
        <f t="shared" si="62"/>
        <v>0.63515441574802689</v>
      </c>
      <c r="GR20" s="525">
        <f t="shared" si="175"/>
        <v>0</v>
      </c>
      <c r="GS20" s="523">
        <v>216.03556000869622</v>
      </c>
      <c r="GT20" s="524">
        <f t="shared" si="63"/>
        <v>4.3972228782555716</v>
      </c>
      <c r="GU20" s="525">
        <f t="shared" si="176"/>
        <v>0</v>
      </c>
      <c r="GV20" s="523">
        <v>21.60355600086962</v>
      </c>
      <c r="GW20" s="524">
        <f t="shared" si="64"/>
        <v>0.43972228782555706</v>
      </c>
      <c r="GX20" s="525">
        <f t="shared" si="177"/>
        <v>0</v>
      </c>
      <c r="GY20" s="523"/>
      <c r="GZ20" s="524">
        <f t="shared" si="65"/>
        <v>0</v>
      </c>
      <c r="HA20" s="525">
        <f t="shared" si="178"/>
        <v>0</v>
      </c>
      <c r="HB20" s="523"/>
      <c r="HC20" s="524">
        <f t="shared" si="66"/>
        <v>0</v>
      </c>
      <c r="HD20" s="525">
        <f t="shared" si="179"/>
        <v>0</v>
      </c>
      <c r="HE20" s="523"/>
      <c r="HF20" s="524">
        <f t="shared" si="67"/>
        <v>0</v>
      </c>
      <c r="HG20" s="525">
        <f t="shared" si="180"/>
        <v>0</v>
      </c>
      <c r="HH20" s="523"/>
      <c r="HI20" s="524">
        <f t="shared" si="68"/>
        <v>0</v>
      </c>
      <c r="HJ20" s="525">
        <f t="shared" si="181"/>
        <v>0</v>
      </c>
      <c r="HK20" s="523"/>
      <c r="HL20" s="524">
        <f t="shared" si="69"/>
        <v>0</v>
      </c>
      <c r="HM20" s="525">
        <f t="shared" si="182"/>
        <v>0</v>
      </c>
      <c r="HN20" s="523">
        <v>870.86334634616651</v>
      </c>
      <c r="HO20" s="524">
        <f t="shared" si="70"/>
        <v>17.725694002568012</v>
      </c>
      <c r="HP20" s="525">
        <f t="shared" si="183"/>
        <v>0</v>
      </c>
      <c r="HQ20" s="523"/>
      <c r="HR20" s="524">
        <f t="shared" si="71"/>
        <v>0</v>
      </c>
      <c r="HS20" s="525">
        <f t="shared" si="184"/>
        <v>0</v>
      </c>
      <c r="HT20" s="523"/>
      <c r="HU20" s="524">
        <f t="shared" si="72"/>
        <v>0</v>
      </c>
      <c r="HV20" s="525">
        <f t="shared" si="185"/>
        <v>0</v>
      </c>
      <c r="HW20" s="523"/>
      <c r="HX20" s="524">
        <f t="shared" si="73"/>
        <v>0</v>
      </c>
      <c r="HY20" s="525">
        <f t="shared" si="186"/>
        <v>0</v>
      </c>
      <c r="HZ20" s="523"/>
      <c r="IA20" s="524">
        <f t="shared" si="74"/>
        <v>0</v>
      </c>
      <c r="IB20" s="525">
        <f t="shared" si="200"/>
        <v>0</v>
      </c>
      <c r="IC20" s="523"/>
      <c r="ID20" s="524">
        <f t="shared" si="75"/>
        <v>0</v>
      </c>
      <c r="IE20" s="525">
        <f t="shared" si="187"/>
        <v>0</v>
      </c>
      <c r="IF20" s="523"/>
      <c r="IG20" s="524">
        <f t="shared" si="76"/>
        <v>0</v>
      </c>
      <c r="IH20" s="525">
        <f t="shared" si="188"/>
        <v>0</v>
      </c>
      <c r="II20" s="523">
        <v>21.60355600086962</v>
      </c>
      <c r="IJ20" s="524">
        <f t="shared" si="77"/>
        <v>0.43972228782555706</v>
      </c>
      <c r="IK20" s="525">
        <f t="shared" si="189"/>
        <v>0</v>
      </c>
      <c r="IL20" s="523"/>
      <c r="IM20" s="524">
        <f t="shared" si="78"/>
        <v>0</v>
      </c>
      <c r="IN20" s="525">
        <f t="shared" si="190"/>
        <v>0</v>
      </c>
      <c r="IO20" s="523"/>
      <c r="IP20" s="524">
        <f t="shared" si="79"/>
        <v>0</v>
      </c>
      <c r="IQ20" s="525">
        <f t="shared" si="191"/>
        <v>0</v>
      </c>
      <c r="IR20" s="523">
        <v>48.007902224154712</v>
      </c>
      <c r="IS20" s="524">
        <f t="shared" si="80"/>
        <v>0.97716063961234911</v>
      </c>
      <c r="IT20" s="525">
        <f t="shared" si="192"/>
        <v>0</v>
      </c>
      <c r="IU20" s="523"/>
      <c r="IV20" s="524">
        <f t="shared" si="81"/>
        <v>0</v>
      </c>
      <c r="IW20" s="525">
        <f t="shared" si="193"/>
        <v>0</v>
      </c>
      <c r="IX20" s="523"/>
      <c r="IY20" s="524">
        <f t="shared" si="82"/>
        <v>0</v>
      </c>
      <c r="IZ20" s="525">
        <f t="shared" si="194"/>
        <v>0</v>
      </c>
      <c r="JA20" s="523"/>
      <c r="JB20" s="524">
        <f t="shared" si="83"/>
        <v>0</v>
      </c>
      <c r="JC20" s="525">
        <f t="shared" si="195"/>
        <v>0</v>
      </c>
      <c r="JD20" s="523"/>
      <c r="JE20" s="524">
        <f t="shared" si="84"/>
        <v>0</v>
      </c>
      <c r="JF20" s="525">
        <f t="shared" si="196"/>
        <v>0</v>
      </c>
      <c r="JG20" s="523"/>
      <c r="JH20" s="524">
        <f t="shared" si="85"/>
        <v>0</v>
      </c>
      <c r="JI20" s="525">
        <f t="shared" si="197"/>
        <v>0</v>
      </c>
      <c r="JJ20" s="523">
        <v>21.60355600086962</v>
      </c>
      <c r="JK20" s="524">
        <f t="shared" si="86"/>
        <v>0.43972228782555706</v>
      </c>
      <c r="JL20" s="525" t="str">
        <f t="shared" si="87"/>
        <v>0</v>
      </c>
      <c r="JM20" s="523"/>
      <c r="JN20" s="524">
        <f t="shared" si="88"/>
        <v>0</v>
      </c>
      <c r="JO20" s="525" t="str">
        <f t="shared" si="89"/>
        <v>0</v>
      </c>
      <c r="JP20" s="523"/>
      <c r="JQ20" s="525" t="str">
        <f t="shared" si="90"/>
        <v>0</v>
      </c>
      <c r="JR20" s="525" t="str">
        <f t="shared" si="91"/>
        <v>0</v>
      </c>
      <c r="JS20" s="523"/>
      <c r="JT20" s="525" t="str">
        <f t="shared" si="92"/>
        <v>0</v>
      </c>
      <c r="JU20" s="525" t="str">
        <f t="shared" si="93"/>
        <v>0</v>
      </c>
      <c r="JV20" s="523"/>
      <c r="JW20" s="525" t="str">
        <f t="shared" si="94"/>
        <v>0</v>
      </c>
      <c r="JX20" s="525" t="str">
        <f t="shared" si="95"/>
        <v>0</v>
      </c>
      <c r="JY20" s="523"/>
      <c r="JZ20" s="525" t="str">
        <f t="shared" si="96"/>
        <v>0</v>
      </c>
      <c r="KA20" s="525" t="str">
        <f t="shared" si="97"/>
        <v>0</v>
      </c>
      <c r="KB20" s="523"/>
      <c r="KC20" s="525" t="str">
        <f t="shared" si="98"/>
        <v>0</v>
      </c>
      <c r="KD20" s="525" t="str">
        <f t="shared" si="99"/>
        <v>0</v>
      </c>
      <c r="KE20" s="523"/>
      <c r="KF20" s="525" t="str">
        <f t="shared" si="100"/>
        <v>0</v>
      </c>
      <c r="KG20" s="525" t="str">
        <f t="shared" si="101"/>
        <v>0</v>
      </c>
      <c r="KH20" s="523"/>
      <c r="KI20" s="525" t="str">
        <f t="shared" si="102"/>
        <v>0</v>
      </c>
      <c r="KJ20" s="525" t="str">
        <f t="shared" si="103"/>
        <v>0</v>
      </c>
      <c r="KK20" s="523"/>
      <c r="KL20" s="525" t="str">
        <f t="shared" si="104"/>
        <v>0</v>
      </c>
      <c r="KM20" s="525" t="str">
        <f t="shared" si="105"/>
        <v>0</v>
      </c>
      <c r="KN20" s="523"/>
      <c r="KO20" s="525" t="str">
        <f t="shared" si="106"/>
        <v>0</v>
      </c>
      <c r="KP20" s="525" t="str">
        <f t="shared" si="107"/>
        <v>0</v>
      </c>
      <c r="KQ20" s="523"/>
      <c r="KR20" s="525" t="str">
        <f t="shared" si="108"/>
        <v>0</v>
      </c>
      <c r="KS20" s="525" t="str">
        <f t="shared" si="109"/>
        <v>0</v>
      </c>
      <c r="KT20" s="525">
        <f t="shared" si="201"/>
        <v>0</v>
      </c>
      <c r="KU20" s="525">
        <f t="shared" si="202"/>
        <v>0</v>
      </c>
      <c r="KV20" s="264">
        <f t="shared" si="198"/>
        <v>1788.6345279841225</v>
      </c>
    </row>
    <row r="21" spans="1:309" ht="15" customHeight="1">
      <c r="A21" s="266">
        <f t="shared" si="199"/>
        <v>45974</v>
      </c>
      <c r="B21" s="267" t="str">
        <f>+Report1!B21</f>
        <v>Toilet</v>
      </c>
      <c r="C21" s="267" t="str">
        <f>+Report1!C21</f>
        <v>13,5</v>
      </c>
      <c r="D21" s="268">
        <f>+Report1!P21</f>
        <v>38.309000000000005</v>
      </c>
      <c r="E21" s="269">
        <f>+Report1!R21</f>
        <v>29.459</v>
      </c>
      <c r="F21" s="523"/>
      <c r="G21" s="524">
        <f t="shared" si="0"/>
        <v>0</v>
      </c>
      <c r="H21" s="525">
        <f t="shared" si="110"/>
        <v>0</v>
      </c>
      <c r="I21" s="523"/>
      <c r="J21" s="524">
        <f t="shared" si="1"/>
        <v>0</v>
      </c>
      <c r="K21" s="525">
        <f t="shared" si="111"/>
        <v>0</v>
      </c>
      <c r="L21" s="523"/>
      <c r="M21" s="524">
        <f t="shared" si="2"/>
        <v>0</v>
      </c>
      <c r="N21" s="525">
        <f t="shared" si="112"/>
        <v>0</v>
      </c>
      <c r="O21" s="523">
        <v>3.0000000000000036</v>
      </c>
      <c r="P21" s="524">
        <f t="shared" si="3"/>
        <v>0.10183645066023977</v>
      </c>
      <c r="Q21" s="525">
        <f t="shared" si="113"/>
        <v>0</v>
      </c>
      <c r="R21" s="523"/>
      <c r="S21" s="524">
        <f t="shared" si="4"/>
        <v>0</v>
      </c>
      <c r="T21" s="525">
        <f t="shared" si="114"/>
        <v>0</v>
      </c>
      <c r="U21" s="523">
        <v>5.1250000000000036</v>
      </c>
      <c r="V21" s="524">
        <f t="shared" si="5"/>
        <v>0.17397060321124286</v>
      </c>
      <c r="W21" s="525">
        <f t="shared" si="115"/>
        <v>0</v>
      </c>
      <c r="X21" s="523"/>
      <c r="Y21" s="524">
        <f t="shared" si="6"/>
        <v>0</v>
      </c>
      <c r="Z21" s="525">
        <f t="shared" si="116"/>
        <v>0</v>
      </c>
      <c r="AA21" s="523"/>
      <c r="AB21" s="524">
        <f t="shared" si="7"/>
        <v>0</v>
      </c>
      <c r="AC21" s="525">
        <f t="shared" si="117"/>
        <v>0</v>
      </c>
      <c r="AD21" s="523"/>
      <c r="AE21" s="524">
        <f t="shared" si="8"/>
        <v>0</v>
      </c>
      <c r="AF21" s="525">
        <f t="shared" si="118"/>
        <v>0</v>
      </c>
      <c r="AG21" s="523"/>
      <c r="AH21" s="524">
        <f t="shared" si="9"/>
        <v>0</v>
      </c>
      <c r="AI21" s="525">
        <f t="shared" si="119"/>
        <v>0</v>
      </c>
      <c r="AJ21" s="523"/>
      <c r="AK21" s="524">
        <f t="shared" si="10"/>
        <v>0</v>
      </c>
      <c r="AL21" s="525">
        <f t="shared" si="120"/>
        <v>0</v>
      </c>
      <c r="AM21" s="523"/>
      <c r="AN21" s="524">
        <f t="shared" si="11"/>
        <v>0</v>
      </c>
      <c r="AO21" s="525">
        <f t="shared" si="121"/>
        <v>0</v>
      </c>
      <c r="AP21" s="523"/>
      <c r="AQ21" s="524">
        <f t="shared" si="12"/>
        <v>0</v>
      </c>
      <c r="AR21" s="525">
        <f t="shared" si="122"/>
        <v>0</v>
      </c>
      <c r="AS21" s="523"/>
      <c r="AT21" s="524">
        <f t="shared" si="13"/>
        <v>0</v>
      </c>
      <c r="AU21" s="525">
        <f t="shared" si="123"/>
        <v>0</v>
      </c>
      <c r="AV21" s="523"/>
      <c r="AW21" s="524">
        <f t="shared" si="14"/>
        <v>0</v>
      </c>
      <c r="AX21" s="525">
        <f t="shared" si="124"/>
        <v>0</v>
      </c>
      <c r="AY21" s="523"/>
      <c r="AZ21" s="524">
        <f t="shared" si="15"/>
        <v>0</v>
      </c>
      <c r="BA21" s="525">
        <f t="shared" si="125"/>
        <v>0</v>
      </c>
      <c r="BB21" s="523"/>
      <c r="BC21" s="524">
        <f t="shared" si="16"/>
        <v>0</v>
      </c>
      <c r="BD21" s="525">
        <f t="shared" si="126"/>
        <v>0</v>
      </c>
      <c r="BE21" s="523"/>
      <c r="BF21" s="524">
        <f t="shared" si="17"/>
        <v>0</v>
      </c>
      <c r="BG21" s="525">
        <f t="shared" si="127"/>
        <v>0</v>
      </c>
      <c r="BH21" s="523"/>
      <c r="BI21" s="524">
        <f t="shared" si="18"/>
        <v>0</v>
      </c>
      <c r="BJ21" s="525">
        <f t="shared" si="128"/>
        <v>0</v>
      </c>
      <c r="BK21" s="523"/>
      <c r="BL21" s="524">
        <f t="shared" si="19"/>
        <v>0</v>
      </c>
      <c r="BM21" s="525">
        <f t="shared" si="129"/>
        <v>0</v>
      </c>
      <c r="BN21" s="523"/>
      <c r="BO21" s="524">
        <f t="shared" si="20"/>
        <v>0</v>
      </c>
      <c r="BP21" s="525">
        <f t="shared" si="130"/>
        <v>0</v>
      </c>
      <c r="BQ21" s="523"/>
      <c r="BR21" s="524">
        <f t="shared" si="21"/>
        <v>0</v>
      </c>
      <c r="BS21" s="525">
        <f t="shared" si="131"/>
        <v>0</v>
      </c>
      <c r="BT21" s="523"/>
      <c r="BU21" s="524">
        <f t="shared" si="22"/>
        <v>0</v>
      </c>
      <c r="BV21" s="525">
        <f t="shared" si="132"/>
        <v>0</v>
      </c>
      <c r="BW21" s="523"/>
      <c r="BX21" s="524">
        <f t="shared" si="23"/>
        <v>0</v>
      </c>
      <c r="BY21" s="525">
        <f t="shared" si="133"/>
        <v>0</v>
      </c>
      <c r="BZ21" s="523"/>
      <c r="CA21" s="524">
        <f t="shared" si="24"/>
        <v>0</v>
      </c>
      <c r="CB21" s="525">
        <f t="shared" si="134"/>
        <v>0</v>
      </c>
      <c r="CC21" s="523"/>
      <c r="CD21" s="524">
        <f t="shared" si="25"/>
        <v>0</v>
      </c>
      <c r="CE21" s="525">
        <f t="shared" si="135"/>
        <v>0</v>
      </c>
      <c r="CF21" s="523">
        <v>3</v>
      </c>
      <c r="CG21" s="524">
        <f t="shared" si="26"/>
        <v>0.10183645066023965</v>
      </c>
      <c r="CH21" s="525">
        <f t="shared" si="136"/>
        <v>0</v>
      </c>
      <c r="CI21" s="523"/>
      <c r="CJ21" s="524">
        <f t="shared" si="27"/>
        <v>0</v>
      </c>
      <c r="CK21" s="525">
        <f t="shared" si="137"/>
        <v>0</v>
      </c>
      <c r="CL21" s="523"/>
      <c r="CM21" s="524">
        <f t="shared" si="28"/>
        <v>0</v>
      </c>
      <c r="CN21" s="525">
        <f t="shared" si="138"/>
        <v>0</v>
      </c>
      <c r="CO21" s="523"/>
      <c r="CP21" s="524">
        <f t="shared" si="29"/>
        <v>0</v>
      </c>
      <c r="CQ21" s="525">
        <f t="shared" si="139"/>
        <v>0</v>
      </c>
      <c r="CR21" s="523"/>
      <c r="CS21" s="524">
        <f t="shared" si="30"/>
        <v>0</v>
      </c>
      <c r="CT21" s="525">
        <f t="shared" si="140"/>
        <v>0</v>
      </c>
      <c r="CU21" s="523"/>
      <c r="CV21" s="524">
        <f t="shared" si="31"/>
        <v>0</v>
      </c>
      <c r="CW21" s="525">
        <f t="shared" si="141"/>
        <v>0</v>
      </c>
      <c r="CX21" s="523"/>
      <c r="CY21" s="524">
        <f t="shared" si="32"/>
        <v>0</v>
      </c>
      <c r="CZ21" s="525">
        <f t="shared" si="142"/>
        <v>0</v>
      </c>
      <c r="DA21" s="523">
        <v>188.95348837209303</v>
      </c>
      <c r="DB21" s="524">
        <f t="shared" si="33"/>
        <v>6.4141175318949397</v>
      </c>
      <c r="DC21" s="525">
        <f t="shared" si="143"/>
        <v>0</v>
      </c>
      <c r="DD21" s="523"/>
      <c r="DE21" s="524">
        <f t="shared" si="34"/>
        <v>0</v>
      </c>
      <c r="DF21" s="525">
        <f t="shared" si="144"/>
        <v>0</v>
      </c>
      <c r="DG21" s="523"/>
      <c r="DH21" s="524">
        <f t="shared" si="35"/>
        <v>0</v>
      </c>
      <c r="DI21" s="525">
        <f t="shared" si="203"/>
        <v>0</v>
      </c>
      <c r="DJ21" s="523"/>
      <c r="DK21" s="524">
        <f t="shared" si="36"/>
        <v>0</v>
      </c>
      <c r="DL21" s="525">
        <f t="shared" si="145"/>
        <v>0</v>
      </c>
      <c r="DM21" s="523"/>
      <c r="DN21" s="524">
        <f t="shared" si="37"/>
        <v>0</v>
      </c>
      <c r="DO21" s="525">
        <f t="shared" si="146"/>
        <v>0</v>
      </c>
      <c r="DP21" s="523"/>
      <c r="DQ21" s="524">
        <f t="shared" si="38"/>
        <v>0</v>
      </c>
      <c r="DR21" s="525">
        <f t="shared" si="147"/>
        <v>0</v>
      </c>
      <c r="DS21" s="523"/>
      <c r="DT21" s="524">
        <f t="shared" si="39"/>
        <v>0</v>
      </c>
      <c r="DU21" s="525">
        <f t="shared" si="148"/>
        <v>0</v>
      </c>
      <c r="DV21" s="523"/>
      <c r="DW21" s="524">
        <f t="shared" si="40"/>
        <v>0</v>
      </c>
      <c r="DX21" s="525">
        <f t="shared" si="149"/>
        <v>0</v>
      </c>
      <c r="DY21" s="523"/>
      <c r="DZ21" s="524">
        <f t="shared" si="41"/>
        <v>0</v>
      </c>
      <c r="EA21" s="525">
        <f t="shared" si="150"/>
        <v>0</v>
      </c>
      <c r="EB21" s="523"/>
      <c r="EC21" s="524">
        <f t="shared" si="42"/>
        <v>0</v>
      </c>
      <c r="ED21" s="525">
        <f t="shared" si="151"/>
        <v>0</v>
      </c>
      <c r="EE21" s="523">
        <v>187.85882352941178</v>
      </c>
      <c r="EF21" s="524">
        <f t="shared" si="43"/>
        <v>6.3769586044812039</v>
      </c>
      <c r="EG21" s="525">
        <f t="shared" si="152"/>
        <v>0</v>
      </c>
      <c r="EH21" s="523"/>
      <c r="EI21" s="524">
        <f t="shared" si="44"/>
        <v>0</v>
      </c>
      <c r="EJ21" s="525">
        <f t="shared" si="153"/>
        <v>0</v>
      </c>
      <c r="EK21" s="523">
        <v>48.780487804878021</v>
      </c>
      <c r="EL21" s="524">
        <f t="shared" si="45"/>
        <v>1.655877246507961</v>
      </c>
      <c r="EM21" s="525">
        <f t="shared" si="154"/>
        <v>0</v>
      </c>
      <c r="EN21" s="523">
        <v>39.534883720930225</v>
      </c>
      <c r="EO21" s="524">
        <f t="shared" si="46"/>
        <v>1.3420307451349409</v>
      </c>
      <c r="EP21" s="525">
        <f t="shared" si="155"/>
        <v>0</v>
      </c>
      <c r="EQ21" s="523"/>
      <c r="ER21" s="524">
        <f t="shared" si="47"/>
        <v>0</v>
      </c>
      <c r="ES21" s="525">
        <f t="shared" si="156"/>
        <v>0</v>
      </c>
      <c r="ET21" s="523"/>
      <c r="EU21" s="524">
        <f t="shared" si="48"/>
        <v>0</v>
      </c>
      <c r="EV21" s="525">
        <f t="shared" si="157"/>
        <v>0</v>
      </c>
      <c r="EW21" s="523"/>
      <c r="EX21" s="524">
        <f t="shared" si="49"/>
        <v>0</v>
      </c>
      <c r="EY21" s="525">
        <f t="shared" si="158"/>
        <v>0</v>
      </c>
      <c r="EZ21" s="523"/>
      <c r="FA21" s="524">
        <f t="shared" si="50"/>
        <v>0</v>
      </c>
      <c r="FB21" s="525">
        <f t="shared" si="159"/>
        <v>0</v>
      </c>
      <c r="FC21" s="523"/>
      <c r="FD21" s="524">
        <f t="shared" si="51"/>
        <v>0</v>
      </c>
      <c r="FE21" s="525">
        <f t="shared" si="160"/>
        <v>0</v>
      </c>
      <c r="FF21" s="523"/>
      <c r="FG21" s="524">
        <f t="shared" si="52"/>
        <v>0</v>
      </c>
      <c r="FH21" s="525">
        <f t="shared" si="161"/>
        <v>0</v>
      </c>
      <c r="FI21" s="523"/>
      <c r="FJ21" s="524">
        <f t="shared" si="53"/>
        <v>0</v>
      </c>
      <c r="FK21" s="525">
        <f t="shared" si="162"/>
        <v>0</v>
      </c>
      <c r="FL21" s="523"/>
      <c r="FM21" s="524">
        <f t="shared" si="54"/>
        <v>0</v>
      </c>
      <c r="FN21" s="525">
        <f t="shared" si="163"/>
        <v>0</v>
      </c>
      <c r="FO21" s="523"/>
      <c r="FP21" s="524">
        <f t="shared" si="55"/>
        <v>0</v>
      </c>
      <c r="FQ21" s="525">
        <f t="shared" si="164"/>
        <v>0</v>
      </c>
      <c r="FR21" s="523"/>
      <c r="FS21" s="524">
        <f t="shared" si="56"/>
        <v>0</v>
      </c>
      <c r="FT21" s="525">
        <f t="shared" si="165"/>
        <v>0</v>
      </c>
      <c r="FU21" s="523"/>
      <c r="FV21" s="524">
        <f t="shared" si="57"/>
        <v>0</v>
      </c>
      <c r="FW21" s="525">
        <f t="shared" si="166"/>
        <v>0</v>
      </c>
      <c r="FX21" s="523"/>
      <c r="FY21" s="524">
        <f t="shared" si="58"/>
        <v>0</v>
      </c>
      <c r="FZ21" s="525">
        <f t="shared" si="167"/>
        <v>0</v>
      </c>
      <c r="GA21" s="523">
        <v>7.8985457444468885</v>
      </c>
      <c r="GB21" s="524">
        <f t="shared" si="168"/>
        <v>0.26811995466400385</v>
      </c>
      <c r="GC21" s="525">
        <f t="shared" si="169"/>
        <v>0</v>
      </c>
      <c r="GD21" s="523"/>
      <c r="GE21" s="524">
        <f t="shared" si="59"/>
        <v>0</v>
      </c>
      <c r="GF21" s="525">
        <f t="shared" si="170"/>
        <v>0</v>
      </c>
      <c r="GG21" s="523">
        <v>10.531394325929185</v>
      </c>
      <c r="GH21" s="524">
        <f t="shared" si="171"/>
        <v>0.35749327288533844</v>
      </c>
      <c r="GI21" s="525">
        <f t="shared" si="172"/>
        <v>0</v>
      </c>
      <c r="GJ21" s="523">
        <v>10.531394325929185</v>
      </c>
      <c r="GK21" s="524">
        <f t="shared" si="60"/>
        <v>0.35749327288533844</v>
      </c>
      <c r="GL21" s="525">
        <f t="shared" si="173"/>
        <v>0</v>
      </c>
      <c r="GM21" s="523"/>
      <c r="GN21" s="524">
        <f t="shared" si="61"/>
        <v>0</v>
      </c>
      <c r="GO21" s="525">
        <f t="shared" si="174"/>
        <v>0</v>
      </c>
      <c r="GP21" s="523">
        <v>31.594182977787554</v>
      </c>
      <c r="GQ21" s="524">
        <f t="shared" si="62"/>
        <v>1.0724798186560154</v>
      </c>
      <c r="GR21" s="525">
        <f t="shared" si="175"/>
        <v>0</v>
      </c>
      <c r="GS21" s="523">
        <v>194.83079502968991</v>
      </c>
      <c r="GT21" s="524">
        <f t="shared" si="63"/>
        <v>6.6136255483787609</v>
      </c>
      <c r="GU21" s="525">
        <f t="shared" si="176"/>
        <v>0</v>
      </c>
      <c r="GV21" s="523">
        <v>21.062788651858369</v>
      </c>
      <c r="GW21" s="524">
        <f t="shared" si="64"/>
        <v>0.71498654577067688</v>
      </c>
      <c r="GX21" s="525">
        <f t="shared" si="177"/>
        <v>0</v>
      </c>
      <c r="GY21" s="523"/>
      <c r="GZ21" s="524">
        <f t="shared" si="65"/>
        <v>0</v>
      </c>
      <c r="HA21" s="525">
        <f t="shared" si="178"/>
        <v>0</v>
      </c>
      <c r="HB21" s="523"/>
      <c r="HC21" s="524">
        <f t="shared" si="66"/>
        <v>0</v>
      </c>
      <c r="HD21" s="525">
        <f t="shared" si="179"/>
        <v>0</v>
      </c>
      <c r="HE21" s="523"/>
      <c r="HF21" s="524">
        <f t="shared" si="67"/>
        <v>0</v>
      </c>
      <c r="HG21" s="525">
        <f t="shared" si="180"/>
        <v>0</v>
      </c>
      <c r="HH21" s="523"/>
      <c r="HI21" s="524">
        <f t="shared" si="68"/>
        <v>0</v>
      </c>
      <c r="HJ21" s="525">
        <f t="shared" si="181"/>
        <v>0</v>
      </c>
      <c r="HK21" s="523"/>
      <c r="HL21" s="524">
        <f t="shared" si="69"/>
        <v>0</v>
      </c>
      <c r="HM21" s="525">
        <f t="shared" si="182"/>
        <v>0</v>
      </c>
      <c r="HN21" s="523">
        <v>691.9126072135474</v>
      </c>
      <c r="HO21" s="524">
        <f t="shared" si="70"/>
        <v>23.487308028566733</v>
      </c>
      <c r="HP21" s="525">
        <f t="shared" si="183"/>
        <v>0</v>
      </c>
      <c r="HQ21" s="523"/>
      <c r="HR21" s="524">
        <f t="shared" si="71"/>
        <v>0</v>
      </c>
      <c r="HS21" s="525">
        <f t="shared" si="184"/>
        <v>0</v>
      </c>
      <c r="HT21" s="523"/>
      <c r="HU21" s="524">
        <f t="shared" si="72"/>
        <v>0</v>
      </c>
      <c r="HV21" s="525">
        <f t="shared" si="185"/>
        <v>0</v>
      </c>
      <c r="HW21" s="523"/>
      <c r="HX21" s="524">
        <f t="shared" si="73"/>
        <v>0</v>
      </c>
      <c r="HY21" s="525">
        <f t="shared" si="186"/>
        <v>0</v>
      </c>
      <c r="HZ21" s="523"/>
      <c r="IA21" s="524">
        <f t="shared" si="74"/>
        <v>0</v>
      </c>
      <c r="IB21" s="525">
        <f t="shared" si="200"/>
        <v>0</v>
      </c>
      <c r="IC21" s="523"/>
      <c r="ID21" s="524">
        <f t="shared" si="75"/>
        <v>0</v>
      </c>
      <c r="IE21" s="525">
        <f t="shared" si="187"/>
        <v>0</v>
      </c>
      <c r="IF21" s="523"/>
      <c r="IG21" s="524">
        <f t="shared" si="76"/>
        <v>0</v>
      </c>
      <c r="IH21" s="525">
        <f t="shared" si="188"/>
        <v>0</v>
      </c>
      <c r="II21" s="523">
        <v>18.429940070376073</v>
      </c>
      <c r="IJ21" s="524">
        <f t="shared" si="77"/>
        <v>0.62561322754934223</v>
      </c>
      <c r="IK21" s="525">
        <f t="shared" si="189"/>
        <v>0</v>
      </c>
      <c r="IL21" s="523"/>
      <c r="IM21" s="524">
        <f t="shared" si="78"/>
        <v>0</v>
      </c>
      <c r="IN21" s="525">
        <f t="shared" si="190"/>
        <v>0</v>
      </c>
      <c r="IO21" s="523"/>
      <c r="IP21" s="524">
        <f t="shared" si="79"/>
        <v>0</v>
      </c>
      <c r="IQ21" s="525">
        <f t="shared" si="191"/>
        <v>0</v>
      </c>
      <c r="IR21" s="523">
        <v>36.859880140752146</v>
      </c>
      <c r="IS21" s="524">
        <f t="shared" si="80"/>
        <v>1.2512264550986845</v>
      </c>
      <c r="IT21" s="525">
        <f t="shared" si="192"/>
        <v>0</v>
      </c>
      <c r="IU21" s="523"/>
      <c r="IV21" s="524">
        <f t="shared" si="81"/>
        <v>0</v>
      </c>
      <c r="IW21" s="525">
        <f t="shared" si="193"/>
        <v>0</v>
      </c>
      <c r="IX21" s="523"/>
      <c r="IY21" s="524">
        <f t="shared" si="82"/>
        <v>0</v>
      </c>
      <c r="IZ21" s="525">
        <f t="shared" si="194"/>
        <v>0</v>
      </c>
      <c r="JA21" s="523"/>
      <c r="JB21" s="524">
        <f t="shared" si="83"/>
        <v>0</v>
      </c>
      <c r="JC21" s="525">
        <f t="shared" si="195"/>
        <v>0</v>
      </c>
      <c r="JD21" s="523"/>
      <c r="JE21" s="524">
        <f t="shared" si="84"/>
        <v>0</v>
      </c>
      <c r="JF21" s="525">
        <f t="shared" si="196"/>
        <v>0</v>
      </c>
      <c r="JG21" s="523"/>
      <c r="JH21" s="524">
        <f t="shared" si="85"/>
        <v>0</v>
      </c>
      <c r="JI21" s="525">
        <f t="shared" si="197"/>
        <v>0</v>
      </c>
      <c r="JJ21" s="523">
        <v>18.429940070376073</v>
      </c>
      <c r="JK21" s="524">
        <f t="shared" si="86"/>
        <v>0.62561322754934223</v>
      </c>
      <c r="JL21" s="525" t="str">
        <f t="shared" si="87"/>
        <v>0</v>
      </c>
      <c r="JM21" s="523"/>
      <c r="JN21" s="524">
        <f t="shared" si="88"/>
        <v>0</v>
      </c>
      <c r="JO21" s="525" t="str">
        <f t="shared" si="89"/>
        <v>0</v>
      </c>
      <c r="JP21" s="523"/>
      <c r="JQ21" s="525" t="str">
        <f t="shared" si="90"/>
        <v>0</v>
      </c>
      <c r="JR21" s="525" t="str">
        <f t="shared" si="91"/>
        <v>0</v>
      </c>
      <c r="JS21" s="523"/>
      <c r="JT21" s="525" t="str">
        <f t="shared" si="92"/>
        <v>0</v>
      </c>
      <c r="JU21" s="525" t="str">
        <f t="shared" si="93"/>
        <v>0</v>
      </c>
      <c r="JV21" s="523"/>
      <c r="JW21" s="525" t="str">
        <f t="shared" si="94"/>
        <v>0</v>
      </c>
      <c r="JX21" s="525" t="str">
        <f t="shared" si="95"/>
        <v>0</v>
      </c>
      <c r="JY21" s="523"/>
      <c r="JZ21" s="525" t="str">
        <f t="shared" si="96"/>
        <v>0</v>
      </c>
      <c r="KA21" s="525" t="str">
        <f t="shared" si="97"/>
        <v>0</v>
      </c>
      <c r="KB21" s="523"/>
      <c r="KC21" s="525" t="str">
        <f t="shared" si="98"/>
        <v>0</v>
      </c>
      <c r="KD21" s="525" t="str">
        <f t="shared" si="99"/>
        <v>0</v>
      </c>
      <c r="KE21" s="523"/>
      <c r="KF21" s="525" t="str">
        <f t="shared" si="100"/>
        <v>0</v>
      </c>
      <c r="KG21" s="525" t="str">
        <f t="shared" si="101"/>
        <v>0</v>
      </c>
      <c r="KH21" s="523"/>
      <c r="KI21" s="525" t="str">
        <f t="shared" si="102"/>
        <v>0</v>
      </c>
      <c r="KJ21" s="525" t="str">
        <f t="shared" si="103"/>
        <v>0</v>
      </c>
      <c r="KK21" s="523"/>
      <c r="KL21" s="525" t="str">
        <f t="shared" si="104"/>
        <v>0</v>
      </c>
      <c r="KM21" s="525" t="str">
        <f t="shared" si="105"/>
        <v>0</v>
      </c>
      <c r="KN21" s="523"/>
      <c r="KO21" s="525" t="str">
        <f t="shared" si="106"/>
        <v>0</v>
      </c>
      <c r="KP21" s="525" t="str">
        <f t="shared" si="107"/>
        <v>0</v>
      </c>
      <c r="KQ21" s="523"/>
      <c r="KR21" s="525" t="str">
        <f t="shared" si="108"/>
        <v>0</v>
      </c>
      <c r="KS21" s="525" t="str">
        <f t="shared" si="109"/>
        <v>0</v>
      </c>
      <c r="KT21" s="525">
        <f t="shared" si="201"/>
        <v>0</v>
      </c>
      <c r="KU21" s="525">
        <f t="shared" si="202"/>
        <v>0</v>
      </c>
      <c r="KV21" s="264">
        <f t="shared" si="198"/>
        <v>1518.3341519780058</v>
      </c>
    </row>
    <row r="22" spans="1:309" ht="15" customHeight="1">
      <c r="A22" s="266">
        <f t="shared" si="199"/>
        <v>45975</v>
      </c>
      <c r="B22" s="267" t="str">
        <f>+Report1!B22</f>
        <v>Toilet</v>
      </c>
      <c r="C22" s="267" t="str">
        <f>+Report1!C22</f>
        <v>13,5/15,5</v>
      </c>
      <c r="D22" s="268">
        <f>+Report1!P22</f>
        <v>48.929000000000002</v>
      </c>
      <c r="E22" s="269">
        <f>+Report1!R22</f>
        <v>53.488999999999997</v>
      </c>
      <c r="F22" s="523"/>
      <c r="G22" s="524">
        <f t="shared" si="0"/>
        <v>0</v>
      </c>
      <c r="H22" s="525">
        <f t="shared" si="110"/>
        <v>0</v>
      </c>
      <c r="I22" s="523"/>
      <c r="J22" s="524">
        <f t="shared" si="1"/>
        <v>0</v>
      </c>
      <c r="K22" s="525">
        <f t="shared" si="111"/>
        <v>0</v>
      </c>
      <c r="L22" s="523"/>
      <c r="M22" s="524">
        <f t="shared" si="2"/>
        <v>0</v>
      </c>
      <c r="N22" s="525">
        <f t="shared" si="112"/>
        <v>0</v>
      </c>
      <c r="O22" s="523">
        <v>3</v>
      </c>
      <c r="P22" s="524">
        <f t="shared" si="3"/>
        <v>5.6086298117369926E-2</v>
      </c>
      <c r="Q22" s="525">
        <f t="shared" si="113"/>
        <v>0</v>
      </c>
      <c r="R22" s="523"/>
      <c r="S22" s="524">
        <f t="shared" si="4"/>
        <v>0</v>
      </c>
      <c r="T22" s="525">
        <f t="shared" si="114"/>
        <v>0</v>
      </c>
      <c r="U22" s="523">
        <v>5.1249999999999716</v>
      </c>
      <c r="V22" s="524">
        <f t="shared" si="5"/>
        <v>9.5814092617173094E-2</v>
      </c>
      <c r="W22" s="525">
        <f t="shared" si="115"/>
        <v>0</v>
      </c>
      <c r="X22" s="523"/>
      <c r="Y22" s="524">
        <f t="shared" si="6"/>
        <v>0</v>
      </c>
      <c r="Z22" s="525">
        <f t="shared" si="116"/>
        <v>0</v>
      </c>
      <c r="AA22" s="523"/>
      <c r="AB22" s="524">
        <f t="shared" si="7"/>
        <v>0</v>
      </c>
      <c r="AC22" s="525">
        <f t="shared" si="117"/>
        <v>0</v>
      </c>
      <c r="AD22" s="523"/>
      <c r="AE22" s="524">
        <f t="shared" si="8"/>
        <v>0</v>
      </c>
      <c r="AF22" s="525">
        <f t="shared" si="118"/>
        <v>0</v>
      </c>
      <c r="AG22" s="523"/>
      <c r="AH22" s="524">
        <f t="shared" si="9"/>
        <v>0</v>
      </c>
      <c r="AI22" s="525">
        <f t="shared" si="119"/>
        <v>0</v>
      </c>
      <c r="AJ22" s="523"/>
      <c r="AK22" s="524">
        <f t="shared" si="10"/>
        <v>0</v>
      </c>
      <c r="AL22" s="525">
        <f t="shared" si="120"/>
        <v>0</v>
      </c>
      <c r="AM22" s="523"/>
      <c r="AN22" s="524">
        <f t="shared" si="11"/>
        <v>0</v>
      </c>
      <c r="AO22" s="525">
        <f t="shared" si="121"/>
        <v>0</v>
      </c>
      <c r="AP22" s="523"/>
      <c r="AQ22" s="524">
        <f t="shared" si="12"/>
        <v>0</v>
      </c>
      <c r="AR22" s="525">
        <f t="shared" si="122"/>
        <v>0</v>
      </c>
      <c r="AS22" s="523"/>
      <c r="AT22" s="524">
        <f t="shared" si="13"/>
        <v>0</v>
      </c>
      <c r="AU22" s="525">
        <f t="shared" si="123"/>
        <v>0</v>
      </c>
      <c r="AV22" s="523"/>
      <c r="AW22" s="524">
        <f t="shared" si="14"/>
        <v>0</v>
      </c>
      <c r="AX22" s="525">
        <f t="shared" si="124"/>
        <v>0</v>
      </c>
      <c r="AY22" s="523"/>
      <c r="AZ22" s="524">
        <f t="shared" si="15"/>
        <v>0</v>
      </c>
      <c r="BA22" s="525">
        <f t="shared" si="125"/>
        <v>0</v>
      </c>
      <c r="BB22" s="523"/>
      <c r="BC22" s="524">
        <f t="shared" si="16"/>
        <v>0</v>
      </c>
      <c r="BD22" s="525">
        <f t="shared" si="126"/>
        <v>0</v>
      </c>
      <c r="BE22" s="523"/>
      <c r="BF22" s="524">
        <f t="shared" si="17"/>
        <v>0</v>
      </c>
      <c r="BG22" s="525">
        <f t="shared" si="127"/>
        <v>0</v>
      </c>
      <c r="BH22" s="523"/>
      <c r="BI22" s="524">
        <f t="shared" si="18"/>
        <v>0</v>
      </c>
      <c r="BJ22" s="525">
        <f t="shared" si="128"/>
        <v>0</v>
      </c>
      <c r="BK22" s="523"/>
      <c r="BL22" s="524">
        <f t="shared" si="19"/>
        <v>0</v>
      </c>
      <c r="BM22" s="525">
        <f t="shared" si="129"/>
        <v>0</v>
      </c>
      <c r="BN22" s="523"/>
      <c r="BO22" s="524">
        <f t="shared" si="20"/>
        <v>0</v>
      </c>
      <c r="BP22" s="525">
        <f t="shared" si="130"/>
        <v>0</v>
      </c>
      <c r="BQ22" s="523"/>
      <c r="BR22" s="524">
        <f t="shared" si="21"/>
        <v>0</v>
      </c>
      <c r="BS22" s="525">
        <f t="shared" si="131"/>
        <v>0</v>
      </c>
      <c r="BT22" s="523"/>
      <c r="BU22" s="524">
        <f t="shared" si="22"/>
        <v>0</v>
      </c>
      <c r="BV22" s="525">
        <f t="shared" si="132"/>
        <v>0</v>
      </c>
      <c r="BW22" s="523"/>
      <c r="BX22" s="524">
        <f t="shared" si="23"/>
        <v>0</v>
      </c>
      <c r="BY22" s="525">
        <f t="shared" si="133"/>
        <v>0</v>
      </c>
      <c r="BZ22" s="523"/>
      <c r="CA22" s="524">
        <f t="shared" si="24"/>
        <v>0</v>
      </c>
      <c r="CB22" s="525">
        <f t="shared" si="134"/>
        <v>0</v>
      </c>
      <c r="CC22" s="523"/>
      <c r="CD22" s="524">
        <f t="shared" si="25"/>
        <v>0</v>
      </c>
      <c r="CE22" s="525">
        <f t="shared" si="135"/>
        <v>0</v>
      </c>
      <c r="CF22" s="523">
        <v>3</v>
      </c>
      <c r="CG22" s="524">
        <f t="shared" si="26"/>
        <v>5.6086298117369926E-2</v>
      </c>
      <c r="CH22" s="525">
        <f t="shared" si="136"/>
        <v>0</v>
      </c>
      <c r="CI22" s="523"/>
      <c r="CJ22" s="524">
        <f t="shared" si="27"/>
        <v>0</v>
      </c>
      <c r="CK22" s="525">
        <f t="shared" si="137"/>
        <v>0</v>
      </c>
      <c r="CL22" s="523"/>
      <c r="CM22" s="524">
        <f t="shared" si="28"/>
        <v>0</v>
      </c>
      <c r="CN22" s="525">
        <f t="shared" si="138"/>
        <v>0</v>
      </c>
      <c r="CO22" s="523"/>
      <c r="CP22" s="524">
        <f t="shared" si="29"/>
        <v>0</v>
      </c>
      <c r="CQ22" s="525">
        <f t="shared" si="139"/>
        <v>0</v>
      </c>
      <c r="CR22" s="523"/>
      <c r="CS22" s="524">
        <f t="shared" si="30"/>
        <v>0</v>
      </c>
      <c r="CT22" s="525">
        <f t="shared" si="140"/>
        <v>0</v>
      </c>
      <c r="CU22" s="523"/>
      <c r="CV22" s="524">
        <f t="shared" si="31"/>
        <v>0</v>
      </c>
      <c r="CW22" s="525">
        <f t="shared" si="141"/>
        <v>0</v>
      </c>
      <c r="CX22" s="523"/>
      <c r="CY22" s="524">
        <f t="shared" si="32"/>
        <v>0</v>
      </c>
      <c r="CZ22" s="525">
        <f t="shared" si="142"/>
        <v>0</v>
      </c>
      <c r="DA22" s="523">
        <v>421.51162790697663</v>
      </c>
      <c r="DB22" s="524">
        <f t="shared" si="33"/>
        <v>7.8803422742428655</v>
      </c>
      <c r="DC22" s="525">
        <f t="shared" si="143"/>
        <v>0</v>
      </c>
      <c r="DD22" s="523"/>
      <c r="DE22" s="524">
        <f t="shared" si="34"/>
        <v>0</v>
      </c>
      <c r="DF22" s="525">
        <f t="shared" si="144"/>
        <v>0</v>
      </c>
      <c r="DG22" s="523"/>
      <c r="DH22" s="524">
        <f t="shared" si="35"/>
        <v>0</v>
      </c>
      <c r="DI22" s="525">
        <f t="shared" si="203"/>
        <v>0</v>
      </c>
      <c r="DJ22" s="523"/>
      <c r="DK22" s="524">
        <f t="shared" si="36"/>
        <v>0</v>
      </c>
      <c r="DL22" s="525">
        <f t="shared" si="145"/>
        <v>0</v>
      </c>
      <c r="DM22" s="523"/>
      <c r="DN22" s="524">
        <f t="shared" si="37"/>
        <v>0</v>
      </c>
      <c r="DO22" s="525">
        <f t="shared" si="146"/>
        <v>0</v>
      </c>
      <c r="DP22" s="523"/>
      <c r="DQ22" s="524">
        <f t="shared" si="38"/>
        <v>0</v>
      </c>
      <c r="DR22" s="525">
        <f t="shared" si="147"/>
        <v>0</v>
      </c>
      <c r="DS22" s="523"/>
      <c r="DT22" s="524">
        <f t="shared" si="39"/>
        <v>0</v>
      </c>
      <c r="DU22" s="525">
        <f t="shared" si="148"/>
        <v>0</v>
      </c>
      <c r="DV22" s="523"/>
      <c r="DW22" s="524">
        <f t="shared" si="40"/>
        <v>0</v>
      </c>
      <c r="DX22" s="525">
        <f t="shared" si="149"/>
        <v>0</v>
      </c>
      <c r="DY22" s="523"/>
      <c r="DZ22" s="524">
        <f t="shared" si="41"/>
        <v>0</v>
      </c>
      <c r="EA22" s="525">
        <f t="shared" si="150"/>
        <v>0</v>
      </c>
      <c r="EB22" s="523"/>
      <c r="EC22" s="524">
        <f t="shared" si="42"/>
        <v>0</v>
      </c>
      <c r="ED22" s="525">
        <f t="shared" si="151"/>
        <v>0</v>
      </c>
      <c r="EE22" s="523">
        <v>223.0823529411764</v>
      </c>
      <c r="EF22" s="524">
        <f t="shared" si="43"/>
        <v>4.1706211172610521</v>
      </c>
      <c r="EG22" s="525">
        <f t="shared" si="152"/>
        <v>0</v>
      </c>
      <c r="EH22" s="523"/>
      <c r="EI22" s="524">
        <f t="shared" si="44"/>
        <v>0</v>
      </c>
      <c r="EJ22" s="525">
        <f t="shared" si="153"/>
        <v>0</v>
      </c>
      <c r="EK22" s="523">
        <v>73.170731707317145</v>
      </c>
      <c r="EL22" s="524">
        <f t="shared" si="45"/>
        <v>1.3679584906675606</v>
      </c>
      <c r="EM22" s="525">
        <f t="shared" si="154"/>
        <v>0</v>
      </c>
      <c r="EN22" s="523">
        <v>88.953488372093034</v>
      </c>
      <c r="EO22" s="524">
        <f t="shared" si="46"/>
        <v>1.6630239558057365</v>
      </c>
      <c r="EP22" s="525">
        <f t="shared" si="155"/>
        <v>0</v>
      </c>
      <c r="EQ22" s="523"/>
      <c r="ER22" s="524">
        <f t="shared" si="47"/>
        <v>0</v>
      </c>
      <c r="ES22" s="525">
        <f t="shared" si="156"/>
        <v>0</v>
      </c>
      <c r="ET22" s="523"/>
      <c r="EU22" s="524">
        <f t="shared" si="48"/>
        <v>0</v>
      </c>
      <c r="EV22" s="525">
        <f t="shared" si="157"/>
        <v>0</v>
      </c>
      <c r="EW22" s="523"/>
      <c r="EX22" s="524">
        <f t="shared" si="49"/>
        <v>0</v>
      </c>
      <c r="EY22" s="525">
        <f t="shared" si="158"/>
        <v>0</v>
      </c>
      <c r="EZ22" s="523"/>
      <c r="FA22" s="524">
        <f t="shared" si="50"/>
        <v>0</v>
      </c>
      <c r="FB22" s="525">
        <f t="shared" si="159"/>
        <v>0</v>
      </c>
      <c r="FC22" s="523"/>
      <c r="FD22" s="524">
        <f t="shared" si="51"/>
        <v>0</v>
      </c>
      <c r="FE22" s="525">
        <f t="shared" si="160"/>
        <v>0</v>
      </c>
      <c r="FF22" s="523"/>
      <c r="FG22" s="524">
        <f t="shared" si="52"/>
        <v>0</v>
      </c>
      <c r="FH22" s="525">
        <f t="shared" si="161"/>
        <v>0</v>
      </c>
      <c r="FI22" s="523"/>
      <c r="FJ22" s="524">
        <f t="shared" si="53"/>
        <v>0</v>
      </c>
      <c r="FK22" s="525">
        <f t="shared" si="162"/>
        <v>0</v>
      </c>
      <c r="FL22" s="523"/>
      <c r="FM22" s="524">
        <f t="shared" si="54"/>
        <v>0</v>
      </c>
      <c r="FN22" s="525">
        <f t="shared" si="163"/>
        <v>0</v>
      </c>
      <c r="FO22" s="523"/>
      <c r="FP22" s="524">
        <f t="shared" si="55"/>
        <v>0</v>
      </c>
      <c r="FQ22" s="525">
        <f t="shared" si="164"/>
        <v>0</v>
      </c>
      <c r="FR22" s="523"/>
      <c r="FS22" s="524">
        <f t="shared" si="56"/>
        <v>0</v>
      </c>
      <c r="FT22" s="525">
        <f t="shared" si="165"/>
        <v>0</v>
      </c>
      <c r="FU22" s="523"/>
      <c r="FV22" s="524">
        <f t="shared" si="57"/>
        <v>0</v>
      </c>
      <c r="FW22" s="525">
        <f t="shared" si="166"/>
        <v>0</v>
      </c>
      <c r="FX22" s="523"/>
      <c r="FY22" s="524">
        <f t="shared" si="58"/>
        <v>0</v>
      </c>
      <c r="FZ22" s="525">
        <f t="shared" si="167"/>
        <v>0</v>
      </c>
      <c r="GA22" s="523"/>
      <c r="GB22" s="524">
        <f t="shared" si="168"/>
        <v>0</v>
      </c>
      <c r="GC22" s="525">
        <f t="shared" si="169"/>
        <v>0</v>
      </c>
      <c r="GD22" s="523"/>
      <c r="GE22" s="524">
        <f t="shared" si="59"/>
        <v>0</v>
      </c>
      <c r="GF22" s="525">
        <f t="shared" si="170"/>
        <v>0</v>
      </c>
      <c r="GG22" s="523">
        <v>14.61963666786184</v>
      </c>
      <c r="GH22" s="524">
        <f t="shared" si="171"/>
        <v>0.27332043350711066</v>
      </c>
      <c r="GI22" s="525">
        <f t="shared" si="172"/>
        <v>0</v>
      </c>
      <c r="GJ22" s="523">
        <v>14.61963666786184</v>
      </c>
      <c r="GK22" s="524">
        <f t="shared" si="60"/>
        <v>0.27332043350711066</v>
      </c>
      <c r="GL22" s="525">
        <f t="shared" si="173"/>
        <v>0</v>
      </c>
      <c r="GM22" s="523"/>
      <c r="GN22" s="524">
        <f t="shared" si="61"/>
        <v>0</v>
      </c>
      <c r="GO22" s="525">
        <f t="shared" si="174"/>
        <v>0</v>
      </c>
      <c r="GP22" s="523">
        <v>31.675879447033985</v>
      </c>
      <c r="GQ22" s="524">
        <f t="shared" si="62"/>
        <v>0.59219427259873969</v>
      </c>
      <c r="GR22" s="525">
        <f t="shared" si="175"/>
        <v>0</v>
      </c>
      <c r="GS22" s="523">
        <v>219.29455001792761</v>
      </c>
      <c r="GT22" s="524">
        <f t="shared" si="63"/>
        <v>4.0998065026066595</v>
      </c>
      <c r="GU22" s="525">
        <f t="shared" si="176"/>
        <v>0</v>
      </c>
      <c r="GV22" s="523">
        <v>29.239273335723681</v>
      </c>
      <c r="GW22" s="524">
        <f t="shared" si="64"/>
        <v>0.54664086701422132</v>
      </c>
      <c r="GX22" s="525">
        <f t="shared" si="177"/>
        <v>0</v>
      </c>
      <c r="GY22" s="523"/>
      <c r="GZ22" s="524">
        <f t="shared" si="65"/>
        <v>0</v>
      </c>
      <c r="HA22" s="525">
        <f t="shared" si="178"/>
        <v>0</v>
      </c>
      <c r="HB22" s="523"/>
      <c r="HC22" s="524">
        <f t="shared" si="66"/>
        <v>0</v>
      </c>
      <c r="HD22" s="525">
        <f t="shared" si="179"/>
        <v>0</v>
      </c>
      <c r="HE22" s="523"/>
      <c r="HF22" s="524">
        <f t="shared" si="67"/>
        <v>0</v>
      </c>
      <c r="HG22" s="525">
        <f t="shared" si="180"/>
        <v>0</v>
      </c>
      <c r="HH22" s="523"/>
      <c r="HI22" s="524">
        <f t="shared" si="68"/>
        <v>0</v>
      </c>
      <c r="HJ22" s="525">
        <f t="shared" si="181"/>
        <v>0</v>
      </c>
      <c r="HK22" s="523"/>
      <c r="HL22" s="524">
        <f t="shared" si="69"/>
        <v>0</v>
      </c>
      <c r="HM22" s="525">
        <f t="shared" si="182"/>
        <v>0</v>
      </c>
      <c r="HN22" s="523">
        <v>880.58944862754481</v>
      </c>
      <c r="HO22" s="524">
        <f t="shared" si="70"/>
        <v>16.463000778244965</v>
      </c>
      <c r="HP22" s="525">
        <f t="shared" si="183"/>
        <v>0</v>
      </c>
      <c r="HQ22" s="523"/>
      <c r="HR22" s="524">
        <f t="shared" si="71"/>
        <v>0</v>
      </c>
      <c r="HS22" s="525">
        <f t="shared" si="184"/>
        <v>0</v>
      </c>
      <c r="HT22" s="523"/>
      <c r="HU22" s="524">
        <f t="shared" si="72"/>
        <v>0</v>
      </c>
      <c r="HV22" s="525">
        <f t="shared" si="185"/>
        <v>0</v>
      </c>
      <c r="HW22" s="523"/>
      <c r="HX22" s="524">
        <f t="shared" si="73"/>
        <v>0</v>
      </c>
      <c r="HY22" s="525">
        <f t="shared" si="186"/>
        <v>0</v>
      </c>
      <c r="HZ22" s="523"/>
      <c r="IA22" s="524">
        <f t="shared" si="74"/>
        <v>0</v>
      </c>
      <c r="IB22" s="525">
        <f t="shared" si="200"/>
        <v>0</v>
      </c>
      <c r="IC22" s="523"/>
      <c r="ID22" s="524">
        <f t="shared" si="75"/>
        <v>0</v>
      </c>
      <c r="IE22" s="525">
        <f t="shared" si="187"/>
        <v>0</v>
      </c>
      <c r="IF22" s="523"/>
      <c r="IG22" s="524">
        <f t="shared" si="76"/>
        <v>0</v>
      </c>
      <c r="IH22" s="525">
        <f t="shared" si="188"/>
        <v>0</v>
      </c>
      <c r="II22" s="523">
        <v>21.929455001792761</v>
      </c>
      <c r="IJ22" s="524">
        <f t="shared" si="77"/>
        <v>0.40998065026066594</v>
      </c>
      <c r="IK22" s="525">
        <f t="shared" si="189"/>
        <v>0</v>
      </c>
      <c r="IL22" s="523"/>
      <c r="IM22" s="524">
        <f t="shared" si="78"/>
        <v>0</v>
      </c>
      <c r="IN22" s="525">
        <f t="shared" si="190"/>
        <v>0</v>
      </c>
      <c r="IO22" s="523"/>
      <c r="IP22" s="524">
        <f t="shared" si="79"/>
        <v>0</v>
      </c>
      <c r="IQ22" s="525">
        <f t="shared" si="191"/>
        <v>0</v>
      </c>
      <c r="IR22" s="523">
        <v>43.858910003585521</v>
      </c>
      <c r="IS22" s="524">
        <f t="shared" si="80"/>
        <v>0.81996130052133187</v>
      </c>
      <c r="IT22" s="525">
        <f t="shared" si="192"/>
        <v>0</v>
      </c>
      <c r="IU22" s="523"/>
      <c r="IV22" s="524">
        <f t="shared" si="81"/>
        <v>0</v>
      </c>
      <c r="IW22" s="525">
        <f t="shared" si="193"/>
        <v>0</v>
      </c>
      <c r="IX22" s="523"/>
      <c r="IY22" s="524">
        <f t="shared" si="82"/>
        <v>0</v>
      </c>
      <c r="IZ22" s="525">
        <f t="shared" si="194"/>
        <v>0</v>
      </c>
      <c r="JA22" s="523"/>
      <c r="JB22" s="524">
        <f t="shared" si="83"/>
        <v>0</v>
      </c>
      <c r="JC22" s="525">
        <f t="shared" si="195"/>
        <v>0</v>
      </c>
      <c r="JD22" s="523"/>
      <c r="JE22" s="524">
        <f t="shared" si="84"/>
        <v>0</v>
      </c>
      <c r="JF22" s="525">
        <f t="shared" si="196"/>
        <v>0</v>
      </c>
      <c r="JG22" s="523"/>
      <c r="JH22" s="524">
        <f t="shared" si="85"/>
        <v>0</v>
      </c>
      <c r="JI22" s="525">
        <f t="shared" si="197"/>
        <v>0</v>
      </c>
      <c r="JJ22" s="523">
        <v>12.183030556551532</v>
      </c>
      <c r="JK22" s="524">
        <f t="shared" si="86"/>
        <v>0.22776702792259218</v>
      </c>
      <c r="JL22" s="525" t="str">
        <f t="shared" si="87"/>
        <v>0</v>
      </c>
      <c r="JM22" s="523"/>
      <c r="JN22" s="524">
        <f t="shared" si="88"/>
        <v>0</v>
      </c>
      <c r="JO22" s="525" t="str">
        <f t="shared" si="89"/>
        <v>0</v>
      </c>
      <c r="JP22" s="523"/>
      <c r="JQ22" s="525" t="str">
        <f t="shared" si="90"/>
        <v>0</v>
      </c>
      <c r="JR22" s="525" t="str">
        <f t="shared" si="91"/>
        <v>0</v>
      </c>
      <c r="JS22" s="523"/>
      <c r="JT22" s="525" t="str">
        <f t="shared" si="92"/>
        <v>0</v>
      </c>
      <c r="JU22" s="525" t="str">
        <f t="shared" si="93"/>
        <v>0</v>
      </c>
      <c r="JV22" s="523"/>
      <c r="JW22" s="525" t="str">
        <f t="shared" si="94"/>
        <v>0</v>
      </c>
      <c r="JX22" s="525" t="str">
        <f t="shared" si="95"/>
        <v>0</v>
      </c>
      <c r="JY22" s="523"/>
      <c r="JZ22" s="525" t="str">
        <f t="shared" si="96"/>
        <v>0</v>
      </c>
      <c r="KA22" s="525" t="str">
        <f t="shared" si="97"/>
        <v>0</v>
      </c>
      <c r="KB22" s="523"/>
      <c r="KC22" s="525" t="str">
        <f t="shared" si="98"/>
        <v>0</v>
      </c>
      <c r="KD22" s="525" t="str">
        <f t="shared" si="99"/>
        <v>0</v>
      </c>
      <c r="KE22" s="523"/>
      <c r="KF22" s="525" t="str">
        <f t="shared" si="100"/>
        <v>0</v>
      </c>
      <c r="KG22" s="525" t="str">
        <f t="shared" si="101"/>
        <v>0</v>
      </c>
      <c r="KH22" s="523"/>
      <c r="KI22" s="525" t="str">
        <f t="shared" si="102"/>
        <v>0</v>
      </c>
      <c r="KJ22" s="525" t="str">
        <f t="shared" si="103"/>
        <v>0</v>
      </c>
      <c r="KK22" s="523"/>
      <c r="KL22" s="525" t="str">
        <f t="shared" si="104"/>
        <v>0</v>
      </c>
      <c r="KM22" s="525" t="str">
        <f t="shared" si="105"/>
        <v>0</v>
      </c>
      <c r="KN22" s="523"/>
      <c r="KO22" s="525" t="str">
        <f t="shared" si="106"/>
        <v>0</v>
      </c>
      <c r="KP22" s="525" t="str">
        <f t="shared" si="107"/>
        <v>0</v>
      </c>
      <c r="KQ22" s="523"/>
      <c r="KR22" s="525" t="str">
        <f t="shared" si="108"/>
        <v>0</v>
      </c>
      <c r="KS22" s="525" t="str">
        <f t="shared" si="109"/>
        <v>0</v>
      </c>
      <c r="KT22" s="525">
        <f t="shared" si="201"/>
        <v>0</v>
      </c>
      <c r="KU22" s="525">
        <f t="shared" si="202"/>
        <v>0</v>
      </c>
      <c r="KV22" s="264">
        <f t="shared" si="198"/>
        <v>2085.853021253447</v>
      </c>
    </row>
    <row r="23" spans="1:309" ht="15" customHeight="1">
      <c r="A23" s="266">
        <f t="shared" si="199"/>
        <v>45976</v>
      </c>
      <c r="B23" s="267" t="str">
        <f>+Report1!B23</f>
        <v>Toilet</v>
      </c>
      <c r="C23" s="267" t="str">
        <f>+Report1!C23</f>
        <v>15,5</v>
      </c>
      <c r="D23" s="268">
        <f>+Report1!P23</f>
        <v>51.454999999999998</v>
      </c>
      <c r="E23" s="269">
        <f>+Report1!R23</f>
        <v>50.347999999999999</v>
      </c>
      <c r="F23" s="523"/>
      <c r="G23" s="524">
        <f t="shared" si="0"/>
        <v>0</v>
      </c>
      <c r="H23" s="525">
        <f t="shared" si="110"/>
        <v>0</v>
      </c>
      <c r="I23" s="523"/>
      <c r="J23" s="524">
        <f t="shared" si="1"/>
        <v>0</v>
      </c>
      <c r="K23" s="525">
        <f t="shared" si="111"/>
        <v>0</v>
      </c>
      <c r="L23" s="523"/>
      <c r="M23" s="524">
        <f t="shared" si="2"/>
        <v>0</v>
      </c>
      <c r="N23" s="525">
        <f t="shared" si="112"/>
        <v>0</v>
      </c>
      <c r="O23" s="523">
        <v>2.9304000000000201</v>
      </c>
      <c r="P23" s="524">
        <f t="shared" si="3"/>
        <v>5.8202907761977042E-2</v>
      </c>
      <c r="Q23" s="525">
        <f t="shared" si="113"/>
        <v>0</v>
      </c>
      <c r="R23" s="523"/>
      <c r="S23" s="524">
        <f t="shared" si="4"/>
        <v>0</v>
      </c>
      <c r="T23" s="525">
        <f t="shared" si="114"/>
        <v>0</v>
      </c>
      <c r="U23" s="523">
        <v>4.9939000000000249</v>
      </c>
      <c r="V23" s="524">
        <f t="shared" si="5"/>
        <v>9.9187653928657041E-2</v>
      </c>
      <c r="W23" s="525">
        <f t="shared" si="115"/>
        <v>0</v>
      </c>
      <c r="X23" s="523"/>
      <c r="Y23" s="524">
        <f t="shared" si="6"/>
        <v>0</v>
      </c>
      <c r="Z23" s="525">
        <f t="shared" si="116"/>
        <v>0</v>
      </c>
      <c r="AA23" s="523"/>
      <c r="AB23" s="524">
        <f t="shared" si="7"/>
        <v>0</v>
      </c>
      <c r="AC23" s="525">
        <f t="shared" si="117"/>
        <v>0</v>
      </c>
      <c r="AD23" s="523"/>
      <c r="AE23" s="524">
        <f t="shared" si="8"/>
        <v>0</v>
      </c>
      <c r="AF23" s="525">
        <f t="shared" si="118"/>
        <v>0</v>
      </c>
      <c r="AG23" s="523"/>
      <c r="AH23" s="524">
        <f t="shared" si="9"/>
        <v>0</v>
      </c>
      <c r="AI23" s="525">
        <f t="shared" si="119"/>
        <v>0</v>
      </c>
      <c r="AJ23" s="523">
        <v>1.4379999999999882</v>
      </c>
      <c r="AK23" s="524">
        <f t="shared" si="10"/>
        <v>2.8561213950901491E-2</v>
      </c>
      <c r="AL23" s="525">
        <f t="shared" si="120"/>
        <v>0</v>
      </c>
      <c r="AM23" s="523"/>
      <c r="AN23" s="524">
        <f t="shared" si="11"/>
        <v>0</v>
      </c>
      <c r="AO23" s="525">
        <f t="shared" si="121"/>
        <v>0</v>
      </c>
      <c r="AP23" s="523"/>
      <c r="AQ23" s="524">
        <f t="shared" si="12"/>
        <v>0</v>
      </c>
      <c r="AR23" s="525">
        <f t="shared" si="122"/>
        <v>0</v>
      </c>
      <c r="AS23" s="523"/>
      <c r="AT23" s="524">
        <f t="shared" si="13"/>
        <v>0</v>
      </c>
      <c r="AU23" s="525">
        <f t="shared" si="123"/>
        <v>0</v>
      </c>
      <c r="AV23" s="523"/>
      <c r="AW23" s="524">
        <f t="shared" si="14"/>
        <v>0</v>
      </c>
      <c r="AX23" s="525">
        <f t="shared" si="124"/>
        <v>0</v>
      </c>
      <c r="AY23" s="523"/>
      <c r="AZ23" s="524">
        <f t="shared" si="15"/>
        <v>0</v>
      </c>
      <c r="BA23" s="525">
        <f t="shared" si="125"/>
        <v>0</v>
      </c>
      <c r="BB23" s="523"/>
      <c r="BC23" s="524">
        <f t="shared" si="16"/>
        <v>0</v>
      </c>
      <c r="BD23" s="525">
        <f t="shared" si="126"/>
        <v>0</v>
      </c>
      <c r="BE23" s="523"/>
      <c r="BF23" s="524">
        <f t="shared" si="17"/>
        <v>0</v>
      </c>
      <c r="BG23" s="525">
        <f t="shared" si="127"/>
        <v>0</v>
      </c>
      <c r="BH23" s="523"/>
      <c r="BI23" s="524">
        <f t="shared" si="18"/>
        <v>0</v>
      </c>
      <c r="BJ23" s="525">
        <f t="shared" si="128"/>
        <v>0</v>
      </c>
      <c r="BK23" s="523"/>
      <c r="BL23" s="524">
        <f t="shared" si="19"/>
        <v>0</v>
      </c>
      <c r="BM23" s="525">
        <f t="shared" si="129"/>
        <v>0</v>
      </c>
      <c r="BN23" s="523"/>
      <c r="BO23" s="524">
        <f t="shared" si="20"/>
        <v>0</v>
      </c>
      <c r="BP23" s="525">
        <f t="shared" si="130"/>
        <v>0</v>
      </c>
      <c r="BQ23" s="523"/>
      <c r="BR23" s="524">
        <f t="shared" si="21"/>
        <v>0</v>
      </c>
      <c r="BS23" s="525">
        <f t="shared" si="131"/>
        <v>0</v>
      </c>
      <c r="BT23" s="523"/>
      <c r="BU23" s="524">
        <f t="shared" si="22"/>
        <v>0</v>
      </c>
      <c r="BV23" s="525">
        <f t="shared" si="132"/>
        <v>0</v>
      </c>
      <c r="BW23" s="523"/>
      <c r="BX23" s="524">
        <f t="shared" si="23"/>
        <v>0</v>
      </c>
      <c r="BY23" s="525">
        <f t="shared" si="133"/>
        <v>0</v>
      </c>
      <c r="BZ23" s="523"/>
      <c r="CA23" s="524">
        <f t="shared" si="24"/>
        <v>0</v>
      </c>
      <c r="CB23" s="525">
        <f t="shared" si="134"/>
        <v>0</v>
      </c>
      <c r="CC23" s="523"/>
      <c r="CD23" s="524">
        <f t="shared" si="25"/>
        <v>0</v>
      </c>
      <c r="CE23" s="525">
        <f t="shared" si="135"/>
        <v>0</v>
      </c>
      <c r="CF23" s="523">
        <v>3</v>
      </c>
      <c r="CG23" s="524">
        <f t="shared" si="26"/>
        <v>5.9585286406609997E-2</v>
      </c>
      <c r="CH23" s="525">
        <f t="shared" si="136"/>
        <v>0</v>
      </c>
      <c r="CI23" s="523"/>
      <c r="CJ23" s="524">
        <f t="shared" si="27"/>
        <v>0</v>
      </c>
      <c r="CK23" s="525">
        <f t="shared" si="137"/>
        <v>0</v>
      </c>
      <c r="CL23" s="523"/>
      <c r="CM23" s="524">
        <f t="shared" si="28"/>
        <v>0</v>
      </c>
      <c r="CN23" s="525">
        <f t="shared" si="138"/>
        <v>0</v>
      </c>
      <c r="CO23" s="523"/>
      <c r="CP23" s="524">
        <f t="shared" si="29"/>
        <v>0</v>
      </c>
      <c r="CQ23" s="525">
        <f t="shared" si="139"/>
        <v>0</v>
      </c>
      <c r="CR23" s="523"/>
      <c r="CS23" s="524">
        <f t="shared" si="30"/>
        <v>0</v>
      </c>
      <c r="CT23" s="525">
        <f t="shared" si="140"/>
        <v>0</v>
      </c>
      <c r="CU23" s="523"/>
      <c r="CV23" s="524">
        <f t="shared" si="31"/>
        <v>0</v>
      </c>
      <c r="CW23" s="525">
        <f t="shared" si="141"/>
        <v>0</v>
      </c>
      <c r="CX23" s="523"/>
      <c r="CY23" s="524">
        <f t="shared" si="32"/>
        <v>0</v>
      </c>
      <c r="CZ23" s="525">
        <f t="shared" si="142"/>
        <v>0</v>
      </c>
      <c r="DA23" s="523">
        <v>283.39906976744192</v>
      </c>
      <c r="DB23" s="524">
        <f t="shared" si="33"/>
        <v>5.6288049131532913</v>
      </c>
      <c r="DC23" s="525">
        <f t="shared" si="143"/>
        <v>0</v>
      </c>
      <c r="DD23" s="523"/>
      <c r="DE23" s="524">
        <f t="shared" si="34"/>
        <v>0</v>
      </c>
      <c r="DF23" s="525">
        <f t="shared" si="144"/>
        <v>0</v>
      </c>
      <c r="DG23" s="523"/>
      <c r="DH23" s="524">
        <f t="shared" si="35"/>
        <v>0</v>
      </c>
      <c r="DI23" s="525">
        <f t="shared" si="203"/>
        <v>0</v>
      </c>
      <c r="DJ23" s="523"/>
      <c r="DK23" s="524">
        <f t="shared" si="36"/>
        <v>0</v>
      </c>
      <c r="DL23" s="525">
        <f t="shared" si="145"/>
        <v>0</v>
      </c>
      <c r="DM23" s="523"/>
      <c r="DN23" s="524">
        <f t="shared" si="37"/>
        <v>0</v>
      </c>
      <c r="DO23" s="525">
        <f t="shared" si="146"/>
        <v>0</v>
      </c>
      <c r="DP23" s="523"/>
      <c r="DQ23" s="524">
        <f t="shared" si="38"/>
        <v>0</v>
      </c>
      <c r="DR23" s="525">
        <f t="shared" si="147"/>
        <v>0</v>
      </c>
      <c r="DS23" s="523"/>
      <c r="DT23" s="524">
        <f t="shared" si="39"/>
        <v>0</v>
      </c>
      <c r="DU23" s="525">
        <f t="shared" si="148"/>
        <v>0</v>
      </c>
      <c r="DV23" s="523"/>
      <c r="DW23" s="524">
        <f t="shared" si="40"/>
        <v>0</v>
      </c>
      <c r="DX23" s="525">
        <f t="shared" si="149"/>
        <v>0</v>
      </c>
      <c r="DY23" s="523"/>
      <c r="DZ23" s="524">
        <f t="shared" si="41"/>
        <v>0</v>
      </c>
      <c r="EA23" s="525">
        <f t="shared" si="150"/>
        <v>0</v>
      </c>
      <c r="EB23" s="523"/>
      <c r="EC23" s="524">
        <f t="shared" si="42"/>
        <v>0</v>
      </c>
      <c r="ED23" s="525">
        <f t="shared" si="151"/>
        <v>0</v>
      </c>
      <c r="EE23" s="523">
        <v>206.02999999999997</v>
      </c>
      <c r="EF23" s="524">
        <f t="shared" si="43"/>
        <v>4.0921188527846182</v>
      </c>
      <c r="EG23" s="525">
        <f t="shared" si="152"/>
        <v>0</v>
      </c>
      <c r="EH23" s="523">
        <v>0.5</v>
      </c>
      <c r="EI23" s="524">
        <f t="shared" si="44"/>
        <v>9.9308810677683334E-3</v>
      </c>
      <c r="EJ23" s="525">
        <f t="shared" si="153"/>
        <v>0</v>
      </c>
      <c r="EK23" s="523">
        <v>29.719731585365707</v>
      </c>
      <c r="EL23" s="524">
        <f t="shared" si="45"/>
        <v>0.59028623948052972</v>
      </c>
      <c r="EM23" s="525">
        <f t="shared" si="154"/>
        <v>0</v>
      </c>
      <c r="EN23" s="523">
        <v>48.179186046511632</v>
      </c>
      <c r="EO23" s="524">
        <f t="shared" si="46"/>
        <v>0.95692353313958112</v>
      </c>
      <c r="EP23" s="525">
        <f t="shared" si="155"/>
        <v>0</v>
      </c>
      <c r="EQ23" s="523"/>
      <c r="ER23" s="524">
        <f t="shared" si="47"/>
        <v>0</v>
      </c>
      <c r="ES23" s="525">
        <f t="shared" si="156"/>
        <v>0</v>
      </c>
      <c r="ET23" s="523"/>
      <c r="EU23" s="524">
        <f t="shared" si="48"/>
        <v>0</v>
      </c>
      <c r="EV23" s="525">
        <f t="shared" si="157"/>
        <v>0</v>
      </c>
      <c r="EW23" s="523"/>
      <c r="EX23" s="524">
        <f t="shared" si="49"/>
        <v>0</v>
      </c>
      <c r="EY23" s="525">
        <f t="shared" si="158"/>
        <v>0</v>
      </c>
      <c r="EZ23" s="523"/>
      <c r="FA23" s="524">
        <f t="shared" si="50"/>
        <v>0</v>
      </c>
      <c r="FB23" s="525">
        <f t="shared" si="159"/>
        <v>0</v>
      </c>
      <c r="FC23" s="523"/>
      <c r="FD23" s="524">
        <f t="shared" si="51"/>
        <v>0</v>
      </c>
      <c r="FE23" s="525">
        <f t="shared" si="160"/>
        <v>0</v>
      </c>
      <c r="FF23" s="523"/>
      <c r="FG23" s="524">
        <f t="shared" si="52"/>
        <v>0</v>
      </c>
      <c r="FH23" s="525">
        <f t="shared" si="161"/>
        <v>0</v>
      </c>
      <c r="FI23" s="523"/>
      <c r="FJ23" s="524">
        <f t="shared" si="53"/>
        <v>0</v>
      </c>
      <c r="FK23" s="525">
        <f t="shared" si="162"/>
        <v>0</v>
      </c>
      <c r="FL23" s="523"/>
      <c r="FM23" s="524">
        <f t="shared" si="54"/>
        <v>0</v>
      </c>
      <c r="FN23" s="525">
        <f t="shared" si="163"/>
        <v>0</v>
      </c>
      <c r="FO23" s="523"/>
      <c r="FP23" s="524">
        <f t="shared" si="55"/>
        <v>0</v>
      </c>
      <c r="FQ23" s="525">
        <f t="shared" si="164"/>
        <v>0</v>
      </c>
      <c r="FR23" s="523"/>
      <c r="FS23" s="524">
        <f t="shared" si="56"/>
        <v>0</v>
      </c>
      <c r="FT23" s="525">
        <f t="shared" si="165"/>
        <v>0</v>
      </c>
      <c r="FU23" s="523"/>
      <c r="FV23" s="524">
        <f t="shared" si="57"/>
        <v>0</v>
      </c>
      <c r="FW23" s="525">
        <f t="shared" si="166"/>
        <v>0</v>
      </c>
      <c r="FX23" s="523"/>
      <c r="FY23" s="524">
        <f t="shared" si="58"/>
        <v>0</v>
      </c>
      <c r="FZ23" s="525">
        <f t="shared" si="167"/>
        <v>0</v>
      </c>
      <c r="GA23" s="523">
        <v>10.008558479702787</v>
      </c>
      <c r="GB23" s="524">
        <f t="shared" si="168"/>
        <v>0.19878760784346522</v>
      </c>
      <c r="GC23" s="525">
        <f t="shared" si="169"/>
        <v>0</v>
      </c>
      <c r="GD23" s="523"/>
      <c r="GE23" s="524">
        <f t="shared" si="59"/>
        <v>0</v>
      </c>
      <c r="GF23" s="525">
        <f t="shared" si="170"/>
        <v>0</v>
      </c>
      <c r="GG23" s="523">
        <v>20.017116959405573</v>
      </c>
      <c r="GH23" s="524">
        <f t="shared" si="171"/>
        <v>0.39757521568693044</v>
      </c>
      <c r="GI23" s="525">
        <f t="shared" si="172"/>
        <v>0</v>
      </c>
      <c r="GJ23" s="523">
        <v>20.017116959405573</v>
      </c>
      <c r="GK23" s="524">
        <f t="shared" si="60"/>
        <v>0.39757521568693044</v>
      </c>
      <c r="GL23" s="525">
        <f t="shared" si="173"/>
        <v>0</v>
      </c>
      <c r="GM23" s="523">
        <v>5.0042792398513933</v>
      </c>
      <c r="GN23" s="524">
        <f t="shared" si="61"/>
        <v>9.939380392173261E-2</v>
      </c>
      <c r="GO23" s="525">
        <f t="shared" si="174"/>
        <v>0</v>
      </c>
      <c r="GP23" s="523">
        <v>27.523535819182666</v>
      </c>
      <c r="GQ23" s="524">
        <f t="shared" si="62"/>
        <v>0.54666592156952942</v>
      </c>
      <c r="GR23" s="525">
        <f t="shared" si="175"/>
        <v>0</v>
      </c>
      <c r="GS23" s="523">
        <v>225.19256579331272</v>
      </c>
      <c r="GT23" s="524">
        <f t="shared" si="63"/>
        <v>4.4727211764779682</v>
      </c>
      <c r="GU23" s="525">
        <f t="shared" si="176"/>
        <v>0</v>
      </c>
      <c r="GV23" s="523">
        <v>30.025675439108362</v>
      </c>
      <c r="GW23" s="524">
        <f t="shared" si="64"/>
        <v>0.59636282353039571</v>
      </c>
      <c r="GX23" s="525">
        <f t="shared" si="177"/>
        <v>0</v>
      </c>
      <c r="GY23" s="523"/>
      <c r="GZ23" s="524">
        <f t="shared" si="65"/>
        <v>0</v>
      </c>
      <c r="HA23" s="525">
        <f t="shared" si="178"/>
        <v>0</v>
      </c>
      <c r="HB23" s="523"/>
      <c r="HC23" s="524">
        <f t="shared" si="66"/>
        <v>0</v>
      </c>
      <c r="HD23" s="525">
        <f t="shared" si="179"/>
        <v>0</v>
      </c>
      <c r="HE23" s="523"/>
      <c r="HF23" s="524">
        <f t="shared" si="67"/>
        <v>0</v>
      </c>
      <c r="HG23" s="525">
        <f t="shared" si="180"/>
        <v>0</v>
      </c>
      <c r="HH23" s="523"/>
      <c r="HI23" s="524">
        <f t="shared" si="68"/>
        <v>0</v>
      </c>
      <c r="HJ23" s="525">
        <f t="shared" si="181"/>
        <v>0</v>
      </c>
      <c r="HK23" s="523"/>
      <c r="HL23" s="524">
        <f t="shared" si="69"/>
        <v>0</v>
      </c>
      <c r="HM23" s="525">
        <f t="shared" si="182"/>
        <v>0</v>
      </c>
      <c r="HN23" s="523">
        <v>904.27325864114687</v>
      </c>
      <c r="HO23" s="524">
        <f t="shared" si="70"/>
        <v>17.960460368657085</v>
      </c>
      <c r="HP23" s="525">
        <f t="shared" si="183"/>
        <v>0</v>
      </c>
      <c r="HQ23" s="523"/>
      <c r="HR23" s="524">
        <f t="shared" si="71"/>
        <v>0</v>
      </c>
      <c r="HS23" s="525">
        <f t="shared" si="184"/>
        <v>0</v>
      </c>
      <c r="HT23" s="523"/>
      <c r="HU23" s="524">
        <f t="shared" si="72"/>
        <v>0</v>
      </c>
      <c r="HV23" s="525">
        <f t="shared" si="185"/>
        <v>0</v>
      </c>
      <c r="HW23" s="523"/>
      <c r="HX23" s="524">
        <f t="shared" si="73"/>
        <v>0</v>
      </c>
      <c r="HY23" s="525">
        <f t="shared" si="186"/>
        <v>0</v>
      </c>
      <c r="HZ23" s="523"/>
      <c r="IA23" s="524">
        <f t="shared" si="74"/>
        <v>0</v>
      </c>
      <c r="IB23" s="525">
        <f t="shared" si="200"/>
        <v>0</v>
      </c>
      <c r="IC23" s="523"/>
      <c r="ID23" s="524">
        <f t="shared" si="75"/>
        <v>0</v>
      </c>
      <c r="IE23" s="525">
        <f t="shared" si="187"/>
        <v>0</v>
      </c>
      <c r="IF23" s="523"/>
      <c r="IG23" s="524">
        <f t="shared" si="76"/>
        <v>0</v>
      </c>
      <c r="IH23" s="525">
        <f t="shared" si="188"/>
        <v>0</v>
      </c>
      <c r="II23" s="523">
        <v>22.51925657933127</v>
      </c>
      <c r="IJ23" s="524">
        <f t="shared" si="77"/>
        <v>0.44727211764779673</v>
      </c>
      <c r="IK23" s="525">
        <f t="shared" si="189"/>
        <v>0</v>
      </c>
      <c r="IL23" s="523"/>
      <c r="IM23" s="524">
        <f t="shared" si="78"/>
        <v>0</v>
      </c>
      <c r="IN23" s="525">
        <f t="shared" si="190"/>
        <v>0</v>
      </c>
      <c r="IO23" s="523"/>
      <c r="IP23" s="524">
        <f t="shared" si="79"/>
        <v>0</v>
      </c>
      <c r="IQ23" s="525">
        <f t="shared" si="191"/>
        <v>0</v>
      </c>
      <c r="IR23" s="523">
        <v>50.042792398513939</v>
      </c>
      <c r="IS23" s="524">
        <f t="shared" si="80"/>
        <v>0.99393803921732615</v>
      </c>
      <c r="IT23" s="525">
        <f t="shared" si="192"/>
        <v>0</v>
      </c>
      <c r="IU23" s="523"/>
      <c r="IV23" s="524">
        <f t="shared" si="81"/>
        <v>0</v>
      </c>
      <c r="IW23" s="525">
        <f t="shared" si="193"/>
        <v>0</v>
      </c>
      <c r="IX23" s="523"/>
      <c r="IY23" s="524">
        <f t="shared" si="82"/>
        <v>0</v>
      </c>
      <c r="IZ23" s="525">
        <f t="shared" si="194"/>
        <v>0</v>
      </c>
      <c r="JA23" s="523"/>
      <c r="JB23" s="524">
        <f t="shared" si="83"/>
        <v>0</v>
      </c>
      <c r="JC23" s="525">
        <f t="shared" si="195"/>
        <v>0</v>
      </c>
      <c r="JD23" s="523"/>
      <c r="JE23" s="524">
        <f t="shared" si="84"/>
        <v>0</v>
      </c>
      <c r="JF23" s="525">
        <f t="shared" si="196"/>
        <v>0</v>
      </c>
      <c r="JG23" s="523"/>
      <c r="JH23" s="524">
        <f t="shared" si="85"/>
        <v>0</v>
      </c>
      <c r="JI23" s="525">
        <f t="shared" si="197"/>
        <v>0</v>
      </c>
      <c r="JJ23" s="523">
        <v>22.51925657933127</v>
      </c>
      <c r="JK23" s="524">
        <f t="shared" si="86"/>
        <v>0.44727211764779673</v>
      </c>
      <c r="JL23" s="525" t="str">
        <f t="shared" si="87"/>
        <v>0</v>
      </c>
      <c r="JM23" s="523"/>
      <c r="JN23" s="524">
        <f t="shared" si="88"/>
        <v>0</v>
      </c>
      <c r="JO23" s="525" t="str">
        <f t="shared" si="89"/>
        <v>0</v>
      </c>
      <c r="JP23" s="523"/>
      <c r="JQ23" s="525" t="str">
        <f t="shared" si="90"/>
        <v>0</v>
      </c>
      <c r="JR23" s="525" t="str">
        <f t="shared" si="91"/>
        <v>0</v>
      </c>
      <c r="JS23" s="523"/>
      <c r="JT23" s="525" t="str">
        <f t="shared" si="92"/>
        <v>0</v>
      </c>
      <c r="JU23" s="525" t="str">
        <f t="shared" si="93"/>
        <v>0</v>
      </c>
      <c r="JV23" s="523"/>
      <c r="JW23" s="525" t="str">
        <f t="shared" si="94"/>
        <v>0</v>
      </c>
      <c r="JX23" s="525" t="str">
        <f t="shared" si="95"/>
        <v>0</v>
      </c>
      <c r="JY23" s="523"/>
      <c r="JZ23" s="525" t="str">
        <f t="shared" si="96"/>
        <v>0</v>
      </c>
      <c r="KA23" s="525" t="str">
        <f t="shared" si="97"/>
        <v>0</v>
      </c>
      <c r="KB23" s="523"/>
      <c r="KC23" s="525" t="str">
        <f t="shared" si="98"/>
        <v>0</v>
      </c>
      <c r="KD23" s="525" t="str">
        <f t="shared" si="99"/>
        <v>0</v>
      </c>
      <c r="KE23" s="523"/>
      <c r="KF23" s="525" t="str">
        <f t="shared" si="100"/>
        <v>0</v>
      </c>
      <c r="KG23" s="525" t="str">
        <f t="shared" si="101"/>
        <v>0</v>
      </c>
      <c r="KH23" s="523"/>
      <c r="KI23" s="525" t="str">
        <f t="shared" si="102"/>
        <v>0</v>
      </c>
      <c r="KJ23" s="525" t="str">
        <f t="shared" si="103"/>
        <v>0</v>
      </c>
      <c r="KK23" s="523"/>
      <c r="KL23" s="525" t="str">
        <f t="shared" si="104"/>
        <v>0</v>
      </c>
      <c r="KM23" s="525" t="str">
        <f t="shared" si="105"/>
        <v>0</v>
      </c>
      <c r="KN23" s="523"/>
      <c r="KO23" s="525" t="str">
        <f t="shared" si="106"/>
        <v>0</v>
      </c>
      <c r="KP23" s="525" t="str">
        <f t="shared" si="107"/>
        <v>0</v>
      </c>
      <c r="KQ23" s="523"/>
      <c r="KR23" s="525" t="str">
        <f t="shared" si="108"/>
        <v>0</v>
      </c>
      <c r="KS23" s="525" t="str">
        <f t="shared" si="109"/>
        <v>0</v>
      </c>
      <c r="KT23" s="525">
        <f t="shared" si="201"/>
        <v>0</v>
      </c>
      <c r="KU23" s="525">
        <f t="shared" si="202"/>
        <v>0</v>
      </c>
      <c r="KV23" s="264">
        <f t="shared" si="198"/>
        <v>1917.3337002876119</v>
      </c>
    </row>
    <row r="24" spans="1:309" ht="15" customHeight="1">
      <c r="A24" s="266">
        <f t="shared" si="199"/>
        <v>45977</v>
      </c>
      <c r="B24" s="267" t="str">
        <f>+Report1!B24</f>
        <v>Toilet</v>
      </c>
      <c r="C24" s="267" t="str">
        <f>+Report1!C24</f>
        <v>15,5/16</v>
      </c>
      <c r="D24" s="268">
        <f>+Report1!P24</f>
        <v>54.106999999999999</v>
      </c>
      <c r="E24" s="269">
        <f>+Report1!R24</f>
        <v>52.406999999999996</v>
      </c>
      <c r="F24" s="523"/>
      <c r="G24" s="524">
        <f t="shared" si="0"/>
        <v>0</v>
      </c>
      <c r="H24" s="525">
        <f t="shared" si="110"/>
        <v>0</v>
      </c>
      <c r="I24" s="523"/>
      <c r="J24" s="524">
        <f t="shared" si="1"/>
        <v>0</v>
      </c>
      <c r="K24" s="525">
        <f t="shared" si="111"/>
        <v>0</v>
      </c>
      <c r="L24" s="523"/>
      <c r="M24" s="524">
        <f t="shared" si="2"/>
        <v>0</v>
      </c>
      <c r="N24" s="525">
        <f t="shared" si="112"/>
        <v>0</v>
      </c>
      <c r="O24" s="523">
        <v>3.0740000000000123</v>
      </c>
      <c r="P24" s="524">
        <f t="shared" si="3"/>
        <v>5.8656286373957915E-2</v>
      </c>
      <c r="Q24" s="525">
        <f t="shared" si="113"/>
        <v>0</v>
      </c>
      <c r="R24" s="523"/>
      <c r="S24" s="524">
        <f t="shared" si="4"/>
        <v>0</v>
      </c>
      <c r="T24" s="525">
        <f t="shared" si="114"/>
        <v>0</v>
      </c>
      <c r="U24" s="523">
        <v>5.2529999999999859</v>
      </c>
      <c r="V24" s="524">
        <f t="shared" si="5"/>
        <v>0.10023470147117725</v>
      </c>
      <c r="W24" s="525">
        <f t="shared" si="115"/>
        <v>0</v>
      </c>
      <c r="X24" s="523"/>
      <c r="Y24" s="524">
        <f t="shared" si="6"/>
        <v>0</v>
      </c>
      <c r="Z24" s="525">
        <f t="shared" si="116"/>
        <v>0</v>
      </c>
      <c r="AA24" s="523"/>
      <c r="AB24" s="524">
        <f t="shared" si="7"/>
        <v>0</v>
      </c>
      <c r="AC24" s="525">
        <f t="shared" si="117"/>
        <v>0</v>
      </c>
      <c r="AD24" s="523"/>
      <c r="AE24" s="524">
        <f t="shared" si="8"/>
        <v>0</v>
      </c>
      <c r="AF24" s="525">
        <f t="shared" si="118"/>
        <v>0</v>
      </c>
      <c r="AG24" s="523"/>
      <c r="AH24" s="524">
        <f t="shared" si="9"/>
        <v>0</v>
      </c>
      <c r="AI24" s="525">
        <f t="shared" si="119"/>
        <v>0</v>
      </c>
      <c r="AJ24" s="523">
        <v>1.5006000000000199</v>
      </c>
      <c r="AK24" s="524">
        <f t="shared" si="10"/>
        <v>2.8633579483657145E-2</v>
      </c>
      <c r="AL24" s="525">
        <f t="shared" si="120"/>
        <v>0</v>
      </c>
      <c r="AM24" s="523"/>
      <c r="AN24" s="524">
        <f t="shared" si="11"/>
        <v>0</v>
      </c>
      <c r="AO24" s="525">
        <f t="shared" si="121"/>
        <v>0</v>
      </c>
      <c r="AP24" s="523"/>
      <c r="AQ24" s="524">
        <f t="shared" si="12"/>
        <v>0</v>
      </c>
      <c r="AR24" s="525">
        <f t="shared" si="122"/>
        <v>0</v>
      </c>
      <c r="AS24" s="523"/>
      <c r="AT24" s="524">
        <f t="shared" si="13"/>
        <v>0</v>
      </c>
      <c r="AU24" s="525">
        <f t="shared" si="123"/>
        <v>0</v>
      </c>
      <c r="AV24" s="523"/>
      <c r="AW24" s="524">
        <f t="shared" si="14"/>
        <v>0</v>
      </c>
      <c r="AX24" s="525">
        <f t="shared" si="124"/>
        <v>0</v>
      </c>
      <c r="AY24" s="523"/>
      <c r="AZ24" s="524">
        <f t="shared" si="15"/>
        <v>0</v>
      </c>
      <c r="BA24" s="525">
        <f t="shared" si="125"/>
        <v>0</v>
      </c>
      <c r="BB24" s="523"/>
      <c r="BC24" s="524">
        <f t="shared" si="16"/>
        <v>0</v>
      </c>
      <c r="BD24" s="525">
        <f t="shared" si="126"/>
        <v>0</v>
      </c>
      <c r="BE24" s="523"/>
      <c r="BF24" s="524">
        <f t="shared" si="17"/>
        <v>0</v>
      </c>
      <c r="BG24" s="525">
        <f t="shared" si="127"/>
        <v>0</v>
      </c>
      <c r="BH24" s="523"/>
      <c r="BI24" s="524">
        <f t="shared" si="18"/>
        <v>0</v>
      </c>
      <c r="BJ24" s="525">
        <f t="shared" si="128"/>
        <v>0</v>
      </c>
      <c r="BK24" s="523"/>
      <c r="BL24" s="524">
        <f t="shared" si="19"/>
        <v>0</v>
      </c>
      <c r="BM24" s="525">
        <f t="shared" si="129"/>
        <v>0</v>
      </c>
      <c r="BN24" s="523"/>
      <c r="BO24" s="524">
        <f t="shared" si="20"/>
        <v>0</v>
      </c>
      <c r="BP24" s="525">
        <f t="shared" si="130"/>
        <v>0</v>
      </c>
      <c r="BQ24" s="523"/>
      <c r="BR24" s="524">
        <f t="shared" si="21"/>
        <v>0</v>
      </c>
      <c r="BS24" s="525">
        <f t="shared" si="131"/>
        <v>0</v>
      </c>
      <c r="BT24" s="523"/>
      <c r="BU24" s="524">
        <f t="shared" si="22"/>
        <v>0</v>
      </c>
      <c r="BV24" s="525">
        <f t="shared" si="132"/>
        <v>0</v>
      </c>
      <c r="BW24" s="523"/>
      <c r="BX24" s="524">
        <f t="shared" si="23"/>
        <v>0</v>
      </c>
      <c r="BY24" s="525">
        <f t="shared" si="133"/>
        <v>0</v>
      </c>
      <c r="BZ24" s="523"/>
      <c r="CA24" s="524">
        <f t="shared" si="24"/>
        <v>0</v>
      </c>
      <c r="CB24" s="525">
        <f t="shared" si="134"/>
        <v>0</v>
      </c>
      <c r="CC24" s="523"/>
      <c r="CD24" s="524">
        <f t="shared" si="25"/>
        <v>0</v>
      </c>
      <c r="CE24" s="525">
        <f t="shared" si="135"/>
        <v>0</v>
      </c>
      <c r="CF24" s="523">
        <v>3</v>
      </c>
      <c r="CG24" s="524">
        <f t="shared" si="26"/>
        <v>5.7244261262808405E-2</v>
      </c>
      <c r="CH24" s="525">
        <f t="shared" si="136"/>
        <v>0</v>
      </c>
      <c r="CI24" s="523"/>
      <c r="CJ24" s="524">
        <f t="shared" si="27"/>
        <v>0</v>
      </c>
      <c r="CK24" s="525">
        <f t="shared" si="137"/>
        <v>0</v>
      </c>
      <c r="CL24" s="523"/>
      <c r="CM24" s="524">
        <f t="shared" si="28"/>
        <v>0</v>
      </c>
      <c r="CN24" s="525">
        <f t="shared" si="138"/>
        <v>0</v>
      </c>
      <c r="CO24" s="523"/>
      <c r="CP24" s="524">
        <f t="shared" si="29"/>
        <v>0</v>
      </c>
      <c r="CQ24" s="525">
        <f t="shared" si="139"/>
        <v>0</v>
      </c>
      <c r="CR24" s="523"/>
      <c r="CS24" s="524">
        <f t="shared" si="30"/>
        <v>0</v>
      </c>
      <c r="CT24" s="525">
        <f t="shared" si="140"/>
        <v>0</v>
      </c>
      <c r="CU24" s="523"/>
      <c r="CV24" s="524">
        <f t="shared" si="31"/>
        <v>0</v>
      </c>
      <c r="CW24" s="525">
        <f t="shared" si="141"/>
        <v>0</v>
      </c>
      <c r="CX24" s="523"/>
      <c r="CY24" s="524">
        <f t="shared" si="32"/>
        <v>0</v>
      </c>
      <c r="CZ24" s="525">
        <f t="shared" si="142"/>
        <v>0</v>
      </c>
      <c r="DA24" s="523">
        <v>297.99600000000009</v>
      </c>
      <c r="DB24" s="524">
        <f t="shared" si="33"/>
        <v>5.6861869597572863</v>
      </c>
      <c r="DC24" s="525">
        <f t="shared" si="143"/>
        <v>0</v>
      </c>
      <c r="DD24" s="523"/>
      <c r="DE24" s="524">
        <f t="shared" si="34"/>
        <v>0</v>
      </c>
      <c r="DF24" s="525">
        <f t="shared" si="144"/>
        <v>0</v>
      </c>
      <c r="DG24" s="523"/>
      <c r="DH24" s="524">
        <f t="shared" si="35"/>
        <v>0</v>
      </c>
      <c r="DI24" s="525">
        <f t="shared" si="203"/>
        <v>0</v>
      </c>
      <c r="DJ24" s="523"/>
      <c r="DK24" s="524">
        <f t="shared" si="36"/>
        <v>0</v>
      </c>
      <c r="DL24" s="525">
        <f t="shared" si="145"/>
        <v>0</v>
      </c>
      <c r="DM24" s="523"/>
      <c r="DN24" s="524">
        <f t="shared" si="37"/>
        <v>0</v>
      </c>
      <c r="DO24" s="525">
        <f t="shared" si="146"/>
        <v>0</v>
      </c>
      <c r="DP24" s="523"/>
      <c r="DQ24" s="524">
        <f t="shared" si="38"/>
        <v>0</v>
      </c>
      <c r="DR24" s="525">
        <f t="shared" si="147"/>
        <v>0</v>
      </c>
      <c r="DS24" s="523"/>
      <c r="DT24" s="524">
        <f t="shared" si="39"/>
        <v>0</v>
      </c>
      <c r="DU24" s="525">
        <f t="shared" si="148"/>
        <v>0</v>
      </c>
      <c r="DV24" s="523"/>
      <c r="DW24" s="524">
        <f t="shared" si="40"/>
        <v>0</v>
      </c>
      <c r="DX24" s="525">
        <f t="shared" si="149"/>
        <v>0</v>
      </c>
      <c r="DY24" s="523"/>
      <c r="DZ24" s="524">
        <f t="shared" si="41"/>
        <v>0</v>
      </c>
      <c r="EA24" s="525">
        <f t="shared" si="150"/>
        <v>0</v>
      </c>
      <c r="EB24" s="523"/>
      <c r="EC24" s="524">
        <f t="shared" si="42"/>
        <v>0</v>
      </c>
      <c r="ED24" s="525">
        <f t="shared" si="151"/>
        <v>0</v>
      </c>
      <c r="EE24" s="523">
        <v>216.64999999999998</v>
      </c>
      <c r="EF24" s="524">
        <f t="shared" si="43"/>
        <v>4.1339897341958132</v>
      </c>
      <c r="EG24" s="525">
        <f t="shared" si="152"/>
        <v>0</v>
      </c>
      <c r="EH24" s="523">
        <v>0.5</v>
      </c>
      <c r="EI24" s="524">
        <f t="shared" si="44"/>
        <v>9.5407102104680674E-3</v>
      </c>
      <c r="EJ24" s="525">
        <f t="shared" si="153"/>
        <v>0</v>
      </c>
      <c r="EK24" s="523">
        <v>31.252934999999979</v>
      </c>
      <c r="EL24" s="524">
        <f t="shared" si="45"/>
        <v>0.5963503921231893</v>
      </c>
      <c r="EM24" s="525">
        <f t="shared" si="154"/>
        <v>0</v>
      </c>
      <c r="EN24" s="523">
        <v>50.659999999999968</v>
      </c>
      <c r="EO24" s="524">
        <f t="shared" si="46"/>
        <v>0.96666475852462408</v>
      </c>
      <c r="EP24" s="525">
        <f t="shared" si="155"/>
        <v>0</v>
      </c>
      <c r="EQ24" s="523"/>
      <c r="ER24" s="524">
        <f t="shared" si="47"/>
        <v>0</v>
      </c>
      <c r="ES24" s="525">
        <f t="shared" si="156"/>
        <v>0</v>
      </c>
      <c r="ET24" s="523"/>
      <c r="EU24" s="524">
        <f t="shared" si="48"/>
        <v>0</v>
      </c>
      <c r="EV24" s="525">
        <f t="shared" si="157"/>
        <v>0</v>
      </c>
      <c r="EW24" s="523"/>
      <c r="EX24" s="524">
        <f t="shared" si="49"/>
        <v>0</v>
      </c>
      <c r="EY24" s="525">
        <f t="shared" si="158"/>
        <v>0</v>
      </c>
      <c r="EZ24" s="523"/>
      <c r="FA24" s="524">
        <f t="shared" si="50"/>
        <v>0</v>
      </c>
      <c r="FB24" s="525">
        <f t="shared" si="159"/>
        <v>0</v>
      </c>
      <c r="FC24" s="523"/>
      <c r="FD24" s="524">
        <f t="shared" si="51"/>
        <v>0</v>
      </c>
      <c r="FE24" s="525">
        <f t="shared" si="160"/>
        <v>0</v>
      </c>
      <c r="FF24" s="523"/>
      <c r="FG24" s="524">
        <f t="shared" si="52"/>
        <v>0</v>
      </c>
      <c r="FH24" s="525">
        <f t="shared" si="161"/>
        <v>0</v>
      </c>
      <c r="FI24" s="523"/>
      <c r="FJ24" s="524">
        <f t="shared" si="53"/>
        <v>0</v>
      </c>
      <c r="FK24" s="525">
        <f t="shared" si="162"/>
        <v>0</v>
      </c>
      <c r="FL24" s="523"/>
      <c r="FM24" s="524">
        <f t="shared" si="54"/>
        <v>0</v>
      </c>
      <c r="FN24" s="525">
        <f t="shared" si="163"/>
        <v>0</v>
      </c>
      <c r="FO24" s="523"/>
      <c r="FP24" s="524">
        <f t="shared" si="55"/>
        <v>0</v>
      </c>
      <c r="FQ24" s="525">
        <f t="shared" si="164"/>
        <v>0</v>
      </c>
      <c r="FR24" s="523"/>
      <c r="FS24" s="524">
        <f t="shared" si="56"/>
        <v>0</v>
      </c>
      <c r="FT24" s="525">
        <f t="shared" si="165"/>
        <v>0</v>
      </c>
      <c r="FU24" s="523"/>
      <c r="FV24" s="524">
        <f t="shared" si="57"/>
        <v>0</v>
      </c>
      <c r="FW24" s="525">
        <f t="shared" si="166"/>
        <v>0</v>
      </c>
      <c r="FX24" s="523"/>
      <c r="FY24" s="524">
        <f t="shared" si="58"/>
        <v>0</v>
      </c>
      <c r="FZ24" s="525">
        <f t="shared" si="167"/>
        <v>0</v>
      </c>
      <c r="GA24" s="523">
        <v>11.122257053291536</v>
      </c>
      <c r="GB24" s="524">
        <f t="shared" si="168"/>
        <v>0.21222846286357808</v>
      </c>
      <c r="GC24" s="525">
        <f t="shared" si="169"/>
        <v>0</v>
      </c>
      <c r="GD24" s="523"/>
      <c r="GE24" s="524">
        <f t="shared" si="59"/>
        <v>0</v>
      </c>
      <c r="GF24" s="525">
        <f t="shared" si="170"/>
        <v>0</v>
      </c>
      <c r="GG24" s="523">
        <v>16.683385579937305</v>
      </c>
      <c r="GH24" s="524">
        <f t="shared" si="171"/>
        <v>0.31834269429536716</v>
      </c>
      <c r="GI24" s="525">
        <f t="shared" si="172"/>
        <v>0</v>
      </c>
      <c r="GJ24" s="523">
        <v>16.683385579937305</v>
      </c>
      <c r="GK24" s="524">
        <f t="shared" si="60"/>
        <v>0.31834269429536716</v>
      </c>
      <c r="GL24" s="525">
        <f t="shared" si="173"/>
        <v>0</v>
      </c>
      <c r="GM24" s="523"/>
      <c r="GN24" s="524">
        <f t="shared" si="61"/>
        <v>0</v>
      </c>
      <c r="GO24" s="525">
        <f t="shared" si="174"/>
        <v>0</v>
      </c>
      <c r="GP24" s="523">
        <v>36.147335423197489</v>
      </c>
      <c r="GQ24" s="524">
        <f t="shared" si="62"/>
        <v>0.68974250430662876</v>
      </c>
      <c r="GR24" s="525">
        <f t="shared" si="175"/>
        <v>0</v>
      </c>
      <c r="GS24" s="523">
        <v>239.12852664576801</v>
      </c>
      <c r="GT24" s="524">
        <f t="shared" si="63"/>
        <v>4.5629119515669281</v>
      </c>
      <c r="GU24" s="525">
        <f t="shared" si="176"/>
        <v>0</v>
      </c>
      <c r="GV24" s="523">
        <v>27.805642633228839</v>
      </c>
      <c r="GW24" s="524">
        <f t="shared" si="64"/>
        <v>0.53057115715894521</v>
      </c>
      <c r="GX24" s="525">
        <f t="shared" si="177"/>
        <v>0</v>
      </c>
      <c r="GY24" s="523"/>
      <c r="GZ24" s="524">
        <f t="shared" si="65"/>
        <v>0</v>
      </c>
      <c r="HA24" s="525">
        <f t="shared" si="178"/>
        <v>0</v>
      </c>
      <c r="HB24" s="523"/>
      <c r="HC24" s="524">
        <f t="shared" si="66"/>
        <v>0</v>
      </c>
      <c r="HD24" s="525">
        <f t="shared" si="179"/>
        <v>0</v>
      </c>
      <c r="HE24" s="523"/>
      <c r="HF24" s="524">
        <f t="shared" si="67"/>
        <v>0</v>
      </c>
      <c r="HG24" s="525">
        <f t="shared" si="180"/>
        <v>0</v>
      </c>
      <c r="HH24" s="523"/>
      <c r="HI24" s="524">
        <f t="shared" si="68"/>
        <v>0</v>
      </c>
      <c r="HJ24" s="525">
        <f t="shared" si="181"/>
        <v>0</v>
      </c>
      <c r="HK24" s="523"/>
      <c r="HL24" s="524">
        <f t="shared" si="69"/>
        <v>0</v>
      </c>
      <c r="HM24" s="525">
        <f t="shared" si="182"/>
        <v>0</v>
      </c>
      <c r="HN24" s="523">
        <v>838.06206896551714</v>
      </c>
      <c r="HO24" s="524">
        <f t="shared" si="70"/>
        <v>15.991414676770606</v>
      </c>
      <c r="HP24" s="525">
        <f t="shared" si="183"/>
        <v>0</v>
      </c>
      <c r="HQ24" s="523"/>
      <c r="HR24" s="524">
        <f t="shared" si="71"/>
        <v>0</v>
      </c>
      <c r="HS24" s="525">
        <f t="shared" si="184"/>
        <v>0</v>
      </c>
      <c r="HT24" s="523"/>
      <c r="HU24" s="524">
        <f t="shared" si="72"/>
        <v>0</v>
      </c>
      <c r="HV24" s="525">
        <f t="shared" si="185"/>
        <v>0</v>
      </c>
      <c r="HW24" s="523"/>
      <c r="HX24" s="524">
        <f t="shared" si="73"/>
        <v>0</v>
      </c>
      <c r="HY24" s="525">
        <f t="shared" si="186"/>
        <v>0</v>
      </c>
      <c r="HZ24" s="523"/>
      <c r="IA24" s="524">
        <f t="shared" si="74"/>
        <v>0</v>
      </c>
      <c r="IB24" s="525">
        <f t="shared" si="200"/>
        <v>0</v>
      </c>
      <c r="IC24" s="523"/>
      <c r="ID24" s="524">
        <f t="shared" si="75"/>
        <v>0</v>
      </c>
      <c r="IE24" s="525">
        <f t="shared" si="187"/>
        <v>0</v>
      </c>
      <c r="IF24" s="523"/>
      <c r="IG24" s="524">
        <f t="shared" si="76"/>
        <v>0</v>
      </c>
      <c r="IH24" s="525">
        <f t="shared" si="188"/>
        <v>0</v>
      </c>
      <c r="II24" s="523">
        <v>25.025078369905955</v>
      </c>
      <c r="IJ24" s="524">
        <f t="shared" si="77"/>
        <v>0.47751404144305071</v>
      </c>
      <c r="IK24" s="525">
        <f t="shared" si="189"/>
        <v>0</v>
      </c>
      <c r="IL24" s="523"/>
      <c r="IM24" s="524">
        <f t="shared" si="78"/>
        <v>0</v>
      </c>
      <c r="IN24" s="525">
        <f t="shared" si="190"/>
        <v>0</v>
      </c>
      <c r="IO24" s="523"/>
      <c r="IP24" s="524">
        <f t="shared" si="79"/>
        <v>0</v>
      </c>
      <c r="IQ24" s="525">
        <f t="shared" si="191"/>
        <v>0</v>
      </c>
      <c r="IR24" s="523">
        <v>55.611285266457678</v>
      </c>
      <c r="IS24" s="524">
        <f t="shared" si="80"/>
        <v>1.0611423143178904</v>
      </c>
      <c r="IT24" s="525">
        <f t="shared" si="192"/>
        <v>0</v>
      </c>
      <c r="IU24" s="523"/>
      <c r="IV24" s="524">
        <f t="shared" si="81"/>
        <v>0</v>
      </c>
      <c r="IW24" s="525">
        <f t="shared" si="193"/>
        <v>0</v>
      </c>
      <c r="IX24" s="523"/>
      <c r="IY24" s="524">
        <f t="shared" si="82"/>
        <v>0</v>
      </c>
      <c r="IZ24" s="525">
        <f t="shared" si="194"/>
        <v>0</v>
      </c>
      <c r="JA24" s="523"/>
      <c r="JB24" s="524">
        <f t="shared" si="83"/>
        <v>0</v>
      </c>
      <c r="JC24" s="525">
        <f t="shared" si="195"/>
        <v>0</v>
      </c>
      <c r="JD24" s="523"/>
      <c r="JE24" s="524">
        <f t="shared" si="84"/>
        <v>0</v>
      </c>
      <c r="JF24" s="525">
        <f t="shared" si="196"/>
        <v>0</v>
      </c>
      <c r="JG24" s="523"/>
      <c r="JH24" s="524">
        <f t="shared" si="85"/>
        <v>0</v>
      </c>
      <c r="JI24" s="525">
        <f t="shared" si="197"/>
        <v>0</v>
      </c>
      <c r="JJ24" s="523">
        <v>25.025078369905955</v>
      </c>
      <c r="JK24" s="524">
        <f t="shared" si="86"/>
        <v>0.47751404144305071</v>
      </c>
      <c r="JL24" s="525" t="str">
        <f t="shared" si="87"/>
        <v>0</v>
      </c>
      <c r="JM24" s="523"/>
      <c r="JN24" s="524">
        <f t="shared" si="88"/>
        <v>0</v>
      </c>
      <c r="JO24" s="525" t="str">
        <f t="shared" si="89"/>
        <v>0</v>
      </c>
      <c r="JP24" s="523"/>
      <c r="JQ24" s="525" t="str">
        <f t="shared" si="90"/>
        <v>0</v>
      </c>
      <c r="JR24" s="525" t="str">
        <f t="shared" si="91"/>
        <v>0</v>
      </c>
      <c r="JS24" s="523"/>
      <c r="JT24" s="525" t="str">
        <f t="shared" si="92"/>
        <v>0</v>
      </c>
      <c r="JU24" s="525" t="str">
        <f t="shared" si="93"/>
        <v>0</v>
      </c>
      <c r="JV24" s="523"/>
      <c r="JW24" s="525" t="str">
        <f t="shared" si="94"/>
        <v>0</v>
      </c>
      <c r="JX24" s="525" t="str">
        <f t="shared" si="95"/>
        <v>0</v>
      </c>
      <c r="JY24" s="523"/>
      <c r="JZ24" s="525" t="str">
        <f t="shared" si="96"/>
        <v>0</v>
      </c>
      <c r="KA24" s="525" t="str">
        <f t="shared" si="97"/>
        <v>0</v>
      </c>
      <c r="KB24" s="523"/>
      <c r="KC24" s="525" t="str">
        <f t="shared" si="98"/>
        <v>0</v>
      </c>
      <c r="KD24" s="525" t="str">
        <f t="shared" si="99"/>
        <v>0</v>
      </c>
      <c r="KE24" s="523"/>
      <c r="KF24" s="525" t="str">
        <f t="shared" si="100"/>
        <v>0</v>
      </c>
      <c r="KG24" s="525" t="str">
        <f t="shared" si="101"/>
        <v>0</v>
      </c>
      <c r="KH24" s="523"/>
      <c r="KI24" s="525" t="str">
        <f t="shared" si="102"/>
        <v>0</v>
      </c>
      <c r="KJ24" s="525" t="str">
        <f t="shared" si="103"/>
        <v>0</v>
      </c>
      <c r="KK24" s="523"/>
      <c r="KL24" s="525" t="str">
        <f t="shared" si="104"/>
        <v>0</v>
      </c>
      <c r="KM24" s="525" t="str">
        <f t="shared" si="105"/>
        <v>0</v>
      </c>
      <c r="KN24" s="523"/>
      <c r="KO24" s="525" t="str">
        <f t="shared" si="106"/>
        <v>0</v>
      </c>
      <c r="KP24" s="525" t="str">
        <f t="shared" si="107"/>
        <v>0</v>
      </c>
      <c r="KQ24" s="523"/>
      <c r="KR24" s="525" t="str">
        <f t="shared" si="108"/>
        <v>0</v>
      </c>
      <c r="KS24" s="525" t="str">
        <f t="shared" si="109"/>
        <v>0</v>
      </c>
      <c r="KT24" s="525">
        <f t="shared" si="201"/>
        <v>0</v>
      </c>
      <c r="KU24" s="525">
        <f t="shared" si="202"/>
        <v>0</v>
      </c>
      <c r="KV24" s="264">
        <f t="shared" si="198"/>
        <v>1901.1805788871475</v>
      </c>
    </row>
    <row r="25" spans="1:309" ht="15" customHeight="1">
      <c r="A25" s="266">
        <f t="shared" si="199"/>
        <v>45978</v>
      </c>
      <c r="B25" s="267" t="str">
        <f>+Report1!B25</f>
        <v>Toilet</v>
      </c>
      <c r="C25" s="267" t="str">
        <f>+Report1!C25</f>
        <v>16/15,5</v>
      </c>
      <c r="D25" s="268">
        <f>+Report1!P25</f>
        <v>53.837000000000003</v>
      </c>
      <c r="E25" s="269">
        <f>+Report1!R25</f>
        <v>52.018000000000001</v>
      </c>
      <c r="F25" s="523"/>
      <c r="G25" s="524">
        <f t="shared" si="0"/>
        <v>0</v>
      </c>
      <c r="H25" s="525">
        <f t="shared" si="110"/>
        <v>0</v>
      </c>
      <c r="I25" s="523"/>
      <c r="J25" s="524">
        <f t="shared" si="1"/>
        <v>0</v>
      </c>
      <c r="K25" s="525">
        <f t="shared" si="111"/>
        <v>0</v>
      </c>
      <c r="L25" s="523"/>
      <c r="M25" s="524">
        <f t="shared" si="2"/>
        <v>0</v>
      </c>
      <c r="N25" s="525">
        <f t="shared" si="112"/>
        <v>0</v>
      </c>
      <c r="O25" s="523">
        <v>2.9955999999999676</v>
      </c>
      <c r="P25" s="524">
        <f t="shared" si="3"/>
        <v>5.7587758083739622E-2</v>
      </c>
      <c r="Q25" s="525">
        <f t="shared" si="113"/>
        <v>0</v>
      </c>
      <c r="R25" s="523"/>
      <c r="S25" s="524">
        <f t="shared" si="4"/>
        <v>0</v>
      </c>
      <c r="T25" s="525">
        <f t="shared" si="114"/>
        <v>0</v>
      </c>
      <c r="U25" s="523">
        <v>5.1280999999999892</v>
      </c>
      <c r="V25" s="524">
        <f t="shared" si="5"/>
        <v>9.8583182744434408E-2</v>
      </c>
      <c r="W25" s="525">
        <f t="shared" si="115"/>
        <v>0</v>
      </c>
      <c r="X25" s="523"/>
      <c r="Y25" s="524">
        <f t="shared" si="6"/>
        <v>0</v>
      </c>
      <c r="Z25" s="525">
        <f t="shared" si="116"/>
        <v>0</v>
      </c>
      <c r="AA25" s="523"/>
      <c r="AB25" s="524">
        <f t="shared" si="7"/>
        <v>0</v>
      </c>
      <c r="AC25" s="525">
        <f t="shared" si="117"/>
        <v>0</v>
      </c>
      <c r="AD25" s="523"/>
      <c r="AE25" s="524">
        <f t="shared" si="8"/>
        <v>0</v>
      </c>
      <c r="AF25" s="525">
        <f t="shared" si="118"/>
        <v>0</v>
      </c>
      <c r="AG25" s="523"/>
      <c r="AH25" s="524">
        <f t="shared" si="9"/>
        <v>0</v>
      </c>
      <c r="AI25" s="525">
        <f t="shared" si="119"/>
        <v>0</v>
      </c>
      <c r="AJ25" s="523">
        <v>2.9364000000000203</v>
      </c>
      <c r="AK25" s="524">
        <f t="shared" si="10"/>
        <v>5.6449690491753246E-2</v>
      </c>
      <c r="AL25" s="525">
        <f t="shared" si="120"/>
        <v>0</v>
      </c>
      <c r="AM25" s="523"/>
      <c r="AN25" s="524">
        <f t="shared" si="11"/>
        <v>0</v>
      </c>
      <c r="AO25" s="525">
        <f t="shared" si="121"/>
        <v>0</v>
      </c>
      <c r="AP25" s="523"/>
      <c r="AQ25" s="524">
        <f t="shared" si="12"/>
        <v>0</v>
      </c>
      <c r="AR25" s="525">
        <f t="shared" si="122"/>
        <v>0</v>
      </c>
      <c r="AS25" s="523"/>
      <c r="AT25" s="524">
        <f t="shared" si="13"/>
        <v>0</v>
      </c>
      <c r="AU25" s="525">
        <f t="shared" si="123"/>
        <v>0</v>
      </c>
      <c r="AV25" s="523"/>
      <c r="AW25" s="524">
        <f t="shared" si="14"/>
        <v>0</v>
      </c>
      <c r="AX25" s="525">
        <f t="shared" si="124"/>
        <v>0</v>
      </c>
      <c r="AY25" s="523"/>
      <c r="AZ25" s="524">
        <f t="shared" si="15"/>
        <v>0</v>
      </c>
      <c r="BA25" s="525">
        <f t="shared" si="125"/>
        <v>0</v>
      </c>
      <c r="BB25" s="523"/>
      <c r="BC25" s="524">
        <f t="shared" si="16"/>
        <v>0</v>
      </c>
      <c r="BD25" s="525">
        <f t="shared" si="126"/>
        <v>0</v>
      </c>
      <c r="BE25" s="523"/>
      <c r="BF25" s="524">
        <f t="shared" si="17"/>
        <v>0</v>
      </c>
      <c r="BG25" s="525">
        <f t="shared" si="127"/>
        <v>0</v>
      </c>
      <c r="BH25" s="523"/>
      <c r="BI25" s="524">
        <f t="shared" si="18"/>
        <v>0</v>
      </c>
      <c r="BJ25" s="525">
        <f t="shared" si="128"/>
        <v>0</v>
      </c>
      <c r="BK25" s="523"/>
      <c r="BL25" s="524">
        <f t="shared" si="19"/>
        <v>0</v>
      </c>
      <c r="BM25" s="525">
        <f t="shared" si="129"/>
        <v>0</v>
      </c>
      <c r="BN25" s="523"/>
      <c r="BO25" s="524">
        <f t="shared" si="20"/>
        <v>0</v>
      </c>
      <c r="BP25" s="525">
        <f t="shared" si="130"/>
        <v>0</v>
      </c>
      <c r="BQ25" s="523"/>
      <c r="BR25" s="524">
        <f t="shared" si="21"/>
        <v>0</v>
      </c>
      <c r="BS25" s="525">
        <f t="shared" si="131"/>
        <v>0</v>
      </c>
      <c r="BT25" s="523"/>
      <c r="BU25" s="524">
        <f t="shared" si="22"/>
        <v>0</v>
      </c>
      <c r="BV25" s="525">
        <f t="shared" si="132"/>
        <v>0</v>
      </c>
      <c r="BW25" s="523"/>
      <c r="BX25" s="524">
        <f t="shared" si="23"/>
        <v>0</v>
      </c>
      <c r="BY25" s="525">
        <f t="shared" si="133"/>
        <v>0</v>
      </c>
      <c r="BZ25" s="523"/>
      <c r="CA25" s="524">
        <f t="shared" si="24"/>
        <v>0</v>
      </c>
      <c r="CB25" s="525">
        <f t="shared" si="134"/>
        <v>0</v>
      </c>
      <c r="CC25" s="523"/>
      <c r="CD25" s="524">
        <f t="shared" si="25"/>
        <v>0</v>
      </c>
      <c r="CE25" s="525">
        <f t="shared" si="135"/>
        <v>0</v>
      </c>
      <c r="CF25" s="523">
        <v>2.7000000000000028</v>
      </c>
      <c r="CG25" s="524">
        <f t="shared" si="26"/>
        <v>5.190510976969516E-2</v>
      </c>
      <c r="CH25" s="525">
        <f t="shared" si="136"/>
        <v>0</v>
      </c>
      <c r="CI25" s="523"/>
      <c r="CJ25" s="524">
        <f t="shared" si="27"/>
        <v>0</v>
      </c>
      <c r="CK25" s="525">
        <f t="shared" si="137"/>
        <v>0</v>
      </c>
      <c r="CL25" s="523"/>
      <c r="CM25" s="524">
        <f t="shared" si="28"/>
        <v>0</v>
      </c>
      <c r="CN25" s="525">
        <f t="shared" si="138"/>
        <v>0</v>
      </c>
      <c r="CO25" s="523"/>
      <c r="CP25" s="524">
        <f t="shared" si="29"/>
        <v>0</v>
      </c>
      <c r="CQ25" s="525">
        <f t="shared" si="139"/>
        <v>0</v>
      </c>
      <c r="CR25" s="523"/>
      <c r="CS25" s="524">
        <f t="shared" si="30"/>
        <v>0</v>
      </c>
      <c r="CT25" s="525">
        <f t="shared" si="140"/>
        <v>0</v>
      </c>
      <c r="CU25" s="523"/>
      <c r="CV25" s="524">
        <f t="shared" si="31"/>
        <v>0</v>
      </c>
      <c r="CW25" s="525">
        <f t="shared" si="141"/>
        <v>0</v>
      </c>
      <c r="CX25" s="523"/>
      <c r="CY25" s="524">
        <f t="shared" si="32"/>
        <v>0</v>
      </c>
      <c r="CZ25" s="525">
        <f t="shared" si="142"/>
        <v>0</v>
      </c>
      <c r="DA25" s="523">
        <v>377.90725581395327</v>
      </c>
      <c r="DB25" s="524">
        <f t="shared" si="33"/>
        <v>7.2649324428842563</v>
      </c>
      <c r="DC25" s="525">
        <f t="shared" si="143"/>
        <v>0</v>
      </c>
      <c r="DD25" s="523"/>
      <c r="DE25" s="524">
        <f t="shared" si="34"/>
        <v>0</v>
      </c>
      <c r="DF25" s="525">
        <f t="shared" si="144"/>
        <v>0</v>
      </c>
      <c r="DG25" s="523"/>
      <c r="DH25" s="524">
        <f t="shared" si="35"/>
        <v>0</v>
      </c>
      <c r="DI25" s="525">
        <f t="shared" si="203"/>
        <v>0</v>
      </c>
      <c r="DJ25" s="523"/>
      <c r="DK25" s="524">
        <f t="shared" si="36"/>
        <v>0</v>
      </c>
      <c r="DL25" s="525">
        <f t="shared" si="145"/>
        <v>0</v>
      </c>
      <c r="DM25" s="523"/>
      <c r="DN25" s="524">
        <f t="shared" si="37"/>
        <v>0</v>
      </c>
      <c r="DO25" s="525">
        <f t="shared" si="146"/>
        <v>0</v>
      </c>
      <c r="DP25" s="523"/>
      <c r="DQ25" s="524">
        <f t="shared" si="38"/>
        <v>0</v>
      </c>
      <c r="DR25" s="525">
        <f t="shared" si="147"/>
        <v>0</v>
      </c>
      <c r="DS25" s="523"/>
      <c r="DT25" s="524">
        <f t="shared" si="39"/>
        <v>0</v>
      </c>
      <c r="DU25" s="525">
        <f t="shared" si="148"/>
        <v>0</v>
      </c>
      <c r="DV25" s="523"/>
      <c r="DW25" s="524">
        <f t="shared" si="40"/>
        <v>0</v>
      </c>
      <c r="DX25" s="525">
        <f t="shared" si="149"/>
        <v>0</v>
      </c>
      <c r="DY25" s="523"/>
      <c r="DZ25" s="524">
        <f t="shared" si="41"/>
        <v>0</v>
      </c>
      <c r="EA25" s="525">
        <f t="shared" si="150"/>
        <v>0</v>
      </c>
      <c r="EB25" s="523"/>
      <c r="EC25" s="524">
        <f t="shared" si="42"/>
        <v>0</v>
      </c>
      <c r="ED25" s="525">
        <f t="shared" si="151"/>
        <v>0</v>
      </c>
      <c r="EE25" s="523">
        <v>281.79058823529431</v>
      </c>
      <c r="EF25" s="524">
        <f t="shared" si="43"/>
        <v>5.4171745979332986</v>
      </c>
      <c r="EG25" s="525">
        <f t="shared" si="152"/>
        <v>0</v>
      </c>
      <c r="EH25" s="523">
        <v>1</v>
      </c>
      <c r="EI25" s="524">
        <f t="shared" si="44"/>
        <v>1.9224114729516704E-2</v>
      </c>
      <c r="EJ25" s="525">
        <f t="shared" si="153"/>
        <v>0</v>
      </c>
      <c r="EK25" s="523">
        <v>48.78343097560969</v>
      </c>
      <c r="EL25" s="524">
        <f t="shared" si="45"/>
        <v>0.93781827397457973</v>
      </c>
      <c r="EM25" s="525">
        <f t="shared" si="154"/>
        <v>0</v>
      </c>
      <c r="EN25" s="523">
        <v>79.067790697674468</v>
      </c>
      <c r="EO25" s="524">
        <f t="shared" si="46"/>
        <v>1.5200082797815078</v>
      </c>
      <c r="EP25" s="525">
        <f t="shared" si="155"/>
        <v>0</v>
      </c>
      <c r="EQ25" s="523"/>
      <c r="ER25" s="524">
        <f t="shared" si="47"/>
        <v>0</v>
      </c>
      <c r="ES25" s="525">
        <f t="shared" si="156"/>
        <v>0</v>
      </c>
      <c r="ET25" s="523"/>
      <c r="EU25" s="524">
        <f t="shared" si="48"/>
        <v>0</v>
      </c>
      <c r="EV25" s="525">
        <f t="shared" si="157"/>
        <v>0</v>
      </c>
      <c r="EW25" s="523"/>
      <c r="EX25" s="524">
        <f t="shared" si="49"/>
        <v>0</v>
      </c>
      <c r="EY25" s="525">
        <f t="shared" si="158"/>
        <v>0</v>
      </c>
      <c r="EZ25" s="523"/>
      <c r="FA25" s="524">
        <f t="shared" si="50"/>
        <v>0</v>
      </c>
      <c r="FB25" s="525">
        <f t="shared" si="159"/>
        <v>0</v>
      </c>
      <c r="FC25" s="523"/>
      <c r="FD25" s="524">
        <f t="shared" si="51"/>
        <v>0</v>
      </c>
      <c r="FE25" s="525">
        <f t="shared" si="160"/>
        <v>0</v>
      </c>
      <c r="FF25" s="523"/>
      <c r="FG25" s="524">
        <f t="shared" si="52"/>
        <v>0</v>
      </c>
      <c r="FH25" s="525">
        <f t="shared" si="161"/>
        <v>0</v>
      </c>
      <c r="FI25" s="523"/>
      <c r="FJ25" s="524">
        <f t="shared" si="53"/>
        <v>0</v>
      </c>
      <c r="FK25" s="525">
        <f t="shared" si="162"/>
        <v>0</v>
      </c>
      <c r="FL25" s="523"/>
      <c r="FM25" s="524">
        <f t="shared" si="54"/>
        <v>0</v>
      </c>
      <c r="FN25" s="525">
        <f t="shared" si="163"/>
        <v>0</v>
      </c>
      <c r="FO25" s="523"/>
      <c r="FP25" s="524">
        <f t="shared" si="55"/>
        <v>0</v>
      </c>
      <c r="FQ25" s="525">
        <f t="shared" si="164"/>
        <v>0</v>
      </c>
      <c r="FR25" s="523"/>
      <c r="FS25" s="524">
        <f t="shared" si="56"/>
        <v>0</v>
      </c>
      <c r="FT25" s="525">
        <f t="shared" si="165"/>
        <v>0</v>
      </c>
      <c r="FU25" s="523"/>
      <c r="FV25" s="524">
        <f t="shared" si="57"/>
        <v>0</v>
      </c>
      <c r="FW25" s="525">
        <f t="shared" si="166"/>
        <v>0</v>
      </c>
      <c r="FX25" s="523"/>
      <c r="FY25" s="524">
        <f t="shared" si="58"/>
        <v>0</v>
      </c>
      <c r="FZ25" s="525">
        <f t="shared" si="167"/>
        <v>0</v>
      </c>
      <c r="GA25" s="523">
        <v>10.192830163673714</v>
      </c>
      <c r="GB25" s="524">
        <f t="shared" si="168"/>
        <v>0.195948136484942</v>
      </c>
      <c r="GC25" s="525">
        <f t="shared" si="169"/>
        <v>0</v>
      </c>
      <c r="GD25" s="523"/>
      <c r="GE25" s="524">
        <f t="shared" si="59"/>
        <v>0</v>
      </c>
      <c r="GF25" s="525">
        <f t="shared" si="170"/>
        <v>0</v>
      </c>
      <c r="GG25" s="523">
        <v>10.192830163673714</v>
      </c>
      <c r="GH25" s="524">
        <f t="shared" si="171"/>
        <v>0.195948136484942</v>
      </c>
      <c r="GI25" s="525">
        <f t="shared" si="172"/>
        <v>0</v>
      </c>
      <c r="GJ25" s="523">
        <v>10.192830163673714</v>
      </c>
      <c r="GK25" s="524">
        <f t="shared" si="60"/>
        <v>0.195948136484942</v>
      </c>
      <c r="GL25" s="525">
        <f t="shared" si="173"/>
        <v>0</v>
      </c>
      <c r="GM25" s="523">
        <v>17.837452786429001</v>
      </c>
      <c r="GN25" s="524">
        <f t="shared" si="61"/>
        <v>0.34290923884864855</v>
      </c>
      <c r="GO25" s="525">
        <f t="shared" si="174"/>
        <v>0</v>
      </c>
      <c r="GP25" s="523">
        <v>30.578490491021142</v>
      </c>
      <c r="GQ25" s="524">
        <f t="shared" si="62"/>
        <v>0.58784440945482608</v>
      </c>
      <c r="GR25" s="525">
        <f t="shared" si="175"/>
        <v>0</v>
      </c>
      <c r="GS25" s="523">
        <v>50.964150818368573</v>
      </c>
      <c r="GT25" s="524">
        <f t="shared" si="63"/>
        <v>0.97974068242471013</v>
      </c>
      <c r="GU25" s="525">
        <f t="shared" si="176"/>
        <v>0</v>
      </c>
      <c r="GV25" s="523">
        <v>30.578490491021142</v>
      </c>
      <c r="GW25" s="524">
        <f t="shared" si="64"/>
        <v>0.58784440945482608</v>
      </c>
      <c r="GX25" s="525">
        <f t="shared" si="177"/>
        <v>0</v>
      </c>
      <c r="GY25" s="523"/>
      <c r="GZ25" s="524">
        <f t="shared" si="65"/>
        <v>0</v>
      </c>
      <c r="HA25" s="525">
        <f t="shared" si="178"/>
        <v>0</v>
      </c>
      <c r="HB25" s="523"/>
      <c r="HC25" s="524">
        <f t="shared" si="66"/>
        <v>0</v>
      </c>
      <c r="HD25" s="525">
        <f t="shared" si="179"/>
        <v>0</v>
      </c>
      <c r="HE25" s="523"/>
      <c r="HF25" s="524">
        <f t="shared" si="67"/>
        <v>0</v>
      </c>
      <c r="HG25" s="525">
        <f t="shared" si="180"/>
        <v>0</v>
      </c>
      <c r="HH25" s="523"/>
      <c r="HI25" s="524">
        <f t="shared" si="68"/>
        <v>0</v>
      </c>
      <c r="HJ25" s="525">
        <f t="shared" si="181"/>
        <v>0</v>
      </c>
      <c r="HK25" s="523"/>
      <c r="HL25" s="524">
        <f t="shared" si="69"/>
        <v>0</v>
      </c>
      <c r="HM25" s="525">
        <f t="shared" si="182"/>
        <v>0</v>
      </c>
      <c r="HN25" s="523">
        <v>822.56139420846876</v>
      </c>
      <c r="HO25" s="524">
        <f t="shared" si="70"/>
        <v>15.813014614334822</v>
      </c>
      <c r="HP25" s="525">
        <f t="shared" si="183"/>
        <v>0</v>
      </c>
      <c r="HQ25" s="523"/>
      <c r="HR25" s="524">
        <f t="shared" si="71"/>
        <v>0</v>
      </c>
      <c r="HS25" s="525">
        <f t="shared" si="184"/>
        <v>0</v>
      </c>
      <c r="HT25" s="523"/>
      <c r="HU25" s="524">
        <f t="shared" si="72"/>
        <v>0</v>
      </c>
      <c r="HV25" s="525">
        <f t="shared" si="185"/>
        <v>0</v>
      </c>
      <c r="HW25" s="523"/>
      <c r="HX25" s="524">
        <f t="shared" si="73"/>
        <v>0</v>
      </c>
      <c r="HY25" s="525">
        <f t="shared" si="186"/>
        <v>0</v>
      </c>
      <c r="HZ25" s="523"/>
      <c r="IA25" s="524">
        <f t="shared" si="74"/>
        <v>0</v>
      </c>
      <c r="IB25" s="525">
        <f t="shared" si="200"/>
        <v>0</v>
      </c>
      <c r="IC25" s="523"/>
      <c r="ID25" s="524">
        <f t="shared" si="75"/>
        <v>0</v>
      </c>
      <c r="IE25" s="525">
        <f t="shared" si="187"/>
        <v>0</v>
      </c>
      <c r="IF25" s="523"/>
      <c r="IG25" s="524">
        <f t="shared" si="76"/>
        <v>0</v>
      </c>
      <c r="IH25" s="525">
        <f t="shared" si="188"/>
        <v>0</v>
      </c>
      <c r="II25" s="523">
        <v>20.385660327347427</v>
      </c>
      <c r="IJ25" s="524">
        <f t="shared" si="77"/>
        <v>0.391896272969884</v>
      </c>
      <c r="IK25" s="525">
        <f t="shared" si="189"/>
        <v>0</v>
      </c>
      <c r="IL25" s="523"/>
      <c r="IM25" s="524">
        <f t="shared" si="78"/>
        <v>0</v>
      </c>
      <c r="IN25" s="525">
        <f t="shared" si="190"/>
        <v>0</v>
      </c>
      <c r="IO25" s="523"/>
      <c r="IP25" s="524">
        <f t="shared" si="79"/>
        <v>0</v>
      </c>
      <c r="IQ25" s="525">
        <f t="shared" si="191"/>
        <v>0</v>
      </c>
      <c r="IR25" s="523">
        <v>56.060565900205425</v>
      </c>
      <c r="IS25" s="524">
        <f t="shared" si="80"/>
        <v>1.0777147506671811</v>
      </c>
      <c r="IT25" s="525">
        <f t="shared" si="192"/>
        <v>0</v>
      </c>
      <c r="IU25" s="523"/>
      <c r="IV25" s="524">
        <f t="shared" si="81"/>
        <v>0</v>
      </c>
      <c r="IW25" s="525">
        <f t="shared" si="193"/>
        <v>0</v>
      </c>
      <c r="IX25" s="523"/>
      <c r="IY25" s="524">
        <f t="shared" si="82"/>
        <v>0</v>
      </c>
      <c r="IZ25" s="525">
        <f t="shared" si="194"/>
        <v>0</v>
      </c>
      <c r="JA25" s="523"/>
      <c r="JB25" s="524">
        <f t="shared" si="83"/>
        <v>0</v>
      </c>
      <c r="JC25" s="525">
        <f t="shared" si="195"/>
        <v>0</v>
      </c>
      <c r="JD25" s="523"/>
      <c r="JE25" s="524">
        <f t="shared" si="84"/>
        <v>0</v>
      </c>
      <c r="JF25" s="525">
        <f t="shared" si="196"/>
        <v>0</v>
      </c>
      <c r="JG25" s="523"/>
      <c r="JH25" s="524">
        <f t="shared" si="85"/>
        <v>0</v>
      </c>
      <c r="JI25" s="525">
        <f t="shared" si="197"/>
        <v>0</v>
      </c>
      <c r="JJ25" s="523"/>
      <c r="JK25" s="524">
        <f t="shared" si="86"/>
        <v>0</v>
      </c>
      <c r="JL25" s="525" t="str">
        <f t="shared" si="87"/>
        <v>0</v>
      </c>
      <c r="JM25" s="523"/>
      <c r="JN25" s="524">
        <f t="shared" si="88"/>
        <v>0</v>
      </c>
      <c r="JO25" s="525" t="str">
        <f t="shared" si="89"/>
        <v>0</v>
      </c>
      <c r="JP25" s="523"/>
      <c r="JQ25" s="525" t="str">
        <f t="shared" si="90"/>
        <v>0</v>
      </c>
      <c r="JR25" s="525" t="str">
        <f t="shared" si="91"/>
        <v>0</v>
      </c>
      <c r="JS25" s="523"/>
      <c r="JT25" s="525" t="str">
        <f t="shared" si="92"/>
        <v>0</v>
      </c>
      <c r="JU25" s="525" t="str">
        <f t="shared" si="93"/>
        <v>0</v>
      </c>
      <c r="JV25" s="523"/>
      <c r="JW25" s="525" t="str">
        <f t="shared" si="94"/>
        <v>0</v>
      </c>
      <c r="JX25" s="525" t="str">
        <f t="shared" si="95"/>
        <v>0</v>
      </c>
      <c r="JY25" s="523"/>
      <c r="JZ25" s="525" t="str">
        <f t="shared" si="96"/>
        <v>0</v>
      </c>
      <c r="KA25" s="525" t="str">
        <f t="shared" si="97"/>
        <v>0</v>
      </c>
      <c r="KB25" s="523"/>
      <c r="KC25" s="525" t="str">
        <f t="shared" si="98"/>
        <v>0</v>
      </c>
      <c r="KD25" s="525" t="str">
        <f t="shared" si="99"/>
        <v>0</v>
      </c>
      <c r="KE25" s="523"/>
      <c r="KF25" s="525" t="str">
        <f t="shared" si="100"/>
        <v>0</v>
      </c>
      <c r="KG25" s="525" t="str">
        <f t="shared" si="101"/>
        <v>0</v>
      </c>
      <c r="KH25" s="523"/>
      <c r="KI25" s="525" t="str">
        <f t="shared" si="102"/>
        <v>0</v>
      </c>
      <c r="KJ25" s="525" t="str">
        <f t="shared" si="103"/>
        <v>0</v>
      </c>
      <c r="KK25" s="523"/>
      <c r="KL25" s="525" t="str">
        <f t="shared" si="104"/>
        <v>0</v>
      </c>
      <c r="KM25" s="525" t="str">
        <f t="shared" si="105"/>
        <v>0</v>
      </c>
      <c r="KN25" s="523"/>
      <c r="KO25" s="525" t="str">
        <f t="shared" si="106"/>
        <v>0</v>
      </c>
      <c r="KP25" s="525" t="str">
        <f t="shared" si="107"/>
        <v>0</v>
      </c>
      <c r="KQ25" s="523"/>
      <c r="KR25" s="525" t="str">
        <f t="shared" si="108"/>
        <v>0</v>
      </c>
      <c r="KS25" s="525" t="str">
        <f t="shared" si="109"/>
        <v>0</v>
      </c>
      <c r="KT25" s="525">
        <f t="shared" si="201"/>
        <v>0</v>
      </c>
      <c r="KU25" s="525">
        <f t="shared" si="202"/>
        <v>0</v>
      </c>
      <c r="KV25" s="264">
        <f t="shared" si="198"/>
        <v>1861.8538612364143</v>
      </c>
    </row>
    <row r="26" spans="1:309" ht="15" customHeight="1">
      <c r="A26" s="266">
        <f t="shared" si="199"/>
        <v>45979</v>
      </c>
      <c r="B26" s="267" t="str">
        <f>+Report1!B26</f>
        <v>Toilet</v>
      </c>
      <c r="C26" s="267" t="str">
        <f>+Report1!C26</f>
        <v>15,5/16</v>
      </c>
      <c r="D26" s="268">
        <f>+Report1!P26</f>
        <v>45.822000000000003</v>
      </c>
      <c r="E26" s="269">
        <f>+Report1!R26</f>
        <v>46.14</v>
      </c>
      <c r="F26" s="523"/>
      <c r="G26" s="524">
        <f t="shared" si="0"/>
        <v>0</v>
      </c>
      <c r="H26" s="525">
        <f t="shared" si="110"/>
        <v>0</v>
      </c>
      <c r="I26" s="523"/>
      <c r="J26" s="524">
        <f t="shared" si="1"/>
        <v>0</v>
      </c>
      <c r="K26" s="525">
        <f t="shared" si="111"/>
        <v>0</v>
      </c>
      <c r="L26" s="523"/>
      <c r="M26" s="524">
        <f t="shared" si="2"/>
        <v>0</v>
      </c>
      <c r="N26" s="525">
        <f t="shared" si="112"/>
        <v>0</v>
      </c>
      <c r="O26" s="523">
        <v>3.0000000000000284</v>
      </c>
      <c r="P26" s="524">
        <f t="shared" si="3"/>
        <v>6.5019505851756143E-2</v>
      </c>
      <c r="Q26" s="525">
        <f t="shared" si="113"/>
        <v>0</v>
      </c>
      <c r="R26" s="523"/>
      <c r="S26" s="524">
        <f t="shared" si="4"/>
        <v>0</v>
      </c>
      <c r="T26" s="525">
        <f t="shared" si="114"/>
        <v>0</v>
      </c>
      <c r="U26" s="523">
        <v>5.1250000000000284</v>
      </c>
      <c r="V26" s="524">
        <f t="shared" si="5"/>
        <v>0.11107498916341631</v>
      </c>
      <c r="W26" s="525">
        <f t="shared" si="115"/>
        <v>0</v>
      </c>
      <c r="X26" s="523"/>
      <c r="Y26" s="524">
        <f t="shared" si="6"/>
        <v>0</v>
      </c>
      <c r="Z26" s="525">
        <f t="shared" si="116"/>
        <v>0</v>
      </c>
      <c r="AA26" s="523"/>
      <c r="AB26" s="524">
        <f t="shared" si="7"/>
        <v>0</v>
      </c>
      <c r="AC26" s="525">
        <f t="shared" si="117"/>
        <v>0</v>
      </c>
      <c r="AD26" s="523"/>
      <c r="AE26" s="524">
        <f t="shared" si="8"/>
        <v>0</v>
      </c>
      <c r="AF26" s="525">
        <f t="shared" si="118"/>
        <v>0</v>
      </c>
      <c r="AG26" s="523"/>
      <c r="AH26" s="524">
        <f t="shared" si="9"/>
        <v>0</v>
      </c>
      <c r="AI26" s="525">
        <f t="shared" si="119"/>
        <v>0</v>
      </c>
      <c r="AJ26" s="523">
        <v>2.9374999999999716</v>
      </c>
      <c r="AK26" s="524">
        <f t="shared" si="10"/>
        <v>6.3664932813176672E-2</v>
      </c>
      <c r="AL26" s="525">
        <f t="shared" si="120"/>
        <v>0</v>
      </c>
      <c r="AM26" s="523"/>
      <c r="AN26" s="524">
        <f t="shared" si="11"/>
        <v>0</v>
      </c>
      <c r="AO26" s="525">
        <f t="shared" si="121"/>
        <v>0</v>
      </c>
      <c r="AP26" s="523"/>
      <c r="AQ26" s="524">
        <f t="shared" si="12"/>
        <v>0</v>
      </c>
      <c r="AR26" s="525">
        <f t="shared" si="122"/>
        <v>0</v>
      </c>
      <c r="AS26" s="523"/>
      <c r="AT26" s="524">
        <f t="shared" si="13"/>
        <v>0</v>
      </c>
      <c r="AU26" s="525">
        <f t="shared" si="123"/>
        <v>0</v>
      </c>
      <c r="AV26" s="523"/>
      <c r="AW26" s="524">
        <f t="shared" si="14"/>
        <v>0</v>
      </c>
      <c r="AX26" s="525">
        <f t="shared" si="124"/>
        <v>0</v>
      </c>
      <c r="AY26" s="523"/>
      <c r="AZ26" s="524">
        <f t="shared" si="15"/>
        <v>0</v>
      </c>
      <c r="BA26" s="525">
        <f t="shared" si="125"/>
        <v>0</v>
      </c>
      <c r="BB26" s="523"/>
      <c r="BC26" s="524">
        <f t="shared" si="16"/>
        <v>0</v>
      </c>
      <c r="BD26" s="525">
        <f t="shared" si="126"/>
        <v>0</v>
      </c>
      <c r="BE26" s="523"/>
      <c r="BF26" s="524">
        <f t="shared" si="17"/>
        <v>0</v>
      </c>
      <c r="BG26" s="525">
        <f t="shared" si="127"/>
        <v>0</v>
      </c>
      <c r="BH26" s="523"/>
      <c r="BI26" s="524">
        <f t="shared" si="18"/>
        <v>0</v>
      </c>
      <c r="BJ26" s="525">
        <f t="shared" si="128"/>
        <v>0</v>
      </c>
      <c r="BK26" s="523"/>
      <c r="BL26" s="524">
        <f t="shared" si="19"/>
        <v>0</v>
      </c>
      <c r="BM26" s="525">
        <f t="shared" si="129"/>
        <v>0</v>
      </c>
      <c r="BN26" s="523"/>
      <c r="BO26" s="524">
        <f t="shared" si="20"/>
        <v>0</v>
      </c>
      <c r="BP26" s="525">
        <f t="shared" si="130"/>
        <v>0</v>
      </c>
      <c r="BQ26" s="523"/>
      <c r="BR26" s="524">
        <f t="shared" si="21"/>
        <v>0</v>
      </c>
      <c r="BS26" s="525">
        <f t="shared" si="131"/>
        <v>0</v>
      </c>
      <c r="BT26" s="523"/>
      <c r="BU26" s="524">
        <f t="shared" si="22"/>
        <v>0</v>
      </c>
      <c r="BV26" s="525">
        <f t="shared" si="132"/>
        <v>0</v>
      </c>
      <c r="BW26" s="523"/>
      <c r="BX26" s="524">
        <f t="shared" si="23"/>
        <v>0</v>
      </c>
      <c r="BY26" s="525">
        <f t="shared" si="133"/>
        <v>0</v>
      </c>
      <c r="BZ26" s="523"/>
      <c r="CA26" s="524">
        <f t="shared" si="24"/>
        <v>0</v>
      </c>
      <c r="CB26" s="525">
        <f t="shared" si="134"/>
        <v>0</v>
      </c>
      <c r="CC26" s="523"/>
      <c r="CD26" s="524">
        <f t="shared" si="25"/>
        <v>0</v>
      </c>
      <c r="CE26" s="525">
        <f t="shared" si="135"/>
        <v>0</v>
      </c>
      <c r="CF26" s="523">
        <v>2.7000000000000028</v>
      </c>
      <c r="CG26" s="524">
        <f t="shared" si="26"/>
        <v>5.8517555266580035E-2</v>
      </c>
      <c r="CH26" s="525">
        <f t="shared" si="136"/>
        <v>0</v>
      </c>
      <c r="CI26" s="523"/>
      <c r="CJ26" s="524">
        <f t="shared" si="27"/>
        <v>0</v>
      </c>
      <c r="CK26" s="525">
        <f t="shared" si="137"/>
        <v>0</v>
      </c>
      <c r="CL26" s="523"/>
      <c r="CM26" s="524">
        <f t="shared" si="28"/>
        <v>0</v>
      </c>
      <c r="CN26" s="525">
        <f t="shared" si="138"/>
        <v>0</v>
      </c>
      <c r="CO26" s="523"/>
      <c r="CP26" s="524">
        <f t="shared" si="29"/>
        <v>0</v>
      </c>
      <c r="CQ26" s="525">
        <f t="shared" si="139"/>
        <v>0</v>
      </c>
      <c r="CR26" s="523"/>
      <c r="CS26" s="524">
        <f t="shared" si="30"/>
        <v>0</v>
      </c>
      <c r="CT26" s="525">
        <f t="shared" si="140"/>
        <v>0</v>
      </c>
      <c r="CU26" s="523"/>
      <c r="CV26" s="524">
        <f t="shared" si="31"/>
        <v>0</v>
      </c>
      <c r="CW26" s="525">
        <f t="shared" si="141"/>
        <v>0</v>
      </c>
      <c r="CX26" s="523"/>
      <c r="CY26" s="524">
        <f t="shared" si="32"/>
        <v>0</v>
      </c>
      <c r="CZ26" s="525">
        <f t="shared" si="142"/>
        <v>0</v>
      </c>
      <c r="DA26" s="523">
        <v>218.02325581395348</v>
      </c>
      <c r="DB26" s="524">
        <f t="shared" si="33"/>
        <v>4.7252547857380467</v>
      </c>
      <c r="DC26" s="525">
        <f t="shared" si="143"/>
        <v>0</v>
      </c>
      <c r="DD26" s="523"/>
      <c r="DE26" s="524">
        <f t="shared" si="34"/>
        <v>0</v>
      </c>
      <c r="DF26" s="525">
        <f t="shared" si="144"/>
        <v>0</v>
      </c>
      <c r="DG26" s="523"/>
      <c r="DH26" s="524">
        <f t="shared" si="35"/>
        <v>0</v>
      </c>
      <c r="DI26" s="525">
        <f t="shared" si="203"/>
        <v>0</v>
      </c>
      <c r="DJ26" s="523"/>
      <c r="DK26" s="524">
        <f t="shared" si="36"/>
        <v>0</v>
      </c>
      <c r="DL26" s="525">
        <f t="shared" si="145"/>
        <v>0</v>
      </c>
      <c r="DM26" s="523"/>
      <c r="DN26" s="524">
        <f t="shared" si="37"/>
        <v>0</v>
      </c>
      <c r="DO26" s="525">
        <f t="shared" si="146"/>
        <v>0</v>
      </c>
      <c r="DP26" s="523"/>
      <c r="DQ26" s="524">
        <f t="shared" si="38"/>
        <v>0</v>
      </c>
      <c r="DR26" s="525">
        <f t="shared" si="147"/>
        <v>0</v>
      </c>
      <c r="DS26" s="523"/>
      <c r="DT26" s="524">
        <f t="shared" si="39"/>
        <v>0</v>
      </c>
      <c r="DU26" s="525">
        <f t="shared" si="148"/>
        <v>0</v>
      </c>
      <c r="DV26" s="523"/>
      <c r="DW26" s="524">
        <f t="shared" si="40"/>
        <v>0</v>
      </c>
      <c r="DX26" s="525">
        <f t="shared" si="149"/>
        <v>0</v>
      </c>
      <c r="DY26" s="523"/>
      <c r="DZ26" s="524">
        <f t="shared" si="41"/>
        <v>0</v>
      </c>
      <c r="EA26" s="525">
        <f t="shared" si="150"/>
        <v>0</v>
      </c>
      <c r="EB26" s="523"/>
      <c r="EC26" s="524">
        <f t="shared" si="42"/>
        <v>0</v>
      </c>
      <c r="ED26" s="525">
        <f t="shared" si="151"/>
        <v>0</v>
      </c>
      <c r="EE26" s="523">
        <v>152.63529411764694</v>
      </c>
      <c r="EF26" s="524">
        <f t="shared" si="43"/>
        <v>3.3080904663555901</v>
      </c>
      <c r="EG26" s="525">
        <f t="shared" si="152"/>
        <v>0</v>
      </c>
      <c r="EH26" s="523">
        <v>1</v>
      </c>
      <c r="EI26" s="524">
        <f t="shared" si="44"/>
        <v>2.1673168617251843E-2</v>
      </c>
      <c r="EJ26" s="525">
        <f t="shared" si="153"/>
        <v>0</v>
      </c>
      <c r="EK26" s="523">
        <v>24.390243902439124</v>
      </c>
      <c r="EL26" s="524">
        <f t="shared" si="45"/>
        <v>0.52861386871346172</v>
      </c>
      <c r="EM26" s="525">
        <f t="shared" si="154"/>
        <v>0</v>
      </c>
      <c r="EN26" s="523">
        <v>39.534883720930225</v>
      </c>
      <c r="EO26" s="524">
        <f t="shared" si="46"/>
        <v>0.8568462011471657</v>
      </c>
      <c r="EP26" s="525">
        <f t="shared" si="155"/>
        <v>0</v>
      </c>
      <c r="EQ26" s="523"/>
      <c r="ER26" s="524">
        <f t="shared" si="47"/>
        <v>0</v>
      </c>
      <c r="ES26" s="525">
        <f t="shared" si="156"/>
        <v>0</v>
      </c>
      <c r="ET26" s="523"/>
      <c r="EU26" s="524">
        <f t="shared" si="48"/>
        <v>0</v>
      </c>
      <c r="EV26" s="525">
        <f t="shared" si="157"/>
        <v>0</v>
      </c>
      <c r="EW26" s="523"/>
      <c r="EX26" s="524">
        <f t="shared" si="49"/>
        <v>0</v>
      </c>
      <c r="EY26" s="525">
        <f t="shared" si="158"/>
        <v>0</v>
      </c>
      <c r="EZ26" s="523"/>
      <c r="FA26" s="524">
        <f t="shared" si="50"/>
        <v>0</v>
      </c>
      <c r="FB26" s="525">
        <f t="shared" si="159"/>
        <v>0</v>
      </c>
      <c r="FC26" s="523"/>
      <c r="FD26" s="524">
        <f t="shared" si="51"/>
        <v>0</v>
      </c>
      <c r="FE26" s="525">
        <f t="shared" si="160"/>
        <v>0</v>
      </c>
      <c r="FF26" s="523"/>
      <c r="FG26" s="524">
        <f t="shared" si="52"/>
        <v>0</v>
      </c>
      <c r="FH26" s="525">
        <f t="shared" si="161"/>
        <v>0</v>
      </c>
      <c r="FI26" s="523"/>
      <c r="FJ26" s="524">
        <f t="shared" si="53"/>
        <v>0</v>
      </c>
      <c r="FK26" s="525">
        <f t="shared" si="162"/>
        <v>0</v>
      </c>
      <c r="FL26" s="523"/>
      <c r="FM26" s="524">
        <f t="shared" si="54"/>
        <v>0</v>
      </c>
      <c r="FN26" s="525">
        <f t="shared" si="163"/>
        <v>0</v>
      </c>
      <c r="FO26" s="523"/>
      <c r="FP26" s="524">
        <f t="shared" si="55"/>
        <v>0</v>
      </c>
      <c r="FQ26" s="525">
        <f t="shared" si="164"/>
        <v>0</v>
      </c>
      <c r="FR26" s="523"/>
      <c r="FS26" s="524">
        <f t="shared" si="56"/>
        <v>0</v>
      </c>
      <c r="FT26" s="525">
        <f t="shared" si="165"/>
        <v>0</v>
      </c>
      <c r="FU26" s="523"/>
      <c r="FV26" s="524">
        <f t="shared" si="57"/>
        <v>0</v>
      </c>
      <c r="FW26" s="525">
        <f t="shared" si="166"/>
        <v>0</v>
      </c>
      <c r="FX26" s="523"/>
      <c r="FY26" s="524">
        <f t="shared" si="58"/>
        <v>0</v>
      </c>
      <c r="FZ26" s="525">
        <f t="shared" si="167"/>
        <v>0</v>
      </c>
      <c r="GA26" s="523">
        <v>7.0952343026670786</v>
      </c>
      <c r="GB26" s="524">
        <f t="shared" si="168"/>
        <v>0.15377620942061287</v>
      </c>
      <c r="GC26" s="525">
        <f t="shared" si="169"/>
        <v>0</v>
      </c>
      <c r="GD26" s="523"/>
      <c r="GE26" s="524">
        <f t="shared" si="59"/>
        <v>0</v>
      </c>
      <c r="GF26" s="525">
        <f t="shared" si="170"/>
        <v>0</v>
      </c>
      <c r="GG26" s="523">
        <v>14.190468605334157</v>
      </c>
      <c r="GH26" s="524">
        <f t="shared" si="171"/>
        <v>0.30755241884122575</v>
      </c>
      <c r="GI26" s="525">
        <f t="shared" si="172"/>
        <v>0</v>
      </c>
      <c r="GJ26" s="523">
        <v>14.190468605334157</v>
      </c>
      <c r="GK26" s="524">
        <f t="shared" ref="GK26:GK28" si="204">+GJ26/$E26</f>
        <v>0.30755241884122575</v>
      </c>
      <c r="GL26" s="525">
        <f t="shared" ref="GL26:GL28" si="205">+GJ26*$H$8</f>
        <v>0</v>
      </c>
      <c r="GM26" s="523"/>
      <c r="GN26" s="524">
        <f t="shared" ref="GN26:GN28" si="206">+GM26/$E26</f>
        <v>0</v>
      </c>
      <c r="GO26" s="525">
        <f t="shared" ref="GO26:GO28" si="207">+GM26*$H$8</f>
        <v>0</v>
      </c>
      <c r="GP26" s="523">
        <v>26.015859109779289</v>
      </c>
      <c r="GQ26" s="524">
        <f t="shared" ref="GQ26:GQ28" si="208">+GP26/$E26</f>
        <v>0.56384610120891387</v>
      </c>
      <c r="GR26" s="525">
        <f t="shared" ref="GR26:GR28" si="209">+GP26*$H$8</f>
        <v>0</v>
      </c>
      <c r="GS26" s="523">
        <v>141.90468605334158</v>
      </c>
      <c r="GT26" s="524">
        <f t="shared" ref="GT26:GT28" si="210">+GS26/$E26</f>
        <v>3.0755241884122579</v>
      </c>
      <c r="GU26" s="525">
        <f t="shared" ref="GU26:GU28" si="211">+GS26*$H$8</f>
        <v>0</v>
      </c>
      <c r="GV26" s="523">
        <v>28.380937210668314</v>
      </c>
      <c r="GW26" s="524">
        <f t="shared" si="64"/>
        <v>0.6151048376824515</v>
      </c>
      <c r="GX26" s="525">
        <f t="shared" si="177"/>
        <v>0</v>
      </c>
      <c r="GY26" s="523"/>
      <c r="GZ26" s="524">
        <f t="shared" si="65"/>
        <v>0</v>
      </c>
      <c r="HA26" s="525">
        <f t="shared" si="178"/>
        <v>0</v>
      </c>
      <c r="HB26" s="523"/>
      <c r="HC26" s="524">
        <f t="shared" si="66"/>
        <v>0</v>
      </c>
      <c r="HD26" s="525">
        <f t="shared" si="179"/>
        <v>0</v>
      </c>
      <c r="HE26" s="523"/>
      <c r="HF26" s="524">
        <f t="shared" si="67"/>
        <v>0</v>
      </c>
      <c r="HG26" s="525">
        <f t="shared" si="180"/>
        <v>0</v>
      </c>
      <c r="HH26" s="523"/>
      <c r="HI26" s="524">
        <f t="shared" si="68"/>
        <v>0</v>
      </c>
      <c r="HJ26" s="525">
        <f t="shared" si="181"/>
        <v>0</v>
      </c>
      <c r="HK26" s="523"/>
      <c r="HL26" s="524">
        <f t="shared" si="69"/>
        <v>0</v>
      </c>
      <c r="HM26" s="525">
        <f t="shared" si="182"/>
        <v>0</v>
      </c>
      <c r="HN26" s="523">
        <v>911.02808446245285</v>
      </c>
      <c r="HO26" s="524">
        <f t="shared" si="70"/>
        <v>19.744865289606693</v>
      </c>
      <c r="HP26" s="525">
        <f t="shared" si="183"/>
        <v>0</v>
      </c>
      <c r="HQ26" s="523"/>
      <c r="HR26" s="524">
        <f t="shared" si="71"/>
        <v>0</v>
      </c>
      <c r="HS26" s="525">
        <f t="shared" si="184"/>
        <v>0</v>
      </c>
      <c r="HT26" s="523"/>
      <c r="HU26" s="524">
        <f t="shared" si="72"/>
        <v>0</v>
      </c>
      <c r="HV26" s="525">
        <f t="shared" si="185"/>
        <v>0</v>
      </c>
      <c r="HW26" s="523"/>
      <c r="HX26" s="524">
        <f t="shared" si="73"/>
        <v>0</v>
      </c>
      <c r="HY26" s="525">
        <f t="shared" si="186"/>
        <v>0</v>
      </c>
      <c r="HZ26" s="523"/>
      <c r="IA26" s="524">
        <f t="shared" si="74"/>
        <v>0</v>
      </c>
      <c r="IB26" s="525">
        <f t="shared" si="200"/>
        <v>0</v>
      </c>
      <c r="IC26" s="523"/>
      <c r="ID26" s="524">
        <f t="shared" si="75"/>
        <v>0</v>
      </c>
      <c r="IE26" s="525">
        <f t="shared" si="187"/>
        <v>0</v>
      </c>
      <c r="IF26" s="523"/>
      <c r="IG26" s="524">
        <f t="shared" si="76"/>
        <v>0</v>
      </c>
      <c r="IH26" s="525">
        <f t="shared" si="188"/>
        <v>0</v>
      </c>
      <c r="II26" s="523">
        <v>21.285702908001237</v>
      </c>
      <c r="IJ26" s="524">
        <f t="shared" si="77"/>
        <v>0.46132862826183868</v>
      </c>
      <c r="IK26" s="525">
        <f t="shared" si="189"/>
        <v>0</v>
      </c>
      <c r="IL26" s="523"/>
      <c r="IM26" s="524">
        <f t="shared" si="78"/>
        <v>0</v>
      </c>
      <c r="IN26" s="525">
        <f t="shared" si="190"/>
        <v>0</v>
      </c>
      <c r="IO26" s="523"/>
      <c r="IP26" s="524">
        <f t="shared" si="79"/>
        <v>0</v>
      </c>
      <c r="IQ26" s="525">
        <f t="shared" si="191"/>
        <v>0</v>
      </c>
      <c r="IR26" s="523">
        <v>47.301562017780526</v>
      </c>
      <c r="IS26" s="524">
        <f t="shared" si="80"/>
        <v>1.0251747294707527</v>
      </c>
      <c r="IT26" s="525">
        <f t="shared" si="192"/>
        <v>0</v>
      </c>
      <c r="IU26" s="523"/>
      <c r="IV26" s="524">
        <f t="shared" si="81"/>
        <v>0</v>
      </c>
      <c r="IW26" s="525">
        <f t="shared" si="193"/>
        <v>0</v>
      </c>
      <c r="IX26" s="523"/>
      <c r="IY26" s="524">
        <f t="shared" si="82"/>
        <v>0</v>
      </c>
      <c r="IZ26" s="525">
        <f t="shared" si="194"/>
        <v>0</v>
      </c>
      <c r="JA26" s="523"/>
      <c r="JB26" s="524">
        <f t="shared" si="83"/>
        <v>0</v>
      </c>
      <c r="JC26" s="525">
        <f t="shared" si="195"/>
        <v>0</v>
      </c>
      <c r="JD26" s="523"/>
      <c r="JE26" s="524">
        <f t="shared" si="84"/>
        <v>0</v>
      </c>
      <c r="JF26" s="525">
        <f t="shared" si="196"/>
        <v>0</v>
      </c>
      <c r="JG26" s="523"/>
      <c r="JH26" s="524">
        <f t="shared" si="85"/>
        <v>0</v>
      </c>
      <c r="JI26" s="525">
        <f t="shared" si="197"/>
        <v>0</v>
      </c>
      <c r="JJ26" s="523">
        <v>21.285702908001237</v>
      </c>
      <c r="JK26" s="524">
        <f t="shared" si="86"/>
        <v>0.46132862826183868</v>
      </c>
      <c r="JL26" s="525" t="str">
        <f t="shared" si="87"/>
        <v>0</v>
      </c>
      <c r="JM26" s="523"/>
      <c r="JN26" s="524">
        <f t="shared" si="88"/>
        <v>0</v>
      </c>
      <c r="JO26" s="525" t="str">
        <f t="shared" si="89"/>
        <v>0</v>
      </c>
      <c r="JP26" s="523"/>
      <c r="JQ26" s="525" t="str">
        <f t="shared" si="90"/>
        <v>0</v>
      </c>
      <c r="JR26" s="525" t="str">
        <f t="shared" si="91"/>
        <v>0</v>
      </c>
      <c r="JS26" s="523"/>
      <c r="JT26" s="525" t="str">
        <f t="shared" si="92"/>
        <v>0</v>
      </c>
      <c r="JU26" s="525" t="str">
        <f t="shared" si="93"/>
        <v>0</v>
      </c>
      <c r="JV26" s="523"/>
      <c r="JW26" s="525" t="str">
        <f t="shared" si="94"/>
        <v>0</v>
      </c>
      <c r="JX26" s="525" t="str">
        <f t="shared" si="95"/>
        <v>0</v>
      </c>
      <c r="JY26" s="523"/>
      <c r="JZ26" s="525" t="str">
        <f t="shared" si="96"/>
        <v>0</v>
      </c>
      <c r="KA26" s="525" t="str">
        <f t="shared" si="97"/>
        <v>0</v>
      </c>
      <c r="KB26" s="523"/>
      <c r="KC26" s="525" t="str">
        <f t="shared" si="98"/>
        <v>0</v>
      </c>
      <c r="KD26" s="525" t="str">
        <f t="shared" si="99"/>
        <v>0</v>
      </c>
      <c r="KE26" s="523"/>
      <c r="KF26" s="525" t="str">
        <f t="shared" si="100"/>
        <v>0</v>
      </c>
      <c r="KG26" s="525" t="str">
        <f t="shared" si="101"/>
        <v>0</v>
      </c>
      <c r="KH26" s="523"/>
      <c r="KI26" s="525" t="str">
        <f t="shared" si="102"/>
        <v>0</v>
      </c>
      <c r="KJ26" s="525" t="str">
        <f t="shared" si="103"/>
        <v>0</v>
      </c>
      <c r="KK26" s="523"/>
      <c r="KL26" s="525" t="str">
        <f t="shared" si="104"/>
        <v>0</v>
      </c>
      <c r="KM26" s="525" t="str">
        <f t="shared" si="105"/>
        <v>0</v>
      </c>
      <c r="KN26" s="523"/>
      <c r="KO26" s="525" t="str">
        <f t="shared" si="106"/>
        <v>0</v>
      </c>
      <c r="KP26" s="525" t="str">
        <f t="shared" si="107"/>
        <v>0</v>
      </c>
      <c r="KQ26" s="523"/>
      <c r="KR26" s="525" t="str">
        <f t="shared" si="108"/>
        <v>0</v>
      </c>
      <c r="KS26" s="525" t="str">
        <f t="shared" si="109"/>
        <v>0</v>
      </c>
      <c r="KT26" s="525">
        <f t="shared" si="201"/>
        <v>0</v>
      </c>
      <c r="KU26" s="525">
        <f t="shared" si="202"/>
        <v>0</v>
      </c>
      <c r="KV26" s="264">
        <f t="shared" si="198"/>
        <v>1682.0248837383301</v>
      </c>
    </row>
    <row r="27" spans="1:309" ht="15" customHeight="1">
      <c r="A27" s="266">
        <f t="shared" si="199"/>
        <v>45980</v>
      </c>
      <c r="B27" s="267" t="str">
        <f>+Report1!B27</f>
        <v>Toilet</v>
      </c>
      <c r="C27" s="267" t="str">
        <f>+Report1!C27</f>
        <v>15,5</v>
      </c>
      <c r="D27" s="268">
        <f>+Report1!P27</f>
        <v>51.887</v>
      </c>
      <c r="E27" s="269">
        <f>+Report1!R27</f>
        <v>50.061</v>
      </c>
      <c r="F27" s="523"/>
      <c r="G27" s="524">
        <f t="shared" si="0"/>
        <v>0</v>
      </c>
      <c r="H27" s="525">
        <f t="shared" si="110"/>
        <v>0</v>
      </c>
      <c r="I27" s="523"/>
      <c r="J27" s="524">
        <f t="shared" si="1"/>
        <v>0</v>
      </c>
      <c r="K27" s="525">
        <f t="shared" si="111"/>
        <v>0</v>
      </c>
      <c r="L27" s="523"/>
      <c r="M27" s="524">
        <f t="shared" si="2"/>
        <v>0</v>
      </c>
      <c r="N27" s="525">
        <f t="shared" si="112"/>
        <v>0</v>
      </c>
      <c r="O27" s="523">
        <v>2.9999999999999716</v>
      </c>
      <c r="P27" s="524">
        <f t="shared" si="3"/>
        <v>5.9926889195181313E-2</v>
      </c>
      <c r="Q27" s="525">
        <f t="shared" si="113"/>
        <v>0</v>
      </c>
      <c r="R27" s="523"/>
      <c r="S27" s="524">
        <f t="shared" si="4"/>
        <v>0</v>
      </c>
      <c r="T27" s="525">
        <f t="shared" si="114"/>
        <v>0</v>
      </c>
      <c r="U27" s="523">
        <v>7.6875</v>
      </c>
      <c r="V27" s="524">
        <f t="shared" si="5"/>
        <v>0.15356265356265356</v>
      </c>
      <c r="W27" s="525">
        <f t="shared" si="115"/>
        <v>0</v>
      </c>
      <c r="X27" s="523"/>
      <c r="Y27" s="524">
        <f t="shared" si="6"/>
        <v>0</v>
      </c>
      <c r="Z27" s="525">
        <f t="shared" si="116"/>
        <v>0</v>
      </c>
      <c r="AA27" s="523"/>
      <c r="AB27" s="524">
        <f t="shared" si="7"/>
        <v>0</v>
      </c>
      <c r="AC27" s="525">
        <f t="shared" si="117"/>
        <v>0</v>
      </c>
      <c r="AD27" s="523"/>
      <c r="AE27" s="524">
        <f t="shared" si="8"/>
        <v>0</v>
      </c>
      <c r="AF27" s="525">
        <f t="shared" si="118"/>
        <v>0</v>
      </c>
      <c r="AG27" s="523"/>
      <c r="AH27" s="524">
        <f t="shared" si="9"/>
        <v>0</v>
      </c>
      <c r="AI27" s="525">
        <f t="shared" si="119"/>
        <v>0</v>
      </c>
      <c r="AJ27" s="523">
        <v>2.9375000000000284</v>
      </c>
      <c r="AK27" s="524">
        <f t="shared" si="10"/>
        <v>5.8678412336949488E-2</v>
      </c>
      <c r="AL27" s="525">
        <f t="shared" si="120"/>
        <v>0</v>
      </c>
      <c r="AM27" s="523"/>
      <c r="AN27" s="524">
        <f t="shared" si="11"/>
        <v>0</v>
      </c>
      <c r="AO27" s="525">
        <f t="shared" si="121"/>
        <v>0</v>
      </c>
      <c r="AP27" s="523"/>
      <c r="AQ27" s="524">
        <f t="shared" si="12"/>
        <v>0</v>
      </c>
      <c r="AR27" s="525">
        <f t="shared" si="122"/>
        <v>0</v>
      </c>
      <c r="AS27" s="523"/>
      <c r="AT27" s="524">
        <f t="shared" si="13"/>
        <v>0</v>
      </c>
      <c r="AU27" s="525">
        <f t="shared" si="123"/>
        <v>0</v>
      </c>
      <c r="AV27" s="523"/>
      <c r="AW27" s="524">
        <f t="shared" si="14"/>
        <v>0</v>
      </c>
      <c r="AX27" s="525">
        <f t="shared" si="124"/>
        <v>0</v>
      </c>
      <c r="AY27" s="523"/>
      <c r="AZ27" s="524">
        <f t="shared" si="15"/>
        <v>0</v>
      </c>
      <c r="BA27" s="525">
        <f t="shared" si="125"/>
        <v>0</v>
      </c>
      <c r="BB27" s="523"/>
      <c r="BC27" s="524">
        <f t="shared" si="16"/>
        <v>0</v>
      </c>
      <c r="BD27" s="525">
        <f t="shared" si="126"/>
        <v>0</v>
      </c>
      <c r="BE27" s="523"/>
      <c r="BF27" s="524">
        <f t="shared" si="17"/>
        <v>0</v>
      </c>
      <c r="BG27" s="525">
        <f t="shared" si="127"/>
        <v>0</v>
      </c>
      <c r="BH27" s="523"/>
      <c r="BI27" s="524">
        <f t="shared" si="18"/>
        <v>0</v>
      </c>
      <c r="BJ27" s="525">
        <f t="shared" si="128"/>
        <v>0</v>
      </c>
      <c r="BK27" s="523"/>
      <c r="BL27" s="524">
        <f t="shared" si="19"/>
        <v>0</v>
      </c>
      <c r="BM27" s="525">
        <f t="shared" si="129"/>
        <v>0</v>
      </c>
      <c r="BN27" s="523"/>
      <c r="BO27" s="524">
        <f t="shared" si="20"/>
        <v>0</v>
      </c>
      <c r="BP27" s="525">
        <f t="shared" si="130"/>
        <v>0</v>
      </c>
      <c r="BQ27" s="523"/>
      <c r="BR27" s="524">
        <f t="shared" si="21"/>
        <v>0</v>
      </c>
      <c r="BS27" s="525">
        <f t="shared" si="131"/>
        <v>0</v>
      </c>
      <c r="BT27" s="523"/>
      <c r="BU27" s="524">
        <f t="shared" si="22"/>
        <v>0</v>
      </c>
      <c r="BV27" s="525">
        <f t="shared" si="132"/>
        <v>0</v>
      </c>
      <c r="BW27" s="523"/>
      <c r="BX27" s="524">
        <f t="shared" si="23"/>
        <v>0</v>
      </c>
      <c r="BY27" s="525">
        <f t="shared" si="133"/>
        <v>0</v>
      </c>
      <c r="BZ27" s="523"/>
      <c r="CA27" s="524">
        <f t="shared" si="24"/>
        <v>0</v>
      </c>
      <c r="CB27" s="525">
        <f t="shared" si="134"/>
        <v>0</v>
      </c>
      <c r="CC27" s="523"/>
      <c r="CD27" s="524">
        <f t="shared" si="25"/>
        <v>0</v>
      </c>
      <c r="CE27" s="525">
        <f t="shared" si="135"/>
        <v>0</v>
      </c>
      <c r="CF27" s="523">
        <v>2.7000000000000028</v>
      </c>
      <c r="CG27" s="524">
        <f t="shared" si="26"/>
        <v>5.393420027566375E-2</v>
      </c>
      <c r="CH27" s="525">
        <f t="shared" si="136"/>
        <v>0</v>
      </c>
      <c r="CI27" s="523"/>
      <c r="CJ27" s="524">
        <f t="shared" si="27"/>
        <v>0</v>
      </c>
      <c r="CK27" s="525">
        <f t="shared" si="137"/>
        <v>0</v>
      </c>
      <c r="CL27" s="523"/>
      <c r="CM27" s="524">
        <f t="shared" si="28"/>
        <v>0</v>
      </c>
      <c r="CN27" s="525">
        <f t="shared" si="138"/>
        <v>0</v>
      </c>
      <c r="CO27" s="523"/>
      <c r="CP27" s="524">
        <f t="shared" si="29"/>
        <v>0</v>
      </c>
      <c r="CQ27" s="525">
        <f t="shared" si="139"/>
        <v>0</v>
      </c>
      <c r="CR27" s="523"/>
      <c r="CS27" s="524">
        <f t="shared" si="30"/>
        <v>0</v>
      </c>
      <c r="CT27" s="525">
        <f t="shared" si="140"/>
        <v>0</v>
      </c>
      <c r="CU27" s="523"/>
      <c r="CV27" s="524">
        <f t="shared" si="31"/>
        <v>0</v>
      </c>
      <c r="CW27" s="525">
        <f t="shared" si="141"/>
        <v>0</v>
      </c>
      <c r="CX27" s="523"/>
      <c r="CY27" s="524">
        <f t="shared" si="32"/>
        <v>0</v>
      </c>
      <c r="CZ27" s="525">
        <f t="shared" si="142"/>
        <v>0</v>
      </c>
      <c r="DA27" s="523">
        <v>196.22</v>
      </c>
      <c r="DB27" s="524">
        <f t="shared" si="33"/>
        <v>3.9196180659595292</v>
      </c>
      <c r="DC27" s="525">
        <f t="shared" si="143"/>
        <v>0</v>
      </c>
      <c r="DD27" s="523"/>
      <c r="DE27" s="524">
        <f t="shared" si="34"/>
        <v>0</v>
      </c>
      <c r="DF27" s="525">
        <f t="shared" si="144"/>
        <v>0</v>
      </c>
      <c r="DG27" s="523"/>
      <c r="DH27" s="524">
        <f t="shared" si="35"/>
        <v>0</v>
      </c>
      <c r="DI27" s="525">
        <f t="shared" si="203"/>
        <v>0</v>
      </c>
      <c r="DJ27" s="523"/>
      <c r="DK27" s="524">
        <f t="shared" si="36"/>
        <v>0</v>
      </c>
      <c r="DL27" s="525">
        <f t="shared" si="145"/>
        <v>0</v>
      </c>
      <c r="DM27" s="523"/>
      <c r="DN27" s="524">
        <f t="shared" si="37"/>
        <v>0</v>
      </c>
      <c r="DO27" s="525">
        <f t="shared" si="146"/>
        <v>0</v>
      </c>
      <c r="DP27" s="523"/>
      <c r="DQ27" s="524">
        <f t="shared" si="38"/>
        <v>0</v>
      </c>
      <c r="DR27" s="525">
        <f t="shared" si="147"/>
        <v>0</v>
      </c>
      <c r="DS27" s="523"/>
      <c r="DT27" s="524">
        <f t="shared" si="39"/>
        <v>0</v>
      </c>
      <c r="DU27" s="525">
        <f t="shared" si="148"/>
        <v>0</v>
      </c>
      <c r="DV27" s="523"/>
      <c r="DW27" s="524">
        <f t="shared" si="40"/>
        <v>0</v>
      </c>
      <c r="DX27" s="525">
        <f t="shared" si="149"/>
        <v>0</v>
      </c>
      <c r="DY27" s="523"/>
      <c r="DZ27" s="524">
        <f t="shared" si="41"/>
        <v>0</v>
      </c>
      <c r="EA27" s="525">
        <f t="shared" si="150"/>
        <v>0</v>
      </c>
      <c r="EB27" s="523"/>
      <c r="EC27" s="524">
        <f t="shared" si="42"/>
        <v>0</v>
      </c>
      <c r="ED27" s="525">
        <f t="shared" si="151"/>
        <v>0</v>
      </c>
      <c r="EE27" s="523">
        <v>211.34117647058827</v>
      </c>
      <c r="EF27" s="524">
        <f t="shared" si="43"/>
        <v>4.2216730882441071</v>
      </c>
      <c r="EG27" s="525">
        <f t="shared" si="152"/>
        <v>0</v>
      </c>
      <c r="EH27" s="523">
        <v>1</v>
      </c>
      <c r="EI27" s="524">
        <f t="shared" si="44"/>
        <v>1.9975629731727292E-2</v>
      </c>
      <c r="EJ27" s="525">
        <f t="shared" si="153"/>
        <v>0</v>
      </c>
      <c r="EK27" s="523">
        <v>36.585365853658686</v>
      </c>
      <c r="EL27" s="524">
        <f t="shared" si="45"/>
        <v>0.73081572189246491</v>
      </c>
      <c r="EM27" s="525">
        <f t="shared" si="154"/>
        <v>0</v>
      </c>
      <c r="EN27" s="523">
        <v>39.534883720930225</v>
      </c>
      <c r="EO27" s="524">
        <f t="shared" si="46"/>
        <v>0.7897341986961951</v>
      </c>
      <c r="EP27" s="525">
        <f t="shared" si="155"/>
        <v>0</v>
      </c>
      <c r="EQ27" s="523"/>
      <c r="ER27" s="524">
        <f t="shared" si="47"/>
        <v>0</v>
      </c>
      <c r="ES27" s="525">
        <f t="shared" si="156"/>
        <v>0</v>
      </c>
      <c r="ET27" s="523"/>
      <c r="EU27" s="524">
        <f t="shared" si="48"/>
        <v>0</v>
      </c>
      <c r="EV27" s="525">
        <f t="shared" si="157"/>
        <v>0</v>
      </c>
      <c r="EW27" s="523"/>
      <c r="EX27" s="524">
        <f t="shared" si="49"/>
        <v>0</v>
      </c>
      <c r="EY27" s="525">
        <f t="shared" si="158"/>
        <v>0</v>
      </c>
      <c r="EZ27" s="523"/>
      <c r="FA27" s="524">
        <f t="shared" si="50"/>
        <v>0</v>
      </c>
      <c r="FB27" s="525">
        <f t="shared" si="159"/>
        <v>0</v>
      </c>
      <c r="FC27" s="523"/>
      <c r="FD27" s="524">
        <f t="shared" si="51"/>
        <v>0</v>
      </c>
      <c r="FE27" s="525">
        <f t="shared" si="160"/>
        <v>0</v>
      </c>
      <c r="FF27" s="523"/>
      <c r="FG27" s="524">
        <f t="shared" si="52"/>
        <v>0</v>
      </c>
      <c r="FH27" s="525">
        <f t="shared" si="161"/>
        <v>0</v>
      </c>
      <c r="FI27" s="523"/>
      <c r="FJ27" s="524">
        <f t="shared" si="53"/>
        <v>0</v>
      </c>
      <c r="FK27" s="525">
        <f t="shared" si="162"/>
        <v>0</v>
      </c>
      <c r="FL27" s="523"/>
      <c r="FM27" s="524">
        <f t="shared" si="54"/>
        <v>0</v>
      </c>
      <c r="FN27" s="525">
        <f t="shared" si="163"/>
        <v>0</v>
      </c>
      <c r="FO27" s="523"/>
      <c r="FP27" s="524">
        <f t="shared" si="55"/>
        <v>0</v>
      </c>
      <c r="FQ27" s="525">
        <f t="shared" si="164"/>
        <v>0</v>
      </c>
      <c r="FR27" s="523"/>
      <c r="FS27" s="524">
        <f t="shared" si="56"/>
        <v>0</v>
      </c>
      <c r="FT27" s="525">
        <f t="shared" si="165"/>
        <v>0</v>
      </c>
      <c r="FU27" s="523"/>
      <c r="FV27" s="524">
        <f t="shared" si="57"/>
        <v>0</v>
      </c>
      <c r="FW27" s="525">
        <f t="shared" si="166"/>
        <v>0</v>
      </c>
      <c r="FX27" s="523"/>
      <c r="FY27" s="524">
        <f t="shared" si="58"/>
        <v>0</v>
      </c>
      <c r="FZ27" s="525">
        <f t="shared" si="167"/>
        <v>0</v>
      </c>
      <c r="GA27" s="523">
        <v>8.1934604330936622</v>
      </c>
      <c r="GB27" s="524">
        <f t="shared" si="168"/>
        <v>0.16366953183303695</v>
      </c>
      <c r="GC27" s="525">
        <f t="shared" si="169"/>
        <v>0</v>
      </c>
      <c r="GD27" s="523"/>
      <c r="GE27" s="524">
        <f t="shared" si="59"/>
        <v>0</v>
      </c>
      <c r="GF27" s="525">
        <f t="shared" si="170"/>
        <v>0</v>
      </c>
      <c r="GG27" s="523">
        <v>16.386920866187324</v>
      </c>
      <c r="GH27" s="524">
        <f t="shared" si="171"/>
        <v>0.3273390636660739</v>
      </c>
      <c r="GI27" s="525">
        <f t="shared" si="172"/>
        <v>0</v>
      </c>
      <c r="GJ27" s="523">
        <v>16.386920866187324</v>
      </c>
      <c r="GK27" s="524">
        <f t="shared" si="204"/>
        <v>0.3273390636660739</v>
      </c>
      <c r="GL27" s="525">
        <f t="shared" si="205"/>
        <v>0</v>
      </c>
      <c r="GM27" s="523"/>
      <c r="GN27" s="524">
        <f t="shared" si="206"/>
        <v>0</v>
      </c>
      <c r="GO27" s="525">
        <f t="shared" si="207"/>
        <v>0</v>
      </c>
      <c r="GP27" s="523">
        <v>32.773841732374649</v>
      </c>
      <c r="GQ27" s="524">
        <f t="shared" si="208"/>
        <v>0.65467812733214781</v>
      </c>
      <c r="GR27" s="525">
        <f t="shared" si="209"/>
        <v>0</v>
      </c>
      <c r="GS27" s="523">
        <v>169.33151561726902</v>
      </c>
      <c r="GT27" s="524">
        <f t="shared" si="210"/>
        <v>3.3825036578827636</v>
      </c>
      <c r="GU27" s="525">
        <f t="shared" si="211"/>
        <v>0</v>
      </c>
      <c r="GV27" s="523">
        <v>32.773841732374649</v>
      </c>
      <c r="GW27" s="524">
        <f t="shared" si="64"/>
        <v>0.65467812733214781</v>
      </c>
      <c r="GX27" s="525">
        <f t="shared" si="177"/>
        <v>0</v>
      </c>
      <c r="GY27" s="523"/>
      <c r="GZ27" s="524">
        <f t="shared" si="65"/>
        <v>0</v>
      </c>
      <c r="HA27" s="525">
        <f t="shared" si="178"/>
        <v>0</v>
      </c>
      <c r="HB27" s="523"/>
      <c r="HC27" s="524">
        <f t="shared" si="66"/>
        <v>0</v>
      </c>
      <c r="HD27" s="525">
        <f t="shared" si="179"/>
        <v>0</v>
      </c>
      <c r="HE27" s="523"/>
      <c r="HF27" s="524">
        <f t="shared" si="67"/>
        <v>0</v>
      </c>
      <c r="HG27" s="525">
        <f t="shared" si="180"/>
        <v>0</v>
      </c>
      <c r="HH27" s="523"/>
      <c r="HI27" s="524">
        <f t="shared" si="68"/>
        <v>0</v>
      </c>
      <c r="HJ27" s="525">
        <f t="shared" si="181"/>
        <v>0</v>
      </c>
      <c r="HK27" s="523"/>
      <c r="HL27" s="524">
        <f t="shared" si="69"/>
        <v>0</v>
      </c>
      <c r="HM27" s="525">
        <f t="shared" si="182"/>
        <v>0</v>
      </c>
      <c r="HN27" s="523">
        <v>1181.496994452106</v>
      </c>
      <c r="HO27" s="524">
        <f t="shared" si="70"/>
        <v>23.601146490323927</v>
      </c>
      <c r="HP27" s="525">
        <f t="shared" si="183"/>
        <v>0</v>
      </c>
      <c r="HQ27" s="523"/>
      <c r="HR27" s="524">
        <f t="shared" si="71"/>
        <v>0</v>
      </c>
      <c r="HS27" s="525">
        <f t="shared" si="184"/>
        <v>0</v>
      </c>
      <c r="HT27" s="523"/>
      <c r="HU27" s="524">
        <f t="shared" si="72"/>
        <v>0</v>
      </c>
      <c r="HV27" s="525">
        <f t="shared" si="185"/>
        <v>0</v>
      </c>
      <c r="HW27" s="523"/>
      <c r="HX27" s="524">
        <f t="shared" si="73"/>
        <v>0</v>
      </c>
      <c r="HY27" s="525">
        <f t="shared" si="186"/>
        <v>0</v>
      </c>
      <c r="HZ27" s="523"/>
      <c r="IA27" s="524">
        <f t="shared" si="74"/>
        <v>0</v>
      </c>
      <c r="IB27" s="525">
        <f t="shared" si="200"/>
        <v>0</v>
      </c>
      <c r="IC27" s="523"/>
      <c r="ID27" s="524">
        <f t="shared" si="75"/>
        <v>0</v>
      </c>
      <c r="IE27" s="525">
        <f t="shared" si="187"/>
        <v>0</v>
      </c>
      <c r="IF27" s="523"/>
      <c r="IG27" s="524">
        <f t="shared" si="76"/>
        <v>0</v>
      </c>
      <c r="IH27" s="525">
        <f t="shared" si="188"/>
        <v>0</v>
      </c>
      <c r="II27" s="523">
        <v>21.849227821583099</v>
      </c>
      <c r="IJ27" s="524">
        <f t="shared" si="77"/>
        <v>0.4364520848880985</v>
      </c>
      <c r="IK27" s="525">
        <f t="shared" si="189"/>
        <v>0</v>
      </c>
      <c r="IL27" s="523"/>
      <c r="IM27" s="524">
        <f t="shared" si="78"/>
        <v>0</v>
      </c>
      <c r="IN27" s="525">
        <f t="shared" si="190"/>
        <v>0</v>
      </c>
      <c r="IO27" s="523"/>
      <c r="IP27" s="524">
        <f t="shared" si="79"/>
        <v>0</v>
      </c>
      <c r="IQ27" s="525">
        <f t="shared" si="191"/>
        <v>0</v>
      </c>
      <c r="IR27" s="523">
        <v>54.623069553957748</v>
      </c>
      <c r="IS27" s="524">
        <f t="shared" si="80"/>
        <v>1.0911302122202462</v>
      </c>
      <c r="IT27" s="525">
        <f t="shared" si="192"/>
        <v>0</v>
      </c>
      <c r="IU27" s="523"/>
      <c r="IV27" s="524">
        <f t="shared" si="81"/>
        <v>0</v>
      </c>
      <c r="IW27" s="525">
        <f t="shared" si="193"/>
        <v>0</v>
      </c>
      <c r="IX27" s="523"/>
      <c r="IY27" s="524">
        <f t="shared" si="82"/>
        <v>0</v>
      </c>
      <c r="IZ27" s="525">
        <f t="shared" si="194"/>
        <v>0</v>
      </c>
      <c r="JA27" s="523"/>
      <c r="JB27" s="524">
        <f t="shared" si="83"/>
        <v>0</v>
      </c>
      <c r="JC27" s="525">
        <f t="shared" si="195"/>
        <v>0</v>
      </c>
      <c r="JD27" s="523"/>
      <c r="JE27" s="524">
        <f t="shared" si="84"/>
        <v>0</v>
      </c>
      <c r="JF27" s="525">
        <f t="shared" si="196"/>
        <v>0</v>
      </c>
      <c r="JG27" s="523"/>
      <c r="JH27" s="524">
        <f t="shared" si="85"/>
        <v>0</v>
      </c>
      <c r="JI27" s="525">
        <f t="shared" si="197"/>
        <v>0</v>
      </c>
      <c r="JJ27" s="523">
        <v>27.311534776978874</v>
      </c>
      <c r="JK27" s="524">
        <f t="shared" si="86"/>
        <v>0.5455651061101231</v>
      </c>
      <c r="JL27" s="525" t="str">
        <f t="shared" si="87"/>
        <v>0</v>
      </c>
      <c r="JM27" s="523"/>
      <c r="JN27" s="524">
        <f t="shared" si="88"/>
        <v>0</v>
      </c>
      <c r="JO27" s="525" t="str">
        <f t="shared" si="89"/>
        <v>0</v>
      </c>
      <c r="JP27" s="523"/>
      <c r="JQ27" s="525" t="str">
        <f t="shared" si="90"/>
        <v>0</v>
      </c>
      <c r="JR27" s="525" t="str">
        <f t="shared" si="91"/>
        <v>0</v>
      </c>
      <c r="JS27" s="523"/>
      <c r="JT27" s="525" t="str">
        <f t="shared" si="92"/>
        <v>0</v>
      </c>
      <c r="JU27" s="525" t="str">
        <f t="shared" si="93"/>
        <v>0</v>
      </c>
      <c r="JV27" s="523"/>
      <c r="JW27" s="525" t="str">
        <f t="shared" si="94"/>
        <v>0</v>
      </c>
      <c r="JX27" s="525" t="str">
        <f t="shared" si="95"/>
        <v>0</v>
      </c>
      <c r="JY27" s="523"/>
      <c r="JZ27" s="525" t="str">
        <f t="shared" si="96"/>
        <v>0</v>
      </c>
      <c r="KA27" s="525" t="str">
        <f t="shared" si="97"/>
        <v>0</v>
      </c>
      <c r="KB27" s="523"/>
      <c r="KC27" s="525" t="str">
        <f t="shared" si="98"/>
        <v>0</v>
      </c>
      <c r="KD27" s="525" t="str">
        <f t="shared" si="99"/>
        <v>0</v>
      </c>
      <c r="KE27" s="523"/>
      <c r="KF27" s="525" t="str">
        <f t="shared" si="100"/>
        <v>0</v>
      </c>
      <c r="KG27" s="525" t="str">
        <f t="shared" si="101"/>
        <v>0</v>
      </c>
      <c r="KH27" s="523"/>
      <c r="KI27" s="525" t="str">
        <f t="shared" si="102"/>
        <v>0</v>
      </c>
      <c r="KJ27" s="525" t="str">
        <f t="shared" si="103"/>
        <v>0</v>
      </c>
      <c r="KK27" s="523"/>
      <c r="KL27" s="525" t="str">
        <f t="shared" si="104"/>
        <v>0</v>
      </c>
      <c r="KM27" s="525" t="str">
        <f t="shared" si="105"/>
        <v>0</v>
      </c>
      <c r="KN27" s="523"/>
      <c r="KO27" s="525" t="str">
        <f t="shared" si="106"/>
        <v>0</v>
      </c>
      <c r="KP27" s="525" t="str">
        <f t="shared" si="107"/>
        <v>0</v>
      </c>
      <c r="KQ27" s="523"/>
      <c r="KR27" s="525" t="str">
        <f t="shared" si="108"/>
        <v>0</v>
      </c>
      <c r="KS27" s="525" t="str">
        <f t="shared" si="109"/>
        <v>0</v>
      </c>
      <c r="KT27" s="525">
        <f t="shared" si="201"/>
        <v>0</v>
      </c>
      <c r="KU27" s="525">
        <f t="shared" si="202"/>
        <v>0</v>
      </c>
      <c r="KV27" s="264">
        <f t="shared" si="198"/>
        <v>2062.1337538972894</v>
      </c>
    </row>
    <row r="28" spans="1:309" ht="15" customHeight="1">
      <c r="A28" s="266">
        <f t="shared" si="199"/>
        <v>45981</v>
      </c>
      <c r="B28" s="267" t="str">
        <f>+Report1!B28</f>
        <v>Toilet</v>
      </c>
      <c r="C28" s="267" t="str">
        <f>+Report1!C28</f>
        <v>15,5/16/19</v>
      </c>
      <c r="D28" s="268">
        <f>+Report1!P28</f>
        <v>55.744999999999997</v>
      </c>
      <c r="E28" s="269">
        <f>+Report1!R28</f>
        <v>53.6</v>
      </c>
      <c r="F28" s="523"/>
      <c r="G28" s="524">
        <f t="shared" si="0"/>
        <v>0</v>
      </c>
      <c r="H28" s="525">
        <f t="shared" si="110"/>
        <v>0</v>
      </c>
      <c r="I28" s="523"/>
      <c r="J28" s="524">
        <f t="shared" si="1"/>
        <v>0</v>
      </c>
      <c r="K28" s="525">
        <f t="shared" si="111"/>
        <v>0</v>
      </c>
      <c r="L28" s="523"/>
      <c r="M28" s="524">
        <f t="shared" si="2"/>
        <v>0</v>
      </c>
      <c r="N28" s="525">
        <f t="shared" si="112"/>
        <v>0</v>
      </c>
      <c r="O28" s="523">
        <v>3</v>
      </c>
      <c r="P28" s="524">
        <f t="shared" si="3"/>
        <v>5.5970149253731345E-2</v>
      </c>
      <c r="Q28" s="525">
        <f t="shared" si="113"/>
        <v>0</v>
      </c>
      <c r="R28" s="523"/>
      <c r="S28" s="524">
        <f t="shared" si="4"/>
        <v>0</v>
      </c>
      <c r="T28" s="525">
        <f t="shared" si="114"/>
        <v>0</v>
      </c>
      <c r="U28" s="523">
        <v>2.5625</v>
      </c>
      <c r="V28" s="524">
        <f t="shared" si="5"/>
        <v>4.7807835820895518E-2</v>
      </c>
      <c r="W28" s="525">
        <f t="shared" si="115"/>
        <v>0</v>
      </c>
      <c r="X28" s="523"/>
      <c r="Y28" s="524">
        <f t="shared" si="6"/>
        <v>0</v>
      </c>
      <c r="Z28" s="525">
        <f t="shared" si="116"/>
        <v>0</v>
      </c>
      <c r="AA28" s="523"/>
      <c r="AB28" s="524">
        <f t="shared" si="7"/>
        <v>0</v>
      </c>
      <c r="AC28" s="525">
        <f t="shared" si="117"/>
        <v>0</v>
      </c>
      <c r="AD28" s="523"/>
      <c r="AE28" s="524">
        <f t="shared" si="8"/>
        <v>0</v>
      </c>
      <c r="AF28" s="525">
        <f t="shared" si="118"/>
        <v>0</v>
      </c>
      <c r="AG28" s="523"/>
      <c r="AH28" s="524">
        <f t="shared" si="9"/>
        <v>0</v>
      </c>
      <c r="AI28" s="525">
        <f t="shared" si="119"/>
        <v>0</v>
      </c>
      <c r="AJ28" s="523">
        <v>2.9374999999999716</v>
      </c>
      <c r="AK28" s="524">
        <f t="shared" si="10"/>
        <v>5.4804104477611408E-2</v>
      </c>
      <c r="AL28" s="525">
        <f t="shared" si="120"/>
        <v>0</v>
      </c>
      <c r="AM28" s="523"/>
      <c r="AN28" s="524">
        <f t="shared" si="11"/>
        <v>0</v>
      </c>
      <c r="AO28" s="525">
        <f t="shared" si="121"/>
        <v>0</v>
      </c>
      <c r="AP28" s="523"/>
      <c r="AQ28" s="524">
        <f t="shared" si="12"/>
        <v>0</v>
      </c>
      <c r="AR28" s="525">
        <f t="shared" si="122"/>
        <v>0</v>
      </c>
      <c r="AS28" s="523"/>
      <c r="AT28" s="524">
        <f t="shared" si="13"/>
        <v>0</v>
      </c>
      <c r="AU28" s="525">
        <f t="shared" si="123"/>
        <v>0</v>
      </c>
      <c r="AV28" s="523"/>
      <c r="AW28" s="524">
        <f t="shared" si="14"/>
        <v>0</v>
      </c>
      <c r="AX28" s="525">
        <f t="shared" si="124"/>
        <v>0</v>
      </c>
      <c r="AY28" s="523"/>
      <c r="AZ28" s="524">
        <f t="shared" si="15"/>
        <v>0</v>
      </c>
      <c r="BA28" s="525">
        <f t="shared" si="125"/>
        <v>0</v>
      </c>
      <c r="BB28" s="523"/>
      <c r="BC28" s="524">
        <f t="shared" si="16"/>
        <v>0</v>
      </c>
      <c r="BD28" s="525">
        <f t="shared" si="126"/>
        <v>0</v>
      </c>
      <c r="BE28" s="523"/>
      <c r="BF28" s="524">
        <f t="shared" si="17"/>
        <v>0</v>
      </c>
      <c r="BG28" s="525">
        <f t="shared" si="127"/>
        <v>0</v>
      </c>
      <c r="BH28" s="523"/>
      <c r="BI28" s="524">
        <f t="shared" si="18"/>
        <v>0</v>
      </c>
      <c r="BJ28" s="525">
        <f t="shared" si="128"/>
        <v>0</v>
      </c>
      <c r="BK28" s="523"/>
      <c r="BL28" s="524">
        <f t="shared" si="19"/>
        <v>0</v>
      </c>
      <c r="BM28" s="525">
        <f t="shared" si="129"/>
        <v>0</v>
      </c>
      <c r="BN28" s="523"/>
      <c r="BO28" s="524">
        <f t="shared" si="20"/>
        <v>0</v>
      </c>
      <c r="BP28" s="525">
        <f t="shared" si="130"/>
        <v>0</v>
      </c>
      <c r="BQ28" s="523"/>
      <c r="BR28" s="524">
        <f t="shared" si="21"/>
        <v>0</v>
      </c>
      <c r="BS28" s="525">
        <f t="shared" si="131"/>
        <v>0</v>
      </c>
      <c r="BT28" s="523"/>
      <c r="BU28" s="524">
        <f t="shared" si="22"/>
        <v>0</v>
      </c>
      <c r="BV28" s="525">
        <f t="shared" si="132"/>
        <v>0</v>
      </c>
      <c r="BW28" s="523"/>
      <c r="BX28" s="524">
        <f t="shared" si="23"/>
        <v>0</v>
      </c>
      <c r="BY28" s="525">
        <f t="shared" si="133"/>
        <v>0</v>
      </c>
      <c r="BZ28" s="523"/>
      <c r="CA28" s="524">
        <f t="shared" si="24"/>
        <v>0</v>
      </c>
      <c r="CB28" s="525">
        <f t="shared" si="134"/>
        <v>0</v>
      </c>
      <c r="CC28" s="523"/>
      <c r="CD28" s="524">
        <f t="shared" si="25"/>
        <v>0</v>
      </c>
      <c r="CE28" s="525">
        <f t="shared" si="135"/>
        <v>0</v>
      </c>
      <c r="CF28" s="523">
        <v>2.7000000000000028</v>
      </c>
      <c r="CG28" s="524">
        <f t="shared" si="26"/>
        <v>5.0373134328358257E-2</v>
      </c>
      <c r="CH28" s="525">
        <f t="shared" si="136"/>
        <v>0</v>
      </c>
      <c r="CI28" s="523"/>
      <c r="CJ28" s="524">
        <f t="shared" si="27"/>
        <v>0</v>
      </c>
      <c r="CK28" s="525">
        <f t="shared" si="137"/>
        <v>0</v>
      </c>
      <c r="CL28" s="523"/>
      <c r="CM28" s="524">
        <f t="shared" si="28"/>
        <v>0</v>
      </c>
      <c r="CN28" s="525">
        <f t="shared" si="138"/>
        <v>0</v>
      </c>
      <c r="CO28" s="523"/>
      <c r="CP28" s="524">
        <f t="shared" si="29"/>
        <v>0</v>
      </c>
      <c r="CQ28" s="525">
        <f t="shared" si="139"/>
        <v>0</v>
      </c>
      <c r="CR28" s="523"/>
      <c r="CS28" s="524">
        <f t="shared" si="30"/>
        <v>0</v>
      </c>
      <c r="CT28" s="525">
        <f t="shared" si="140"/>
        <v>0</v>
      </c>
      <c r="CU28" s="523"/>
      <c r="CV28" s="524">
        <f t="shared" si="31"/>
        <v>0</v>
      </c>
      <c r="CW28" s="525">
        <f t="shared" si="141"/>
        <v>0</v>
      </c>
      <c r="CX28" s="523"/>
      <c r="CY28" s="524">
        <f t="shared" si="32"/>
        <v>0</v>
      </c>
      <c r="CZ28" s="525">
        <f t="shared" si="142"/>
        <v>0</v>
      </c>
      <c r="DA28" s="523">
        <v>196.22</v>
      </c>
      <c r="DB28" s="524">
        <f t="shared" si="33"/>
        <v>3.660820895522388</v>
      </c>
      <c r="DC28" s="525">
        <f t="shared" si="143"/>
        <v>0</v>
      </c>
      <c r="DD28" s="523"/>
      <c r="DE28" s="524">
        <f t="shared" si="34"/>
        <v>0</v>
      </c>
      <c r="DF28" s="525">
        <f t="shared" si="144"/>
        <v>0</v>
      </c>
      <c r="DG28" s="523"/>
      <c r="DH28" s="524">
        <f t="shared" si="35"/>
        <v>0</v>
      </c>
      <c r="DI28" s="525">
        <f t="shared" si="203"/>
        <v>0</v>
      </c>
      <c r="DJ28" s="523"/>
      <c r="DK28" s="524">
        <f t="shared" si="36"/>
        <v>0</v>
      </c>
      <c r="DL28" s="525">
        <f t="shared" si="145"/>
        <v>0</v>
      </c>
      <c r="DM28" s="523"/>
      <c r="DN28" s="524">
        <f t="shared" si="37"/>
        <v>0</v>
      </c>
      <c r="DO28" s="525">
        <f t="shared" si="146"/>
        <v>0</v>
      </c>
      <c r="DP28" s="523"/>
      <c r="DQ28" s="524">
        <f t="shared" si="38"/>
        <v>0</v>
      </c>
      <c r="DR28" s="525">
        <f t="shared" si="147"/>
        <v>0</v>
      </c>
      <c r="DS28" s="523"/>
      <c r="DT28" s="524">
        <f t="shared" si="39"/>
        <v>0</v>
      </c>
      <c r="DU28" s="525">
        <f t="shared" si="148"/>
        <v>0</v>
      </c>
      <c r="DV28" s="523"/>
      <c r="DW28" s="524">
        <f t="shared" si="40"/>
        <v>0</v>
      </c>
      <c r="DX28" s="525">
        <f t="shared" si="149"/>
        <v>0</v>
      </c>
      <c r="DY28" s="523"/>
      <c r="DZ28" s="524">
        <f t="shared" si="41"/>
        <v>0</v>
      </c>
      <c r="EA28" s="525">
        <f t="shared" si="150"/>
        <v>0</v>
      </c>
      <c r="EB28" s="523"/>
      <c r="EC28" s="524">
        <f t="shared" si="42"/>
        <v>0</v>
      </c>
      <c r="ED28" s="525">
        <f t="shared" si="151"/>
        <v>0</v>
      </c>
      <c r="EE28" s="523">
        <v>211.34117647058815</v>
      </c>
      <c r="EF28" s="524">
        <f t="shared" si="43"/>
        <v>3.9429323968393311</v>
      </c>
      <c r="EG28" s="525">
        <f t="shared" si="152"/>
        <v>0</v>
      </c>
      <c r="EH28" s="523">
        <v>1</v>
      </c>
      <c r="EI28" s="524">
        <f t="shared" si="44"/>
        <v>1.8656716417910446E-2</v>
      </c>
      <c r="EJ28" s="525">
        <f t="shared" si="153"/>
        <v>0</v>
      </c>
      <c r="EK28" s="523">
        <v>36.585365853658232</v>
      </c>
      <c r="EL28" s="524">
        <f t="shared" si="45"/>
        <v>0.6825627957772058</v>
      </c>
      <c r="EM28" s="525">
        <f t="shared" si="154"/>
        <v>0</v>
      </c>
      <c r="EN28" s="523">
        <v>29.65116279069764</v>
      </c>
      <c r="EO28" s="524">
        <f t="shared" si="46"/>
        <v>0.55319333564734396</v>
      </c>
      <c r="EP28" s="525">
        <f t="shared" si="155"/>
        <v>0</v>
      </c>
      <c r="EQ28" s="523"/>
      <c r="ER28" s="524">
        <f t="shared" si="47"/>
        <v>0</v>
      </c>
      <c r="ES28" s="525">
        <f t="shared" si="156"/>
        <v>0</v>
      </c>
      <c r="ET28" s="523"/>
      <c r="EU28" s="524">
        <f t="shared" si="48"/>
        <v>0</v>
      </c>
      <c r="EV28" s="525">
        <f t="shared" si="157"/>
        <v>0</v>
      </c>
      <c r="EW28" s="523"/>
      <c r="EX28" s="524">
        <f t="shared" si="49"/>
        <v>0</v>
      </c>
      <c r="EY28" s="525">
        <f t="shared" si="158"/>
        <v>0</v>
      </c>
      <c r="EZ28" s="523"/>
      <c r="FA28" s="524">
        <f t="shared" si="50"/>
        <v>0</v>
      </c>
      <c r="FB28" s="525">
        <f t="shared" si="159"/>
        <v>0</v>
      </c>
      <c r="FC28" s="523"/>
      <c r="FD28" s="524">
        <f t="shared" si="51"/>
        <v>0</v>
      </c>
      <c r="FE28" s="525">
        <f t="shared" si="160"/>
        <v>0</v>
      </c>
      <c r="FF28" s="523"/>
      <c r="FG28" s="524">
        <f t="shared" si="52"/>
        <v>0</v>
      </c>
      <c r="FH28" s="525">
        <f t="shared" si="161"/>
        <v>0</v>
      </c>
      <c r="FI28" s="523"/>
      <c r="FJ28" s="524">
        <f t="shared" si="53"/>
        <v>0</v>
      </c>
      <c r="FK28" s="525">
        <f t="shared" si="162"/>
        <v>0</v>
      </c>
      <c r="FL28" s="523"/>
      <c r="FM28" s="524">
        <f t="shared" si="54"/>
        <v>0</v>
      </c>
      <c r="FN28" s="525">
        <f t="shared" si="163"/>
        <v>0</v>
      </c>
      <c r="FO28" s="523"/>
      <c r="FP28" s="524">
        <f t="shared" si="55"/>
        <v>0</v>
      </c>
      <c r="FQ28" s="525">
        <f t="shared" si="164"/>
        <v>0</v>
      </c>
      <c r="FR28" s="523"/>
      <c r="FS28" s="524">
        <f t="shared" si="56"/>
        <v>0</v>
      </c>
      <c r="FT28" s="525">
        <f t="shared" si="165"/>
        <v>0</v>
      </c>
      <c r="FU28" s="523"/>
      <c r="FV28" s="524">
        <f t="shared" si="57"/>
        <v>0</v>
      </c>
      <c r="FW28" s="525">
        <f t="shared" si="166"/>
        <v>0</v>
      </c>
      <c r="FX28" s="523"/>
      <c r="FY28" s="524">
        <f t="shared" si="58"/>
        <v>0</v>
      </c>
      <c r="FZ28" s="525">
        <f t="shared" si="167"/>
        <v>0</v>
      </c>
      <c r="GA28" s="523">
        <v>7.7290499694969768</v>
      </c>
      <c r="GB28" s="524">
        <f t="shared" si="168"/>
        <v>0.1441986934607645</v>
      </c>
      <c r="GC28" s="525">
        <f t="shared" si="169"/>
        <v>0</v>
      </c>
      <c r="GD28" s="523"/>
      <c r="GE28" s="524">
        <f t="shared" si="59"/>
        <v>0</v>
      </c>
      <c r="GF28" s="525">
        <f t="shared" si="170"/>
        <v>0</v>
      </c>
      <c r="GG28" s="523">
        <v>15.458099938993954</v>
      </c>
      <c r="GH28" s="524">
        <f t="shared" si="171"/>
        <v>0.288397386921529</v>
      </c>
      <c r="GI28" s="525">
        <f t="shared" si="172"/>
        <v>0</v>
      </c>
      <c r="GJ28" s="523">
        <v>15.458099938993954</v>
      </c>
      <c r="GK28" s="524">
        <f t="shared" si="204"/>
        <v>0.288397386921529</v>
      </c>
      <c r="GL28" s="525">
        <f t="shared" si="205"/>
        <v>0</v>
      </c>
      <c r="GM28" s="523"/>
      <c r="GN28" s="524">
        <f t="shared" si="206"/>
        <v>0</v>
      </c>
      <c r="GO28" s="525">
        <f t="shared" si="207"/>
        <v>0</v>
      </c>
      <c r="GP28" s="523">
        <v>30.916199877987907</v>
      </c>
      <c r="GQ28" s="524">
        <f t="shared" si="208"/>
        <v>0.576794773843058</v>
      </c>
      <c r="GR28" s="525">
        <f t="shared" si="209"/>
        <v>0</v>
      </c>
      <c r="GS28" s="523">
        <v>149.42829941027489</v>
      </c>
      <c r="GT28" s="524">
        <f t="shared" si="210"/>
        <v>2.7878414069081137</v>
      </c>
      <c r="GU28" s="525">
        <f t="shared" si="211"/>
        <v>0</v>
      </c>
      <c r="GV28" s="523">
        <v>28.33984988815558</v>
      </c>
      <c r="GW28" s="524">
        <f t="shared" si="64"/>
        <v>0.52872854268946978</v>
      </c>
      <c r="GX28" s="525">
        <f t="shared" si="177"/>
        <v>0</v>
      </c>
      <c r="GY28" s="523"/>
      <c r="GZ28" s="524">
        <f t="shared" si="65"/>
        <v>0</v>
      </c>
      <c r="HA28" s="525">
        <f t="shared" si="178"/>
        <v>0</v>
      </c>
      <c r="HB28" s="523"/>
      <c r="HC28" s="524">
        <f t="shared" si="66"/>
        <v>0</v>
      </c>
      <c r="HD28" s="525">
        <f t="shared" si="179"/>
        <v>0</v>
      </c>
      <c r="HE28" s="523"/>
      <c r="HF28" s="524">
        <f t="shared" si="67"/>
        <v>0</v>
      </c>
      <c r="HG28" s="525">
        <f t="shared" si="180"/>
        <v>0</v>
      </c>
      <c r="HH28" s="523"/>
      <c r="HI28" s="524">
        <f t="shared" si="68"/>
        <v>0</v>
      </c>
      <c r="HJ28" s="525">
        <f t="shared" si="181"/>
        <v>0</v>
      </c>
      <c r="HK28" s="523"/>
      <c r="HL28" s="524">
        <f t="shared" si="69"/>
        <v>0</v>
      </c>
      <c r="HM28" s="525">
        <f t="shared" si="182"/>
        <v>0</v>
      </c>
      <c r="HN28" s="523">
        <v>856.89400661823151</v>
      </c>
      <c r="HO28" s="524">
        <f t="shared" si="70"/>
        <v>15.986828481683423</v>
      </c>
      <c r="HP28" s="525">
        <f t="shared" si="183"/>
        <v>0</v>
      </c>
      <c r="HQ28" s="523"/>
      <c r="HR28" s="524">
        <f t="shared" si="71"/>
        <v>0</v>
      </c>
      <c r="HS28" s="525">
        <f t="shared" si="184"/>
        <v>0</v>
      </c>
      <c r="HT28" s="523"/>
      <c r="HU28" s="524">
        <f t="shared" si="72"/>
        <v>0</v>
      </c>
      <c r="HV28" s="525">
        <f t="shared" si="185"/>
        <v>0</v>
      </c>
      <c r="HW28" s="523"/>
      <c r="HX28" s="524">
        <f t="shared" si="73"/>
        <v>0</v>
      </c>
      <c r="HY28" s="525">
        <f t="shared" si="186"/>
        <v>0</v>
      </c>
      <c r="HZ28" s="523"/>
      <c r="IA28" s="524">
        <f t="shared" si="74"/>
        <v>0</v>
      </c>
      <c r="IB28" s="525">
        <f t="shared" si="200"/>
        <v>0</v>
      </c>
      <c r="IC28" s="523"/>
      <c r="ID28" s="524">
        <f t="shared" si="75"/>
        <v>0</v>
      </c>
      <c r="IE28" s="525">
        <f t="shared" si="187"/>
        <v>0</v>
      </c>
      <c r="IF28" s="523"/>
      <c r="IG28" s="524">
        <f t="shared" si="76"/>
        <v>0</v>
      </c>
      <c r="IH28" s="525">
        <f t="shared" si="188"/>
        <v>0</v>
      </c>
      <c r="II28" s="523">
        <v>20.610799918658604</v>
      </c>
      <c r="IJ28" s="524">
        <f t="shared" si="77"/>
        <v>0.38452984922870526</v>
      </c>
      <c r="IK28" s="525">
        <f t="shared" si="189"/>
        <v>0</v>
      </c>
      <c r="IL28" s="523"/>
      <c r="IM28" s="524">
        <f t="shared" si="78"/>
        <v>0</v>
      </c>
      <c r="IN28" s="525">
        <f t="shared" si="190"/>
        <v>0</v>
      </c>
      <c r="IO28" s="523"/>
      <c r="IP28" s="524">
        <f t="shared" si="79"/>
        <v>0</v>
      </c>
      <c r="IQ28" s="525">
        <f t="shared" si="191"/>
        <v>0</v>
      </c>
      <c r="IR28" s="523">
        <v>46.374299816981861</v>
      </c>
      <c r="IS28" s="524">
        <f t="shared" si="80"/>
        <v>0.86519216076458694</v>
      </c>
      <c r="IT28" s="525">
        <f t="shared" si="192"/>
        <v>0</v>
      </c>
      <c r="IU28" s="523"/>
      <c r="IV28" s="524">
        <f t="shared" si="81"/>
        <v>0</v>
      </c>
      <c r="IW28" s="525">
        <f t="shared" si="193"/>
        <v>0</v>
      </c>
      <c r="IX28" s="523"/>
      <c r="IY28" s="524">
        <f t="shared" si="82"/>
        <v>0</v>
      </c>
      <c r="IZ28" s="525">
        <f t="shared" si="194"/>
        <v>0</v>
      </c>
      <c r="JA28" s="523"/>
      <c r="JB28" s="524">
        <f t="shared" si="83"/>
        <v>0</v>
      </c>
      <c r="JC28" s="525">
        <f t="shared" si="195"/>
        <v>0</v>
      </c>
      <c r="JD28" s="523"/>
      <c r="JE28" s="524">
        <f t="shared" si="84"/>
        <v>0</v>
      </c>
      <c r="JF28" s="525">
        <f t="shared" si="196"/>
        <v>0</v>
      </c>
      <c r="JG28" s="523"/>
      <c r="JH28" s="524">
        <f t="shared" si="85"/>
        <v>0</v>
      </c>
      <c r="JI28" s="525">
        <f t="shared" si="197"/>
        <v>0</v>
      </c>
      <c r="JJ28" s="523">
        <v>23.18714990849093</v>
      </c>
      <c r="JK28" s="524">
        <f t="shared" si="86"/>
        <v>0.43259608038229347</v>
      </c>
      <c r="JL28" s="525" t="str">
        <f t="shared" si="87"/>
        <v>0</v>
      </c>
      <c r="JM28" s="523"/>
      <c r="JN28" s="524">
        <f t="shared" si="88"/>
        <v>0</v>
      </c>
      <c r="JO28" s="525" t="str">
        <f t="shared" si="89"/>
        <v>0</v>
      </c>
      <c r="JP28" s="523"/>
      <c r="JQ28" s="525" t="str">
        <f t="shared" si="90"/>
        <v>0</v>
      </c>
      <c r="JR28" s="525" t="str">
        <f t="shared" si="91"/>
        <v>0</v>
      </c>
      <c r="JS28" s="523"/>
      <c r="JT28" s="525" t="str">
        <f t="shared" si="92"/>
        <v>0</v>
      </c>
      <c r="JU28" s="525" t="str">
        <f t="shared" si="93"/>
        <v>0</v>
      </c>
      <c r="JV28" s="523"/>
      <c r="JW28" s="525" t="str">
        <f t="shared" si="94"/>
        <v>0</v>
      </c>
      <c r="JX28" s="525" t="str">
        <f t="shared" si="95"/>
        <v>0</v>
      </c>
      <c r="JY28" s="523"/>
      <c r="JZ28" s="525" t="str">
        <f t="shared" si="96"/>
        <v>0</v>
      </c>
      <c r="KA28" s="525" t="str">
        <f t="shared" si="97"/>
        <v>0</v>
      </c>
      <c r="KB28" s="523"/>
      <c r="KC28" s="525" t="str">
        <f t="shared" si="98"/>
        <v>0</v>
      </c>
      <c r="KD28" s="525" t="str">
        <f t="shared" si="99"/>
        <v>0</v>
      </c>
      <c r="KE28" s="523"/>
      <c r="KF28" s="525" t="str">
        <f t="shared" si="100"/>
        <v>0</v>
      </c>
      <c r="KG28" s="525" t="str">
        <f t="shared" si="101"/>
        <v>0</v>
      </c>
      <c r="KH28" s="523"/>
      <c r="KI28" s="525" t="str">
        <f t="shared" si="102"/>
        <v>0</v>
      </c>
      <c r="KJ28" s="525" t="str">
        <f t="shared" si="103"/>
        <v>0</v>
      </c>
      <c r="KK28" s="523"/>
      <c r="KL28" s="525" t="str">
        <f t="shared" si="104"/>
        <v>0</v>
      </c>
      <c r="KM28" s="525" t="str">
        <f t="shared" si="105"/>
        <v>0</v>
      </c>
      <c r="KN28" s="523"/>
      <c r="KO28" s="525" t="str">
        <f t="shared" si="106"/>
        <v>0</v>
      </c>
      <c r="KP28" s="525" t="str">
        <f t="shared" si="107"/>
        <v>0</v>
      </c>
      <c r="KQ28" s="523"/>
      <c r="KR28" s="525" t="str">
        <f t="shared" si="108"/>
        <v>0</v>
      </c>
      <c r="KS28" s="525" t="str">
        <f t="shared" si="109"/>
        <v>0</v>
      </c>
      <c r="KT28" s="525">
        <f t="shared" si="201"/>
        <v>0</v>
      </c>
      <c r="KU28" s="525">
        <f t="shared" si="202"/>
        <v>0</v>
      </c>
      <c r="KV28" s="264">
        <f t="shared" si="198"/>
        <v>1680.3935604012102</v>
      </c>
    </row>
    <row r="29" spans="1:309" ht="15" customHeight="1">
      <c r="A29" s="266">
        <f t="shared" si="199"/>
        <v>45982</v>
      </c>
      <c r="B29" s="267" t="str">
        <f>+Report1!B29</f>
        <v>Toilet</v>
      </c>
      <c r="C29" s="267" t="str">
        <f>+Report1!C29</f>
        <v>19/20</v>
      </c>
      <c r="D29" s="268">
        <f>+Report1!P29</f>
        <v>55.605000000000004</v>
      </c>
      <c r="E29" s="269">
        <f>+Report1!R29</f>
        <v>53.741</v>
      </c>
      <c r="F29" s="523"/>
      <c r="G29" s="524">
        <f t="shared" si="0"/>
        <v>0</v>
      </c>
      <c r="H29" s="525">
        <f t="shared" si="110"/>
        <v>0</v>
      </c>
      <c r="I29" s="523"/>
      <c r="J29" s="524">
        <f t="shared" si="1"/>
        <v>0</v>
      </c>
      <c r="K29" s="525">
        <f t="shared" si="111"/>
        <v>0</v>
      </c>
      <c r="L29" s="523"/>
      <c r="M29" s="524">
        <f t="shared" si="2"/>
        <v>0</v>
      </c>
      <c r="N29" s="525">
        <f t="shared" si="112"/>
        <v>0</v>
      </c>
      <c r="O29" s="523">
        <v>3.0000000000000284</v>
      </c>
      <c r="P29" s="524">
        <f t="shared" si="3"/>
        <v>5.5823300645690042E-2</v>
      </c>
      <c r="Q29" s="525">
        <f t="shared" si="113"/>
        <v>0</v>
      </c>
      <c r="R29" s="523"/>
      <c r="S29" s="524">
        <f t="shared" si="4"/>
        <v>0</v>
      </c>
      <c r="T29" s="525">
        <f t="shared" si="114"/>
        <v>0</v>
      </c>
      <c r="U29" s="523">
        <v>5.1249999999999716</v>
      </c>
      <c r="V29" s="524">
        <f t="shared" si="5"/>
        <v>9.536480526971905E-2</v>
      </c>
      <c r="W29" s="525">
        <f t="shared" si="115"/>
        <v>0</v>
      </c>
      <c r="X29" s="523"/>
      <c r="Y29" s="524">
        <f t="shared" si="6"/>
        <v>0</v>
      </c>
      <c r="Z29" s="525">
        <f t="shared" si="116"/>
        <v>0</v>
      </c>
      <c r="AA29" s="523"/>
      <c r="AB29" s="524">
        <f t="shared" si="7"/>
        <v>0</v>
      </c>
      <c r="AC29" s="525">
        <f t="shared" si="117"/>
        <v>0</v>
      </c>
      <c r="AD29" s="523"/>
      <c r="AE29" s="524">
        <f t="shared" si="8"/>
        <v>0</v>
      </c>
      <c r="AF29" s="525">
        <f t="shared" si="118"/>
        <v>0</v>
      </c>
      <c r="AG29" s="523"/>
      <c r="AH29" s="524">
        <f t="shared" si="9"/>
        <v>0</v>
      </c>
      <c r="AI29" s="525">
        <f t="shared" si="119"/>
        <v>0</v>
      </c>
      <c r="AJ29" s="523">
        <v>2.9375</v>
      </c>
      <c r="AK29" s="524">
        <f t="shared" si="10"/>
        <v>5.4660315215570979E-2</v>
      </c>
      <c r="AL29" s="525">
        <f t="shared" si="120"/>
        <v>0</v>
      </c>
      <c r="AM29" s="523"/>
      <c r="AN29" s="524">
        <f t="shared" si="11"/>
        <v>0</v>
      </c>
      <c r="AO29" s="525">
        <f t="shared" si="121"/>
        <v>0</v>
      </c>
      <c r="AP29" s="523"/>
      <c r="AQ29" s="524">
        <f t="shared" si="12"/>
        <v>0</v>
      </c>
      <c r="AR29" s="525">
        <f t="shared" si="122"/>
        <v>0</v>
      </c>
      <c r="AS29" s="523"/>
      <c r="AT29" s="524">
        <f t="shared" si="13"/>
        <v>0</v>
      </c>
      <c r="AU29" s="525">
        <f t="shared" si="123"/>
        <v>0</v>
      </c>
      <c r="AV29" s="523"/>
      <c r="AW29" s="524">
        <f t="shared" si="14"/>
        <v>0</v>
      </c>
      <c r="AX29" s="525">
        <f t="shared" si="124"/>
        <v>0</v>
      </c>
      <c r="AY29" s="523"/>
      <c r="AZ29" s="524">
        <f t="shared" si="15"/>
        <v>0</v>
      </c>
      <c r="BA29" s="525">
        <f t="shared" si="125"/>
        <v>0</v>
      </c>
      <c r="BB29" s="523"/>
      <c r="BC29" s="524">
        <f t="shared" si="16"/>
        <v>0</v>
      </c>
      <c r="BD29" s="525">
        <f t="shared" si="126"/>
        <v>0</v>
      </c>
      <c r="BE29" s="523"/>
      <c r="BF29" s="524">
        <f t="shared" si="17"/>
        <v>0</v>
      </c>
      <c r="BG29" s="525">
        <f t="shared" si="127"/>
        <v>0</v>
      </c>
      <c r="BH29" s="523"/>
      <c r="BI29" s="524">
        <f t="shared" si="18"/>
        <v>0</v>
      </c>
      <c r="BJ29" s="525">
        <f t="shared" si="128"/>
        <v>0</v>
      </c>
      <c r="BK29" s="523"/>
      <c r="BL29" s="524">
        <f t="shared" si="19"/>
        <v>0</v>
      </c>
      <c r="BM29" s="525">
        <f t="shared" si="129"/>
        <v>0</v>
      </c>
      <c r="BN29" s="523"/>
      <c r="BO29" s="524">
        <f t="shared" si="20"/>
        <v>0</v>
      </c>
      <c r="BP29" s="525">
        <f t="shared" si="130"/>
        <v>0</v>
      </c>
      <c r="BQ29" s="523"/>
      <c r="BR29" s="524">
        <f t="shared" si="21"/>
        <v>0</v>
      </c>
      <c r="BS29" s="525">
        <f t="shared" si="131"/>
        <v>0</v>
      </c>
      <c r="BT29" s="523"/>
      <c r="BU29" s="524">
        <f t="shared" si="22"/>
        <v>0</v>
      </c>
      <c r="BV29" s="525">
        <f t="shared" si="132"/>
        <v>0</v>
      </c>
      <c r="BW29" s="523"/>
      <c r="BX29" s="524">
        <f t="shared" si="23"/>
        <v>0</v>
      </c>
      <c r="BY29" s="525">
        <f t="shared" si="133"/>
        <v>0</v>
      </c>
      <c r="BZ29" s="523"/>
      <c r="CA29" s="524">
        <f t="shared" si="24"/>
        <v>0</v>
      </c>
      <c r="CB29" s="525">
        <f t="shared" si="134"/>
        <v>0</v>
      </c>
      <c r="CC29" s="523"/>
      <c r="CD29" s="524">
        <f t="shared" si="25"/>
        <v>0</v>
      </c>
      <c r="CE29" s="525">
        <f t="shared" si="135"/>
        <v>0</v>
      </c>
      <c r="CF29" s="523">
        <v>2.7000000000000028</v>
      </c>
      <c r="CG29" s="524">
        <f t="shared" si="26"/>
        <v>5.0240970581120613E-2</v>
      </c>
      <c r="CH29" s="525">
        <f t="shared" si="136"/>
        <v>0</v>
      </c>
      <c r="CI29" s="523"/>
      <c r="CJ29" s="524">
        <f t="shared" si="27"/>
        <v>0</v>
      </c>
      <c r="CK29" s="525">
        <f t="shared" si="137"/>
        <v>0</v>
      </c>
      <c r="CL29" s="523"/>
      <c r="CM29" s="524">
        <f t="shared" si="28"/>
        <v>0</v>
      </c>
      <c r="CN29" s="525">
        <f t="shared" si="138"/>
        <v>0</v>
      </c>
      <c r="CO29" s="523"/>
      <c r="CP29" s="524">
        <f t="shared" si="29"/>
        <v>0</v>
      </c>
      <c r="CQ29" s="525">
        <f t="shared" si="139"/>
        <v>0</v>
      </c>
      <c r="CR29" s="523"/>
      <c r="CS29" s="524">
        <f t="shared" si="30"/>
        <v>0</v>
      </c>
      <c r="CT29" s="525">
        <f t="shared" si="140"/>
        <v>0</v>
      </c>
      <c r="CU29" s="523"/>
      <c r="CV29" s="524">
        <f t="shared" si="31"/>
        <v>0</v>
      </c>
      <c r="CW29" s="525">
        <f t="shared" si="141"/>
        <v>0</v>
      </c>
      <c r="CX29" s="523"/>
      <c r="CY29" s="524">
        <f t="shared" si="32"/>
        <v>0</v>
      </c>
      <c r="CZ29" s="525">
        <f t="shared" si="142"/>
        <v>0</v>
      </c>
      <c r="DA29" s="523">
        <v>218.0232558139536</v>
      </c>
      <c r="DB29" s="524">
        <f t="shared" si="33"/>
        <v>4.056925919018135</v>
      </c>
      <c r="DC29" s="525">
        <f t="shared" si="143"/>
        <v>0</v>
      </c>
      <c r="DD29" s="523"/>
      <c r="DE29" s="524">
        <f t="shared" si="34"/>
        <v>0</v>
      </c>
      <c r="DF29" s="525">
        <f t="shared" si="144"/>
        <v>0</v>
      </c>
      <c r="DG29" s="523"/>
      <c r="DH29" s="524">
        <f t="shared" si="35"/>
        <v>0</v>
      </c>
      <c r="DI29" s="525">
        <f t="shared" si="203"/>
        <v>0</v>
      </c>
      <c r="DJ29" s="523"/>
      <c r="DK29" s="524">
        <f t="shared" si="36"/>
        <v>0</v>
      </c>
      <c r="DL29" s="525">
        <f t="shared" si="145"/>
        <v>0</v>
      </c>
      <c r="DM29" s="523"/>
      <c r="DN29" s="524">
        <f t="shared" si="37"/>
        <v>0</v>
      </c>
      <c r="DO29" s="525">
        <f t="shared" si="146"/>
        <v>0</v>
      </c>
      <c r="DP29" s="523"/>
      <c r="DQ29" s="524">
        <f t="shared" si="38"/>
        <v>0</v>
      </c>
      <c r="DR29" s="525">
        <f t="shared" si="147"/>
        <v>0</v>
      </c>
      <c r="DS29" s="523"/>
      <c r="DT29" s="524">
        <f t="shared" si="39"/>
        <v>0</v>
      </c>
      <c r="DU29" s="525">
        <f t="shared" si="148"/>
        <v>0</v>
      </c>
      <c r="DV29" s="523"/>
      <c r="DW29" s="524">
        <f t="shared" si="40"/>
        <v>0</v>
      </c>
      <c r="DX29" s="525">
        <f t="shared" si="149"/>
        <v>0</v>
      </c>
      <c r="DY29" s="523"/>
      <c r="DZ29" s="524">
        <f t="shared" si="41"/>
        <v>0</v>
      </c>
      <c r="EA29" s="525">
        <f t="shared" si="150"/>
        <v>0</v>
      </c>
      <c r="EB29" s="523"/>
      <c r="EC29" s="524">
        <f t="shared" si="42"/>
        <v>0</v>
      </c>
      <c r="ED29" s="525">
        <f t="shared" si="151"/>
        <v>0</v>
      </c>
      <c r="EE29" s="523">
        <v>211.34117647058815</v>
      </c>
      <c r="EF29" s="524">
        <f t="shared" si="43"/>
        <v>3.9325873443104546</v>
      </c>
      <c r="EG29" s="525">
        <f t="shared" si="152"/>
        <v>0</v>
      </c>
      <c r="EH29" s="523">
        <v>1</v>
      </c>
      <c r="EI29" s="524">
        <f t="shared" si="44"/>
        <v>1.8607766881896505E-2</v>
      </c>
      <c r="EJ29" s="525">
        <f t="shared" si="153"/>
        <v>0</v>
      </c>
      <c r="EK29" s="523">
        <v>60.975609756097811</v>
      </c>
      <c r="EL29" s="524">
        <f t="shared" si="45"/>
        <v>1.1346199318229622</v>
      </c>
      <c r="EM29" s="525">
        <f t="shared" si="154"/>
        <v>0</v>
      </c>
      <c r="EN29" s="523">
        <v>39.534883720930225</v>
      </c>
      <c r="EO29" s="524">
        <f t="shared" si="46"/>
        <v>0.73565589998195469</v>
      </c>
      <c r="EP29" s="525">
        <f t="shared" si="155"/>
        <v>0</v>
      </c>
      <c r="EQ29" s="523"/>
      <c r="ER29" s="524">
        <f t="shared" si="47"/>
        <v>0</v>
      </c>
      <c r="ES29" s="525">
        <f t="shared" si="156"/>
        <v>0</v>
      </c>
      <c r="ET29" s="523"/>
      <c r="EU29" s="524">
        <f t="shared" si="48"/>
        <v>0</v>
      </c>
      <c r="EV29" s="525">
        <f t="shared" si="157"/>
        <v>0</v>
      </c>
      <c r="EW29" s="523"/>
      <c r="EX29" s="524">
        <f t="shared" si="49"/>
        <v>0</v>
      </c>
      <c r="EY29" s="525">
        <f t="shared" si="158"/>
        <v>0</v>
      </c>
      <c r="EZ29" s="523"/>
      <c r="FA29" s="524">
        <f t="shared" si="50"/>
        <v>0</v>
      </c>
      <c r="FB29" s="525">
        <f t="shared" si="159"/>
        <v>0</v>
      </c>
      <c r="FC29" s="523"/>
      <c r="FD29" s="524">
        <f t="shared" si="51"/>
        <v>0</v>
      </c>
      <c r="FE29" s="525">
        <f t="shared" si="160"/>
        <v>0</v>
      </c>
      <c r="FF29" s="523"/>
      <c r="FG29" s="524">
        <f t="shared" si="52"/>
        <v>0</v>
      </c>
      <c r="FH29" s="525">
        <f t="shared" si="161"/>
        <v>0</v>
      </c>
      <c r="FI29" s="523"/>
      <c r="FJ29" s="524">
        <f t="shared" si="53"/>
        <v>0</v>
      </c>
      <c r="FK29" s="525">
        <f t="shared" si="162"/>
        <v>0</v>
      </c>
      <c r="FL29" s="523"/>
      <c r="FM29" s="524">
        <f t="shared" si="54"/>
        <v>0</v>
      </c>
      <c r="FN29" s="525">
        <f t="shared" si="163"/>
        <v>0</v>
      </c>
      <c r="FO29" s="523"/>
      <c r="FP29" s="524">
        <f t="shared" si="55"/>
        <v>0</v>
      </c>
      <c r="FQ29" s="525">
        <f t="shared" si="164"/>
        <v>0</v>
      </c>
      <c r="FR29" s="523"/>
      <c r="FS29" s="524">
        <f t="shared" si="56"/>
        <v>0</v>
      </c>
      <c r="FT29" s="525">
        <f t="shared" si="165"/>
        <v>0</v>
      </c>
      <c r="FU29" s="523"/>
      <c r="FV29" s="524">
        <f t="shared" si="57"/>
        <v>0</v>
      </c>
      <c r="FW29" s="525">
        <f t="shared" si="166"/>
        <v>0</v>
      </c>
      <c r="FX29" s="523"/>
      <c r="FY29" s="524">
        <f t="shared" si="58"/>
        <v>0</v>
      </c>
      <c r="FZ29" s="525">
        <f t="shared" si="167"/>
        <v>0</v>
      </c>
      <c r="GA29" s="523">
        <v>7.5240178611699973</v>
      </c>
      <c r="GB29" s="524">
        <f t="shared" si="168"/>
        <v>0.14000517037587684</v>
      </c>
      <c r="GC29" s="525">
        <f t="shared" si="169"/>
        <v>0</v>
      </c>
      <c r="GD29" s="523"/>
      <c r="GE29" s="524">
        <f t="shared" si="59"/>
        <v>0</v>
      </c>
      <c r="GF29" s="525">
        <f t="shared" si="170"/>
        <v>0</v>
      </c>
      <c r="GG29" s="523">
        <v>15.048035722339995</v>
      </c>
      <c r="GH29" s="524">
        <f t="shared" si="171"/>
        <v>0.28001034075175368</v>
      </c>
      <c r="GI29" s="525">
        <f t="shared" si="172"/>
        <v>0</v>
      </c>
      <c r="GJ29" s="523">
        <v>15.048035722339995</v>
      </c>
      <c r="GK29" s="524">
        <f t="shared" si="60"/>
        <v>0.28001034075175368</v>
      </c>
      <c r="GL29" s="525">
        <f t="shared" si="173"/>
        <v>0</v>
      </c>
      <c r="GM29" s="523"/>
      <c r="GN29" s="524">
        <f t="shared" ref="GN29" si="212">+GM29/$E29</f>
        <v>0</v>
      </c>
      <c r="GO29" s="525">
        <f t="shared" ref="GO29" si="213">+GM29*$H$8</f>
        <v>0</v>
      </c>
      <c r="GP29" s="523">
        <v>30.096071444679989</v>
      </c>
      <c r="GQ29" s="524">
        <f t="shared" ref="GQ29" si="214">+GP29/$E29</f>
        <v>0.56002068150350737</v>
      </c>
      <c r="GR29" s="525">
        <f t="shared" ref="GR29" si="215">+GP29*$H$8</f>
        <v>0</v>
      </c>
      <c r="GS29" s="523">
        <v>145.46434531595327</v>
      </c>
      <c r="GT29" s="524">
        <f t="shared" ref="GT29" si="216">+GS29/$E29</f>
        <v>2.7067666272669522</v>
      </c>
      <c r="GU29" s="525">
        <f t="shared" ref="GU29" si="217">+GS29*$H$8</f>
        <v>0</v>
      </c>
      <c r="GV29" s="523">
        <v>25.080059537233325</v>
      </c>
      <c r="GW29" s="524">
        <f t="shared" ref="GW29" si="218">+GV29/$E29</f>
        <v>0.46668390125292281</v>
      </c>
      <c r="GX29" s="525">
        <f t="shared" ref="GX29" si="219">+GV29*$H$8</f>
        <v>0</v>
      </c>
      <c r="GY29" s="523"/>
      <c r="GZ29" s="524">
        <f t="shared" ref="GZ29" si="220">+GY29/$E29</f>
        <v>0</v>
      </c>
      <c r="HA29" s="525">
        <f t="shared" ref="HA29" si="221">+GY29*$H$8</f>
        <v>0</v>
      </c>
      <c r="HB29" s="523"/>
      <c r="HC29" s="524">
        <f t="shared" ref="HC29:HC32" si="222">+HB29/$E29</f>
        <v>0</v>
      </c>
      <c r="HD29" s="525">
        <f t="shared" ref="HD29:HD32" si="223">+HB29*$H$8</f>
        <v>0</v>
      </c>
      <c r="HE29" s="523"/>
      <c r="HF29" s="524">
        <f t="shared" ref="HF29:HF32" si="224">+HE29/$E29</f>
        <v>0</v>
      </c>
      <c r="HG29" s="525">
        <f t="shared" ref="HG29:HG32" si="225">+HE29*$H$8</f>
        <v>0</v>
      </c>
      <c r="HH29" s="523"/>
      <c r="HI29" s="524">
        <f t="shared" ref="HI29:HI32" si="226">+HH29/$E29</f>
        <v>0</v>
      </c>
      <c r="HJ29" s="525">
        <f t="shared" ref="HJ29:HJ32" si="227">+HH29*$H$8</f>
        <v>0</v>
      </c>
      <c r="HK29" s="523"/>
      <c r="HL29" s="524">
        <f t="shared" ref="HL29:HL32" si="228">+HK29/$E29</f>
        <v>0</v>
      </c>
      <c r="HM29" s="525">
        <f t="shared" si="182"/>
        <v>0</v>
      </c>
      <c r="HN29" s="523">
        <v>840.68359568806102</v>
      </c>
      <c r="HO29" s="524">
        <f t="shared" si="70"/>
        <v>15.643244369997973</v>
      </c>
      <c r="HP29" s="525">
        <f t="shared" si="183"/>
        <v>0</v>
      </c>
      <c r="HQ29" s="523"/>
      <c r="HR29" s="524">
        <f t="shared" si="71"/>
        <v>0</v>
      </c>
      <c r="HS29" s="525">
        <f t="shared" si="184"/>
        <v>0</v>
      </c>
      <c r="HT29" s="523"/>
      <c r="HU29" s="524">
        <f t="shared" si="72"/>
        <v>0</v>
      </c>
      <c r="HV29" s="525">
        <f t="shared" si="185"/>
        <v>0</v>
      </c>
      <c r="HW29" s="523"/>
      <c r="HX29" s="524">
        <f t="shared" si="73"/>
        <v>0</v>
      </c>
      <c r="HY29" s="525">
        <f t="shared" si="186"/>
        <v>0</v>
      </c>
      <c r="HZ29" s="523"/>
      <c r="IA29" s="524">
        <f t="shared" si="74"/>
        <v>0</v>
      </c>
      <c r="IB29" s="525">
        <f t="shared" si="200"/>
        <v>0</v>
      </c>
      <c r="IC29" s="523"/>
      <c r="ID29" s="524">
        <f t="shared" si="75"/>
        <v>0</v>
      </c>
      <c r="IE29" s="525">
        <f t="shared" si="187"/>
        <v>0</v>
      </c>
      <c r="IF29" s="523"/>
      <c r="IG29" s="524">
        <f t="shared" si="76"/>
        <v>0</v>
      </c>
      <c r="IH29" s="525">
        <f t="shared" si="188"/>
        <v>0</v>
      </c>
      <c r="II29" s="523">
        <v>20.064047629786657</v>
      </c>
      <c r="IJ29" s="524">
        <f t="shared" si="77"/>
        <v>0.37334712100233819</v>
      </c>
      <c r="IK29" s="525">
        <f t="shared" si="189"/>
        <v>0</v>
      </c>
      <c r="IL29" s="523"/>
      <c r="IM29" s="524">
        <f t="shared" si="78"/>
        <v>0</v>
      </c>
      <c r="IN29" s="525">
        <f t="shared" si="190"/>
        <v>0</v>
      </c>
      <c r="IO29" s="523"/>
      <c r="IP29" s="524">
        <f t="shared" si="79"/>
        <v>0</v>
      </c>
      <c r="IQ29" s="525">
        <f t="shared" si="191"/>
        <v>0</v>
      </c>
      <c r="IR29" s="523">
        <v>50.16011907446665</v>
      </c>
      <c r="IS29" s="524">
        <f t="shared" si="80"/>
        <v>0.93336780250584561</v>
      </c>
      <c r="IT29" s="525">
        <f t="shared" si="192"/>
        <v>0</v>
      </c>
      <c r="IU29" s="523"/>
      <c r="IV29" s="524">
        <f t="shared" si="81"/>
        <v>0</v>
      </c>
      <c r="IW29" s="525">
        <f t="shared" si="193"/>
        <v>0</v>
      </c>
      <c r="IX29" s="523"/>
      <c r="IY29" s="524">
        <f t="shared" si="82"/>
        <v>0</v>
      </c>
      <c r="IZ29" s="525">
        <f t="shared" si="194"/>
        <v>0</v>
      </c>
      <c r="JA29" s="523"/>
      <c r="JB29" s="524">
        <f t="shared" si="83"/>
        <v>0</v>
      </c>
      <c r="JC29" s="525">
        <f t="shared" si="195"/>
        <v>0</v>
      </c>
      <c r="JD29" s="523"/>
      <c r="JE29" s="524">
        <f t="shared" si="84"/>
        <v>0</v>
      </c>
      <c r="JF29" s="525">
        <f t="shared" si="196"/>
        <v>0</v>
      </c>
      <c r="JG29" s="523"/>
      <c r="JH29" s="524">
        <f t="shared" si="85"/>
        <v>0</v>
      </c>
      <c r="JI29" s="525">
        <f t="shared" si="197"/>
        <v>0</v>
      </c>
      <c r="JJ29" s="523">
        <v>27.588065490956655</v>
      </c>
      <c r="JK29" s="524">
        <f t="shared" si="86"/>
        <v>0.51335229137821503</v>
      </c>
      <c r="JL29" s="525" t="str">
        <f t="shared" si="87"/>
        <v>0</v>
      </c>
      <c r="JM29" s="523"/>
      <c r="JN29" s="524">
        <f t="shared" si="88"/>
        <v>0</v>
      </c>
      <c r="JO29" s="525" t="str">
        <f t="shared" si="89"/>
        <v>0</v>
      </c>
      <c r="JP29" s="523"/>
      <c r="JQ29" s="525" t="str">
        <f t="shared" si="90"/>
        <v>0</v>
      </c>
      <c r="JR29" s="525" t="str">
        <f t="shared" si="91"/>
        <v>0</v>
      </c>
      <c r="JS29" s="523"/>
      <c r="JT29" s="525" t="str">
        <f t="shared" si="92"/>
        <v>0</v>
      </c>
      <c r="JU29" s="525" t="str">
        <f t="shared" si="93"/>
        <v>0</v>
      </c>
      <c r="JV29" s="523"/>
      <c r="JW29" s="525" t="str">
        <f t="shared" si="94"/>
        <v>0</v>
      </c>
      <c r="JX29" s="525" t="str">
        <f t="shared" si="95"/>
        <v>0</v>
      </c>
      <c r="JY29" s="523"/>
      <c r="JZ29" s="525" t="str">
        <f t="shared" si="96"/>
        <v>0</v>
      </c>
      <c r="KA29" s="525" t="str">
        <f t="shared" si="97"/>
        <v>0</v>
      </c>
      <c r="KB29" s="523"/>
      <c r="KC29" s="525" t="str">
        <f t="shared" si="98"/>
        <v>0</v>
      </c>
      <c r="KD29" s="525" t="str">
        <f t="shared" si="99"/>
        <v>0</v>
      </c>
      <c r="KE29" s="523"/>
      <c r="KF29" s="525" t="str">
        <f t="shared" si="100"/>
        <v>0</v>
      </c>
      <c r="KG29" s="525" t="str">
        <f t="shared" si="101"/>
        <v>0</v>
      </c>
      <c r="KH29" s="523"/>
      <c r="KI29" s="525" t="str">
        <f t="shared" si="102"/>
        <v>0</v>
      </c>
      <c r="KJ29" s="525" t="str">
        <f t="shared" si="103"/>
        <v>0</v>
      </c>
      <c r="KK29" s="523"/>
      <c r="KL29" s="525" t="str">
        <f t="shared" si="104"/>
        <v>0</v>
      </c>
      <c r="KM29" s="525" t="str">
        <f t="shared" si="105"/>
        <v>0</v>
      </c>
      <c r="KN29" s="523"/>
      <c r="KO29" s="525" t="str">
        <f t="shared" si="106"/>
        <v>0</v>
      </c>
      <c r="KP29" s="525" t="str">
        <f t="shared" si="107"/>
        <v>0</v>
      </c>
      <c r="KQ29" s="523"/>
      <c r="KR29" s="525" t="str">
        <f t="shared" si="108"/>
        <v>0</v>
      </c>
      <c r="KS29" s="525" t="str">
        <f t="shared" si="109"/>
        <v>0</v>
      </c>
      <c r="KT29" s="525">
        <f t="shared" si="201"/>
        <v>0</v>
      </c>
      <c r="KU29" s="525">
        <f t="shared" si="202"/>
        <v>0</v>
      </c>
      <c r="KV29" s="264">
        <f t="shared" si="198"/>
        <v>1721.3938192485577</v>
      </c>
    </row>
    <row r="30" spans="1:309" ht="15" customHeight="1">
      <c r="A30" s="266">
        <f t="shared" si="199"/>
        <v>45983</v>
      </c>
      <c r="B30" s="267" t="str">
        <f>+Report1!B30</f>
        <v>Toilet</v>
      </c>
      <c r="C30" s="267" t="str">
        <f>+Report1!C30</f>
        <v>20/15</v>
      </c>
      <c r="D30" s="268">
        <f>+Report1!P30</f>
        <v>49.744000000000007</v>
      </c>
      <c r="E30" s="269">
        <f>+Report1!R30</f>
        <v>51.213999999999999</v>
      </c>
      <c r="F30" s="523"/>
      <c r="G30" s="524">
        <f t="shared" si="0"/>
        <v>0</v>
      </c>
      <c r="H30" s="525">
        <f t="shared" si="110"/>
        <v>0</v>
      </c>
      <c r="I30" s="523"/>
      <c r="J30" s="524">
        <f t="shared" si="1"/>
        <v>0</v>
      </c>
      <c r="K30" s="525">
        <f t="shared" si="111"/>
        <v>0</v>
      </c>
      <c r="L30" s="523"/>
      <c r="M30" s="524">
        <f t="shared" si="2"/>
        <v>0</v>
      </c>
      <c r="N30" s="525">
        <f t="shared" si="112"/>
        <v>0</v>
      </c>
      <c r="O30" s="523">
        <v>1.4999999999999858</v>
      </c>
      <c r="P30" s="524">
        <f t="shared" si="3"/>
        <v>2.9288866325613814E-2</v>
      </c>
      <c r="Q30" s="525">
        <f t="shared" si="113"/>
        <v>0</v>
      </c>
      <c r="R30" s="523"/>
      <c r="S30" s="524">
        <f t="shared" si="4"/>
        <v>0</v>
      </c>
      <c r="T30" s="525">
        <f t="shared" si="114"/>
        <v>0</v>
      </c>
      <c r="U30" s="523">
        <v>2.5625</v>
      </c>
      <c r="V30" s="524">
        <f t="shared" si="5"/>
        <v>5.0035146639590737E-2</v>
      </c>
      <c r="W30" s="525">
        <f t="shared" si="115"/>
        <v>0</v>
      </c>
      <c r="X30" s="523"/>
      <c r="Y30" s="524">
        <f t="shared" si="6"/>
        <v>0</v>
      </c>
      <c r="Z30" s="525">
        <f t="shared" si="116"/>
        <v>0</v>
      </c>
      <c r="AA30" s="523"/>
      <c r="AB30" s="524">
        <f t="shared" si="7"/>
        <v>0</v>
      </c>
      <c r="AC30" s="525">
        <f t="shared" si="117"/>
        <v>0</v>
      </c>
      <c r="AD30" s="523"/>
      <c r="AE30" s="524">
        <f t="shared" si="8"/>
        <v>0</v>
      </c>
      <c r="AF30" s="525">
        <f t="shared" si="118"/>
        <v>0</v>
      </c>
      <c r="AG30" s="523"/>
      <c r="AH30" s="524">
        <f t="shared" si="9"/>
        <v>0</v>
      </c>
      <c r="AI30" s="525">
        <f t="shared" si="119"/>
        <v>0</v>
      </c>
      <c r="AJ30" s="523">
        <v>11.75</v>
      </c>
      <c r="AK30" s="524">
        <f t="shared" si="10"/>
        <v>0.22942945288397704</v>
      </c>
      <c r="AL30" s="525">
        <f t="shared" si="120"/>
        <v>0</v>
      </c>
      <c r="AM30" s="523"/>
      <c r="AN30" s="524">
        <f t="shared" si="11"/>
        <v>0</v>
      </c>
      <c r="AO30" s="525">
        <f t="shared" si="121"/>
        <v>0</v>
      </c>
      <c r="AP30" s="523"/>
      <c r="AQ30" s="524">
        <f t="shared" si="12"/>
        <v>0</v>
      </c>
      <c r="AR30" s="525">
        <f t="shared" si="122"/>
        <v>0</v>
      </c>
      <c r="AS30" s="523"/>
      <c r="AT30" s="524">
        <f t="shared" si="13"/>
        <v>0</v>
      </c>
      <c r="AU30" s="525">
        <f t="shared" si="123"/>
        <v>0</v>
      </c>
      <c r="AV30" s="523"/>
      <c r="AW30" s="524">
        <f t="shared" si="14"/>
        <v>0</v>
      </c>
      <c r="AX30" s="525">
        <f t="shared" si="124"/>
        <v>0</v>
      </c>
      <c r="AY30" s="523"/>
      <c r="AZ30" s="524">
        <f t="shared" si="15"/>
        <v>0</v>
      </c>
      <c r="BA30" s="525">
        <f t="shared" si="125"/>
        <v>0</v>
      </c>
      <c r="BB30" s="523"/>
      <c r="BC30" s="524">
        <f t="shared" si="16"/>
        <v>0</v>
      </c>
      <c r="BD30" s="525">
        <f t="shared" si="126"/>
        <v>0</v>
      </c>
      <c r="BE30" s="523"/>
      <c r="BF30" s="524">
        <f t="shared" si="17"/>
        <v>0</v>
      </c>
      <c r="BG30" s="525">
        <f t="shared" si="127"/>
        <v>0</v>
      </c>
      <c r="BH30" s="523"/>
      <c r="BI30" s="524">
        <f t="shared" si="18"/>
        <v>0</v>
      </c>
      <c r="BJ30" s="525">
        <f t="shared" si="128"/>
        <v>0</v>
      </c>
      <c r="BK30" s="523"/>
      <c r="BL30" s="524">
        <f t="shared" si="19"/>
        <v>0</v>
      </c>
      <c r="BM30" s="525">
        <f t="shared" si="129"/>
        <v>0</v>
      </c>
      <c r="BN30" s="523"/>
      <c r="BO30" s="524">
        <f t="shared" si="20"/>
        <v>0</v>
      </c>
      <c r="BP30" s="525">
        <f t="shared" si="130"/>
        <v>0</v>
      </c>
      <c r="BQ30" s="523"/>
      <c r="BR30" s="524">
        <f t="shared" si="21"/>
        <v>0</v>
      </c>
      <c r="BS30" s="525">
        <f t="shared" si="131"/>
        <v>0</v>
      </c>
      <c r="BT30" s="523"/>
      <c r="BU30" s="524">
        <f t="shared" si="22"/>
        <v>0</v>
      </c>
      <c r="BV30" s="525">
        <f t="shared" si="132"/>
        <v>0</v>
      </c>
      <c r="BW30" s="523"/>
      <c r="BX30" s="524">
        <f t="shared" si="23"/>
        <v>0</v>
      </c>
      <c r="BY30" s="525">
        <f t="shared" si="133"/>
        <v>0</v>
      </c>
      <c r="BZ30" s="523"/>
      <c r="CA30" s="524">
        <f t="shared" si="24"/>
        <v>0</v>
      </c>
      <c r="CB30" s="525">
        <f t="shared" si="134"/>
        <v>0</v>
      </c>
      <c r="CC30" s="523"/>
      <c r="CD30" s="524">
        <f t="shared" si="25"/>
        <v>0</v>
      </c>
      <c r="CE30" s="525">
        <f t="shared" si="135"/>
        <v>0</v>
      </c>
      <c r="CF30" s="523">
        <v>2.75</v>
      </c>
      <c r="CG30" s="524">
        <f t="shared" si="26"/>
        <v>5.3696254930292502E-2</v>
      </c>
      <c r="CH30" s="525">
        <f t="shared" si="136"/>
        <v>0</v>
      </c>
      <c r="CI30" s="523"/>
      <c r="CJ30" s="524">
        <f t="shared" si="27"/>
        <v>0</v>
      </c>
      <c r="CK30" s="525">
        <f t="shared" si="137"/>
        <v>0</v>
      </c>
      <c r="CL30" s="523"/>
      <c r="CM30" s="524">
        <f t="shared" si="28"/>
        <v>0</v>
      </c>
      <c r="CN30" s="525">
        <f t="shared" si="138"/>
        <v>0</v>
      </c>
      <c r="CO30" s="523"/>
      <c r="CP30" s="524">
        <f t="shared" si="29"/>
        <v>0</v>
      </c>
      <c r="CQ30" s="525">
        <f t="shared" si="139"/>
        <v>0</v>
      </c>
      <c r="CR30" s="523"/>
      <c r="CS30" s="524">
        <f t="shared" si="30"/>
        <v>0</v>
      </c>
      <c r="CT30" s="525">
        <f t="shared" si="140"/>
        <v>0</v>
      </c>
      <c r="CU30" s="523"/>
      <c r="CV30" s="524">
        <f t="shared" si="31"/>
        <v>0</v>
      </c>
      <c r="CW30" s="525">
        <f t="shared" si="141"/>
        <v>0</v>
      </c>
      <c r="CX30" s="523"/>
      <c r="CY30" s="524">
        <f t="shared" si="32"/>
        <v>0</v>
      </c>
      <c r="CZ30" s="525">
        <f t="shared" si="142"/>
        <v>0</v>
      </c>
      <c r="DA30" s="523">
        <v>203.48837209302329</v>
      </c>
      <c r="DB30" s="524">
        <f t="shared" si="33"/>
        <v>3.9732958193662533</v>
      </c>
      <c r="DC30" s="525">
        <f t="shared" si="143"/>
        <v>0</v>
      </c>
      <c r="DD30" s="523"/>
      <c r="DE30" s="524">
        <f t="shared" si="34"/>
        <v>0</v>
      </c>
      <c r="DF30" s="525">
        <f t="shared" si="144"/>
        <v>0</v>
      </c>
      <c r="DG30" s="523"/>
      <c r="DH30" s="524">
        <f t="shared" si="35"/>
        <v>0</v>
      </c>
      <c r="DI30" s="525">
        <f t="shared" si="203"/>
        <v>0</v>
      </c>
      <c r="DJ30" s="523"/>
      <c r="DK30" s="524">
        <f t="shared" si="36"/>
        <v>0</v>
      </c>
      <c r="DL30" s="525">
        <f t="shared" si="145"/>
        <v>0</v>
      </c>
      <c r="DM30" s="523"/>
      <c r="DN30" s="524">
        <f t="shared" si="37"/>
        <v>0</v>
      </c>
      <c r="DO30" s="525">
        <f t="shared" si="146"/>
        <v>0</v>
      </c>
      <c r="DP30" s="523"/>
      <c r="DQ30" s="524">
        <f t="shared" si="38"/>
        <v>0</v>
      </c>
      <c r="DR30" s="525">
        <f t="shared" si="147"/>
        <v>0</v>
      </c>
      <c r="DS30" s="523"/>
      <c r="DT30" s="524">
        <f t="shared" si="39"/>
        <v>0</v>
      </c>
      <c r="DU30" s="525">
        <f t="shared" si="148"/>
        <v>0</v>
      </c>
      <c r="DV30" s="523"/>
      <c r="DW30" s="524">
        <f t="shared" si="40"/>
        <v>0</v>
      </c>
      <c r="DX30" s="525">
        <f t="shared" si="149"/>
        <v>0</v>
      </c>
      <c r="DY30" s="523"/>
      <c r="DZ30" s="524">
        <f t="shared" si="41"/>
        <v>0</v>
      </c>
      <c r="EA30" s="525">
        <f t="shared" si="150"/>
        <v>0</v>
      </c>
      <c r="EB30" s="523"/>
      <c r="EC30" s="524">
        <f t="shared" si="42"/>
        <v>0</v>
      </c>
      <c r="ED30" s="525">
        <f t="shared" si="151"/>
        <v>0</v>
      </c>
      <c r="EE30" s="523">
        <v>199.60000000000002</v>
      </c>
      <c r="EF30" s="524">
        <f t="shared" si="43"/>
        <v>3.8973718123950487</v>
      </c>
      <c r="EG30" s="525">
        <f t="shared" si="152"/>
        <v>0</v>
      </c>
      <c r="EH30" s="523">
        <v>1</v>
      </c>
      <c r="EI30" s="524">
        <f t="shared" si="44"/>
        <v>1.9525910883742729E-2</v>
      </c>
      <c r="EJ30" s="525">
        <f t="shared" si="153"/>
        <v>0</v>
      </c>
      <c r="EK30" s="523">
        <v>30.487804878048792</v>
      </c>
      <c r="EL30" s="524">
        <f t="shared" si="45"/>
        <v>0.59530216108971745</v>
      </c>
      <c r="EM30" s="525">
        <f t="shared" si="154"/>
        <v>0</v>
      </c>
      <c r="EN30" s="523">
        <v>44.476744186046517</v>
      </c>
      <c r="EO30" s="524">
        <f t="shared" si="46"/>
        <v>0.86844894337576672</v>
      </c>
      <c r="EP30" s="525">
        <f t="shared" si="155"/>
        <v>0</v>
      </c>
      <c r="EQ30" s="523"/>
      <c r="ER30" s="524">
        <f t="shared" si="47"/>
        <v>0</v>
      </c>
      <c r="ES30" s="525">
        <f t="shared" si="156"/>
        <v>0</v>
      </c>
      <c r="ET30" s="523"/>
      <c r="EU30" s="524">
        <f t="shared" si="48"/>
        <v>0</v>
      </c>
      <c r="EV30" s="525">
        <f t="shared" si="157"/>
        <v>0</v>
      </c>
      <c r="EW30" s="523"/>
      <c r="EX30" s="524">
        <f t="shared" si="49"/>
        <v>0</v>
      </c>
      <c r="EY30" s="525">
        <f t="shared" si="158"/>
        <v>0</v>
      </c>
      <c r="EZ30" s="523"/>
      <c r="FA30" s="524">
        <f t="shared" si="50"/>
        <v>0</v>
      </c>
      <c r="FB30" s="525">
        <f t="shared" si="159"/>
        <v>0</v>
      </c>
      <c r="FC30" s="523"/>
      <c r="FD30" s="524">
        <f t="shared" si="51"/>
        <v>0</v>
      </c>
      <c r="FE30" s="525">
        <f t="shared" si="160"/>
        <v>0</v>
      </c>
      <c r="FF30" s="523"/>
      <c r="FG30" s="524">
        <f t="shared" si="52"/>
        <v>0</v>
      </c>
      <c r="FH30" s="525">
        <f t="shared" si="161"/>
        <v>0</v>
      </c>
      <c r="FI30" s="523"/>
      <c r="FJ30" s="524">
        <f t="shared" si="53"/>
        <v>0</v>
      </c>
      <c r="FK30" s="525">
        <f t="shared" si="162"/>
        <v>0</v>
      </c>
      <c r="FL30" s="523"/>
      <c r="FM30" s="524">
        <f t="shared" si="54"/>
        <v>0</v>
      </c>
      <c r="FN30" s="525">
        <f t="shared" si="163"/>
        <v>0</v>
      </c>
      <c r="FO30" s="523"/>
      <c r="FP30" s="524">
        <f t="shared" si="55"/>
        <v>0</v>
      </c>
      <c r="FQ30" s="525">
        <f t="shared" si="164"/>
        <v>0</v>
      </c>
      <c r="FR30" s="523"/>
      <c r="FS30" s="524">
        <f t="shared" si="56"/>
        <v>0</v>
      </c>
      <c r="FT30" s="525">
        <f t="shared" si="165"/>
        <v>0</v>
      </c>
      <c r="FU30" s="523"/>
      <c r="FV30" s="524">
        <f t="shared" si="57"/>
        <v>0</v>
      </c>
      <c r="FW30" s="525">
        <f t="shared" si="166"/>
        <v>0</v>
      </c>
      <c r="FX30" s="523"/>
      <c r="FY30" s="524">
        <f t="shared" si="58"/>
        <v>0</v>
      </c>
      <c r="FZ30" s="525">
        <f t="shared" si="167"/>
        <v>0</v>
      </c>
      <c r="GA30" s="523">
        <v>7.3574189477005607</v>
      </c>
      <c r="GB30" s="524">
        <f t="shared" si="168"/>
        <v>0.14366030670716134</v>
      </c>
      <c r="GC30" s="525">
        <f t="shared" si="169"/>
        <v>0</v>
      </c>
      <c r="GD30" s="523"/>
      <c r="GE30" s="524">
        <f t="shared" si="59"/>
        <v>0</v>
      </c>
      <c r="GF30" s="525">
        <f t="shared" si="170"/>
        <v>0</v>
      </c>
      <c r="GG30" s="523">
        <v>12.262364912834268</v>
      </c>
      <c r="GH30" s="524">
        <f t="shared" si="171"/>
        <v>0.23943384451193558</v>
      </c>
      <c r="GI30" s="525">
        <f t="shared" si="172"/>
        <v>0</v>
      </c>
      <c r="GJ30" s="523">
        <v>14.714837895401121</v>
      </c>
      <c r="GK30" s="524">
        <f t="shared" ref="GK30:GK32" si="229">+GJ30/$E30</f>
        <v>0.28732061341432269</v>
      </c>
      <c r="GL30" s="525">
        <f t="shared" ref="GL30:GL32" si="230">+GJ30*$H$8</f>
        <v>0</v>
      </c>
      <c r="GM30" s="523"/>
      <c r="GN30" s="524">
        <f t="shared" ref="GN30:GN32" si="231">+GM30/$E30</f>
        <v>0</v>
      </c>
      <c r="GO30" s="525">
        <f t="shared" ref="GO30:GO32" si="232">+GM30*$H$8</f>
        <v>0</v>
      </c>
      <c r="GP30" s="523">
        <v>29.429675790802243</v>
      </c>
      <c r="GQ30" s="524">
        <f t="shared" ref="GQ30:GQ32" si="233">+GP30/$E30</f>
        <v>0.57464122682864538</v>
      </c>
      <c r="GR30" s="525">
        <f t="shared" ref="GR30:GR32" si="234">+GP30*$H$8</f>
        <v>0</v>
      </c>
      <c r="GS30" s="523">
        <v>147.14837895401124</v>
      </c>
      <c r="GT30" s="524">
        <f t="shared" ref="GT30:GT32" si="235">+GS30/$E30</f>
        <v>2.8732061341432273</v>
      </c>
      <c r="GU30" s="525">
        <f t="shared" ref="GU30:GU32" si="236">+GS30*$H$8</f>
        <v>0</v>
      </c>
      <c r="GV30" s="523">
        <v>24.524729825668537</v>
      </c>
      <c r="GW30" s="524">
        <f t="shared" ref="GW30:GW32" si="237">+GV30/$E30</f>
        <v>0.47886768902387117</v>
      </c>
      <c r="GX30" s="525">
        <f t="shared" ref="GX30:GX32" si="238">+GV30*$H$8</f>
        <v>0</v>
      </c>
      <c r="GY30" s="523"/>
      <c r="GZ30" s="524">
        <f t="shared" ref="GZ30:GZ32" si="239">+GY30/$E30</f>
        <v>0</v>
      </c>
      <c r="HA30" s="525">
        <f t="shared" ref="HA30:HA32" si="240">+GY30*$H$8</f>
        <v>0</v>
      </c>
      <c r="HB30" s="523"/>
      <c r="HC30" s="524">
        <f t="shared" si="222"/>
        <v>0</v>
      </c>
      <c r="HD30" s="525">
        <f t="shared" si="223"/>
        <v>0</v>
      </c>
      <c r="HE30" s="523"/>
      <c r="HF30" s="524">
        <f t="shared" si="224"/>
        <v>0</v>
      </c>
      <c r="HG30" s="525">
        <f t="shared" si="225"/>
        <v>0</v>
      </c>
      <c r="HH30" s="523"/>
      <c r="HI30" s="524">
        <f t="shared" si="226"/>
        <v>0</v>
      </c>
      <c r="HJ30" s="525">
        <f t="shared" si="227"/>
        <v>0</v>
      </c>
      <c r="HK30" s="523"/>
      <c r="HL30" s="524">
        <f t="shared" si="228"/>
        <v>0</v>
      </c>
      <c r="HM30" s="525">
        <f t="shared" si="182"/>
        <v>0</v>
      </c>
      <c r="HN30" s="523">
        <v>842.66971680997096</v>
      </c>
      <c r="HO30" s="524">
        <f t="shared" si="70"/>
        <v>16.453893794860214</v>
      </c>
      <c r="HP30" s="525">
        <f t="shared" si="183"/>
        <v>0</v>
      </c>
      <c r="HQ30" s="523"/>
      <c r="HR30" s="524">
        <f t="shared" si="71"/>
        <v>0</v>
      </c>
      <c r="HS30" s="525">
        <f t="shared" si="184"/>
        <v>0</v>
      </c>
      <c r="HT30" s="523"/>
      <c r="HU30" s="524">
        <f t="shared" si="72"/>
        <v>0</v>
      </c>
      <c r="HV30" s="525">
        <f t="shared" si="185"/>
        <v>0</v>
      </c>
      <c r="HW30" s="523"/>
      <c r="HX30" s="524">
        <f t="shared" si="73"/>
        <v>0</v>
      </c>
      <c r="HY30" s="525">
        <f t="shared" si="186"/>
        <v>0</v>
      </c>
      <c r="HZ30" s="523"/>
      <c r="IA30" s="524">
        <f t="shared" si="74"/>
        <v>0</v>
      </c>
      <c r="IB30" s="525">
        <f t="shared" si="200"/>
        <v>0</v>
      </c>
      <c r="IC30" s="523"/>
      <c r="ID30" s="524">
        <f t="shared" si="75"/>
        <v>0</v>
      </c>
      <c r="IE30" s="525">
        <f t="shared" si="187"/>
        <v>0</v>
      </c>
      <c r="IF30" s="523"/>
      <c r="IG30" s="524">
        <f t="shared" si="76"/>
        <v>0</v>
      </c>
      <c r="IH30" s="525">
        <f t="shared" si="188"/>
        <v>0</v>
      </c>
      <c r="II30" s="523">
        <v>22.072256843101684</v>
      </c>
      <c r="IJ30" s="524">
        <f t="shared" si="77"/>
        <v>0.43098092012148403</v>
      </c>
      <c r="IK30" s="525">
        <f t="shared" si="189"/>
        <v>0</v>
      </c>
      <c r="IL30" s="523"/>
      <c r="IM30" s="524">
        <f t="shared" si="78"/>
        <v>0</v>
      </c>
      <c r="IN30" s="525">
        <f t="shared" si="190"/>
        <v>0</v>
      </c>
      <c r="IO30" s="523"/>
      <c r="IP30" s="524">
        <f t="shared" si="79"/>
        <v>0</v>
      </c>
      <c r="IQ30" s="525">
        <f t="shared" si="191"/>
        <v>0</v>
      </c>
      <c r="IR30" s="523">
        <v>49.049459651337074</v>
      </c>
      <c r="IS30" s="524">
        <f t="shared" si="80"/>
        <v>0.95773537804774234</v>
      </c>
      <c r="IT30" s="525">
        <f t="shared" si="192"/>
        <v>0</v>
      </c>
      <c r="IU30" s="523"/>
      <c r="IV30" s="524">
        <f t="shared" si="81"/>
        <v>0</v>
      </c>
      <c r="IW30" s="525">
        <f t="shared" si="193"/>
        <v>0</v>
      </c>
      <c r="IX30" s="523"/>
      <c r="IY30" s="524">
        <f t="shared" si="82"/>
        <v>0</v>
      </c>
      <c r="IZ30" s="525">
        <f t="shared" si="194"/>
        <v>0</v>
      </c>
      <c r="JA30" s="523"/>
      <c r="JB30" s="524">
        <f t="shared" si="83"/>
        <v>0</v>
      </c>
      <c r="JC30" s="525">
        <f t="shared" si="195"/>
        <v>0</v>
      </c>
      <c r="JD30" s="523"/>
      <c r="JE30" s="524">
        <f t="shared" si="84"/>
        <v>0</v>
      </c>
      <c r="JF30" s="525">
        <f t="shared" si="196"/>
        <v>0</v>
      </c>
      <c r="JG30" s="523"/>
      <c r="JH30" s="524">
        <f t="shared" si="85"/>
        <v>0</v>
      </c>
      <c r="JI30" s="525">
        <f t="shared" si="197"/>
        <v>0</v>
      </c>
      <c r="JJ30" s="523">
        <v>26.97720280823539</v>
      </c>
      <c r="JK30" s="524">
        <f t="shared" si="86"/>
        <v>0.5267544579262583</v>
      </c>
      <c r="JL30" s="525" t="str">
        <f t="shared" si="87"/>
        <v>0</v>
      </c>
      <c r="JM30" s="523"/>
      <c r="JN30" s="524">
        <f t="shared" si="88"/>
        <v>0</v>
      </c>
      <c r="JO30" s="525" t="str">
        <f t="shared" si="89"/>
        <v>0</v>
      </c>
      <c r="JP30" s="523"/>
      <c r="JQ30" s="525" t="str">
        <f t="shared" si="90"/>
        <v>0</v>
      </c>
      <c r="JR30" s="525" t="str">
        <f t="shared" si="91"/>
        <v>0</v>
      </c>
      <c r="JS30" s="523"/>
      <c r="JT30" s="525" t="str">
        <f t="shared" si="92"/>
        <v>0</v>
      </c>
      <c r="JU30" s="525" t="str">
        <f t="shared" si="93"/>
        <v>0</v>
      </c>
      <c r="JV30" s="523"/>
      <c r="JW30" s="525" t="str">
        <f t="shared" si="94"/>
        <v>0</v>
      </c>
      <c r="JX30" s="525" t="str">
        <f t="shared" si="95"/>
        <v>0</v>
      </c>
      <c r="JY30" s="523"/>
      <c r="JZ30" s="525" t="str">
        <f t="shared" si="96"/>
        <v>0</v>
      </c>
      <c r="KA30" s="525" t="str">
        <f t="shared" si="97"/>
        <v>0</v>
      </c>
      <c r="KB30" s="523"/>
      <c r="KC30" s="525" t="str">
        <f t="shared" si="98"/>
        <v>0</v>
      </c>
      <c r="KD30" s="525" t="str">
        <f t="shared" si="99"/>
        <v>0</v>
      </c>
      <c r="KE30" s="523"/>
      <c r="KF30" s="525" t="str">
        <f t="shared" si="100"/>
        <v>0</v>
      </c>
      <c r="KG30" s="525" t="str">
        <f t="shared" si="101"/>
        <v>0</v>
      </c>
      <c r="KH30" s="523"/>
      <c r="KI30" s="525" t="str">
        <f t="shared" si="102"/>
        <v>0</v>
      </c>
      <c r="KJ30" s="525" t="str">
        <f t="shared" si="103"/>
        <v>0</v>
      </c>
      <c r="KK30" s="523"/>
      <c r="KL30" s="525" t="str">
        <f t="shared" si="104"/>
        <v>0</v>
      </c>
      <c r="KM30" s="525" t="str">
        <f t="shared" si="105"/>
        <v>0</v>
      </c>
      <c r="KN30" s="523"/>
      <c r="KO30" s="525" t="str">
        <f t="shared" si="106"/>
        <v>0</v>
      </c>
      <c r="KP30" s="525" t="str">
        <f t="shared" si="107"/>
        <v>0</v>
      </c>
      <c r="KQ30" s="523"/>
      <c r="KR30" s="525" t="str">
        <f t="shared" si="108"/>
        <v>0</v>
      </c>
      <c r="KS30" s="525" t="str">
        <f t="shared" si="109"/>
        <v>0</v>
      </c>
      <c r="KT30" s="525">
        <f t="shared" si="201"/>
        <v>0</v>
      </c>
      <c r="KU30" s="525">
        <f t="shared" si="202"/>
        <v>0</v>
      </c>
      <c r="KV30" s="264">
        <f t="shared" si="198"/>
        <v>1673.8214635961817</v>
      </c>
    </row>
    <row r="31" spans="1:309" ht="15" customHeight="1">
      <c r="A31" s="266">
        <f t="shared" si="199"/>
        <v>45984</v>
      </c>
      <c r="B31" s="267" t="str">
        <f>+Report1!B31</f>
        <v>Toilet</v>
      </c>
      <c r="C31" s="267" t="str">
        <f>+Report1!C31</f>
        <v>15</v>
      </c>
      <c r="D31" s="268">
        <f>+Report1!P31</f>
        <v>49.149000000000001</v>
      </c>
      <c r="E31" s="269">
        <f>+Report1!R31</f>
        <v>48.63</v>
      </c>
      <c r="F31" s="523"/>
      <c r="G31" s="524">
        <f t="shared" si="0"/>
        <v>0</v>
      </c>
      <c r="H31" s="525">
        <f t="shared" si="110"/>
        <v>0</v>
      </c>
      <c r="I31" s="523"/>
      <c r="J31" s="524">
        <f t="shared" si="1"/>
        <v>0</v>
      </c>
      <c r="K31" s="525">
        <f t="shared" si="111"/>
        <v>0</v>
      </c>
      <c r="L31" s="523"/>
      <c r="M31" s="524">
        <f t="shared" si="2"/>
        <v>0</v>
      </c>
      <c r="N31" s="525">
        <f t="shared" si="112"/>
        <v>0</v>
      </c>
      <c r="O31" s="523">
        <v>1.4999999999999858</v>
      </c>
      <c r="P31" s="524">
        <f t="shared" si="3"/>
        <v>3.0845157310301987E-2</v>
      </c>
      <c r="Q31" s="525">
        <f t="shared" si="113"/>
        <v>0</v>
      </c>
      <c r="R31" s="523"/>
      <c r="S31" s="524">
        <f t="shared" si="4"/>
        <v>0</v>
      </c>
      <c r="T31" s="525">
        <f t="shared" si="114"/>
        <v>0</v>
      </c>
      <c r="U31" s="523">
        <v>2.5625</v>
      </c>
      <c r="V31" s="524">
        <f t="shared" si="5"/>
        <v>5.2693810405099732E-2</v>
      </c>
      <c r="W31" s="525">
        <f t="shared" si="115"/>
        <v>0</v>
      </c>
      <c r="X31" s="523"/>
      <c r="Y31" s="524">
        <f t="shared" si="6"/>
        <v>0</v>
      </c>
      <c r="Z31" s="525">
        <f t="shared" si="116"/>
        <v>0</v>
      </c>
      <c r="AA31" s="523"/>
      <c r="AB31" s="524">
        <f t="shared" si="7"/>
        <v>0</v>
      </c>
      <c r="AC31" s="525">
        <f t="shared" si="117"/>
        <v>0</v>
      </c>
      <c r="AD31" s="523"/>
      <c r="AE31" s="524">
        <f t="shared" si="8"/>
        <v>0</v>
      </c>
      <c r="AF31" s="525">
        <f t="shared" si="118"/>
        <v>0</v>
      </c>
      <c r="AG31" s="523"/>
      <c r="AH31" s="524">
        <f t="shared" si="9"/>
        <v>0</v>
      </c>
      <c r="AI31" s="525">
        <f t="shared" si="119"/>
        <v>0</v>
      </c>
      <c r="AJ31" s="523">
        <v>11.75</v>
      </c>
      <c r="AK31" s="524">
        <f t="shared" si="10"/>
        <v>0.2416203989307012</v>
      </c>
      <c r="AL31" s="525">
        <f t="shared" si="120"/>
        <v>0</v>
      </c>
      <c r="AM31" s="523"/>
      <c r="AN31" s="524">
        <f t="shared" si="11"/>
        <v>0</v>
      </c>
      <c r="AO31" s="525">
        <f t="shared" si="121"/>
        <v>0</v>
      </c>
      <c r="AP31" s="523"/>
      <c r="AQ31" s="524">
        <f t="shared" si="12"/>
        <v>0</v>
      </c>
      <c r="AR31" s="525">
        <f t="shared" si="122"/>
        <v>0</v>
      </c>
      <c r="AS31" s="523"/>
      <c r="AT31" s="524">
        <f t="shared" si="13"/>
        <v>0</v>
      </c>
      <c r="AU31" s="525">
        <f t="shared" si="123"/>
        <v>0</v>
      </c>
      <c r="AV31" s="523"/>
      <c r="AW31" s="524">
        <f t="shared" si="14"/>
        <v>0</v>
      </c>
      <c r="AX31" s="525">
        <f t="shared" si="124"/>
        <v>0</v>
      </c>
      <c r="AY31" s="523"/>
      <c r="AZ31" s="524">
        <f t="shared" si="15"/>
        <v>0</v>
      </c>
      <c r="BA31" s="525">
        <f t="shared" si="125"/>
        <v>0</v>
      </c>
      <c r="BB31" s="523"/>
      <c r="BC31" s="524">
        <f t="shared" si="16"/>
        <v>0</v>
      </c>
      <c r="BD31" s="525">
        <f t="shared" si="126"/>
        <v>0</v>
      </c>
      <c r="BE31" s="523"/>
      <c r="BF31" s="524">
        <f t="shared" si="17"/>
        <v>0</v>
      </c>
      <c r="BG31" s="525">
        <f t="shared" si="127"/>
        <v>0</v>
      </c>
      <c r="BH31" s="523"/>
      <c r="BI31" s="524">
        <f t="shared" si="18"/>
        <v>0</v>
      </c>
      <c r="BJ31" s="525">
        <f t="shared" si="128"/>
        <v>0</v>
      </c>
      <c r="BK31" s="523"/>
      <c r="BL31" s="524">
        <f t="shared" si="19"/>
        <v>0</v>
      </c>
      <c r="BM31" s="525">
        <f t="shared" si="129"/>
        <v>0</v>
      </c>
      <c r="BN31" s="523"/>
      <c r="BO31" s="524">
        <f t="shared" si="20"/>
        <v>0</v>
      </c>
      <c r="BP31" s="525">
        <f t="shared" si="130"/>
        <v>0</v>
      </c>
      <c r="BQ31" s="523"/>
      <c r="BR31" s="524">
        <f t="shared" si="21"/>
        <v>0</v>
      </c>
      <c r="BS31" s="525">
        <f t="shared" si="131"/>
        <v>0</v>
      </c>
      <c r="BT31" s="523"/>
      <c r="BU31" s="524">
        <f t="shared" si="22"/>
        <v>0</v>
      </c>
      <c r="BV31" s="525">
        <f t="shared" si="132"/>
        <v>0</v>
      </c>
      <c r="BW31" s="523"/>
      <c r="BX31" s="524">
        <f t="shared" si="23"/>
        <v>0</v>
      </c>
      <c r="BY31" s="525">
        <f t="shared" si="133"/>
        <v>0</v>
      </c>
      <c r="BZ31" s="523"/>
      <c r="CA31" s="524">
        <f t="shared" si="24"/>
        <v>0</v>
      </c>
      <c r="CB31" s="525">
        <f t="shared" si="134"/>
        <v>0</v>
      </c>
      <c r="CC31" s="523"/>
      <c r="CD31" s="524">
        <f t="shared" si="25"/>
        <v>0</v>
      </c>
      <c r="CE31" s="525">
        <f t="shared" si="135"/>
        <v>0</v>
      </c>
      <c r="CF31" s="523">
        <v>2.75</v>
      </c>
      <c r="CG31" s="524">
        <f t="shared" si="26"/>
        <v>5.6549455068887512E-2</v>
      </c>
      <c r="CH31" s="525">
        <f t="shared" si="136"/>
        <v>0</v>
      </c>
      <c r="CI31" s="523"/>
      <c r="CJ31" s="524">
        <f t="shared" si="27"/>
        <v>0</v>
      </c>
      <c r="CK31" s="525">
        <f t="shared" si="137"/>
        <v>0</v>
      </c>
      <c r="CL31" s="523"/>
      <c r="CM31" s="524">
        <f t="shared" si="28"/>
        <v>0</v>
      </c>
      <c r="CN31" s="525">
        <f t="shared" si="138"/>
        <v>0</v>
      </c>
      <c r="CO31" s="523"/>
      <c r="CP31" s="524">
        <f t="shared" si="29"/>
        <v>0</v>
      </c>
      <c r="CQ31" s="525">
        <f t="shared" si="139"/>
        <v>0</v>
      </c>
      <c r="CR31" s="523"/>
      <c r="CS31" s="524">
        <f t="shared" si="30"/>
        <v>0</v>
      </c>
      <c r="CT31" s="525">
        <f t="shared" si="140"/>
        <v>0</v>
      </c>
      <c r="CU31" s="523"/>
      <c r="CV31" s="524">
        <f t="shared" si="31"/>
        <v>0</v>
      </c>
      <c r="CW31" s="525">
        <f t="shared" si="141"/>
        <v>0</v>
      </c>
      <c r="CX31" s="523"/>
      <c r="CY31" s="524">
        <f t="shared" si="32"/>
        <v>0</v>
      </c>
      <c r="CZ31" s="525">
        <f t="shared" si="142"/>
        <v>0</v>
      </c>
      <c r="DA31" s="523">
        <v>203.48837209302329</v>
      </c>
      <c r="DB31" s="524">
        <f t="shared" si="33"/>
        <v>4.1844205653510853</v>
      </c>
      <c r="DC31" s="525">
        <f t="shared" si="143"/>
        <v>0</v>
      </c>
      <c r="DD31" s="523"/>
      <c r="DE31" s="524">
        <f t="shared" si="34"/>
        <v>0</v>
      </c>
      <c r="DF31" s="525">
        <f t="shared" si="144"/>
        <v>0</v>
      </c>
      <c r="DG31" s="523"/>
      <c r="DH31" s="524">
        <f t="shared" si="35"/>
        <v>0</v>
      </c>
      <c r="DI31" s="525">
        <f t="shared" si="203"/>
        <v>0</v>
      </c>
      <c r="DJ31" s="523"/>
      <c r="DK31" s="524">
        <f t="shared" si="36"/>
        <v>0</v>
      </c>
      <c r="DL31" s="525">
        <f t="shared" si="145"/>
        <v>0</v>
      </c>
      <c r="DM31" s="523"/>
      <c r="DN31" s="524">
        <f t="shared" si="37"/>
        <v>0</v>
      </c>
      <c r="DO31" s="525">
        <f t="shared" si="146"/>
        <v>0</v>
      </c>
      <c r="DP31" s="523"/>
      <c r="DQ31" s="524">
        <f t="shared" si="38"/>
        <v>0</v>
      </c>
      <c r="DR31" s="525">
        <f t="shared" si="147"/>
        <v>0</v>
      </c>
      <c r="DS31" s="523"/>
      <c r="DT31" s="524">
        <f t="shared" si="39"/>
        <v>0</v>
      </c>
      <c r="DU31" s="525">
        <f t="shared" si="148"/>
        <v>0</v>
      </c>
      <c r="DV31" s="523"/>
      <c r="DW31" s="524">
        <f t="shared" si="40"/>
        <v>0</v>
      </c>
      <c r="DX31" s="525">
        <f t="shared" si="149"/>
        <v>0</v>
      </c>
      <c r="DY31" s="523"/>
      <c r="DZ31" s="524">
        <f t="shared" si="41"/>
        <v>0</v>
      </c>
      <c r="EA31" s="525">
        <f t="shared" si="150"/>
        <v>0</v>
      </c>
      <c r="EB31" s="523"/>
      <c r="EC31" s="524">
        <f t="shared" si="42"/>
        <v>0</v>
      </c>
      <c r="ED31" s="525">
        <f t="shared" si="151"/>
        <v>0</v>
      </c>
      <c r="EE31" s="523">
        <v>199.60000000000002</v>
      </c>
      <c r="EF31" s="524">
        <f t="shared" si="43"/>
        <v>4.1044622660908905</v>
      </c>
      <c r="EG31" s="525">
        <f t="shared" si="152"/>
        <v>0</v>
      </c>
      <c r="EH31" s="523">
        <v>1</v>
      </c>
      <c r="EI31" s="524">
        <f t="shared" si="44"/>
        <v>2.0563438206868186E-2</v>
      </c>
      <c r="EJ31" s="525">
        <f t="shared" si="153"/>
        <v>0</v>
      </c>
      <c r="EK31" s="523">
        <v>30.487804878048792</v>
      </c>
      <c r="EL31" s="524">
        <f t="shared" si="45"/>
        <v>0.62693409167281078</v>
      </c>
      <c r="EM31" s="525">
        <f t="shared" si="154"/>
        <v>0</v>
      </c>
      <c r="EN31" s="523">
        <v>44.476744186046517</v>
      </c>
      <c r="EO31" s="524">
        <f t="shared" si="46"/>
        <v>0.91459478071245148</v>
      </c>
      <c r="EP31" s="525">
        <f t="shared" si="155"/>
        <v>0</v>
      </c>
      <c r="EQ31" s="523"/>
      <c r="ER31" s="524">
        <f t="shared" si="47"/>
        <v>0</v>
      </c>
      <c r="ES31" s="525">
        <f t="shared" si="156"/>
        <v>0</v>
      </c>
      <c r="ET31" s="523"/>
      <c r="EU31" s="524">
        <f t="shared" si="48"/>
        <v>0</v>
      </c>
      <c r="EV31" s="525">
        <f t="shared" si="157"/>
        <v>0</v>
      </c>
      <c r="EW31" s="523"/>
      <c r="EX31" s="524">
        <f t="shared" si="49"/>
        <v>0</v>
      </c>
      <c r="EY31" s="525">
        <f t="shared" si="158"/>
        <v>0</v>
      </c>
      <c r="EZ31" s="523"/>
      <c r="FA31" s="524">
        <f t="shared" si="50"/>
        <v>0</v>
      </c>
      <c r="FB31" s="525">
        <f t="shared" si="159"/>
        <v>0</v>
      </c>
      <c r="FC31" s="523"/>
      <c r="FD31" s="524">
        <f t="shared" si="51"/>
        <v>0</v>
      </c>
      <c r="FE31" s="525">
        <f t="shared" si="160"/>
        <v>0</v>
      </c>
      <c r="FF31" s="523"/>
      <c r="FG31" s="524">
        <f t="shared" si="52"/>
        <v>0</v>
      </c>
      <c r="FH31" s="525">
        <f t="shared" si="161"/>
        <v>0</v>
      </c>
      <c r="FI31" s="523"/>
      <c r="FJ31" s="524">
        <f t="shared" si="53"/>
        <v>0</v>
      </c>
      <c r="FK31" s="525">
        <f t="shared" si="162"/>
        <v>0</v>
      </c>
      <c r="FL31" s="523"/>
      <c r="FM31" s="524">
        <f t="shared" si="54"/>
        <v>0</v>
      </c>
      <c r="FN31" s="525">
        <f t="shared" si="163"/>
        <v>0</v>
      </c>
      <c r="FO31" s="523"/>
      <c r="FP31" s="524">
        <f t="shared" si="55"/>
        <v>0</v>
      </c>
      <c r="FQ31" s="525">
        <f t="shared" si="164"/>
        <v>0</v>
      </c>
      <c r="FR31" s="523"/>
      <c r="FS31" s="524">
        <f t="shared" si="56"/>
        <v>0</v>
      </c>
      <c r="FT31" s="525">
        <f t="shared" si="165"/>
        <v>0</v>
      </c>
      <c r="FU31" s="523"/>
      <c r="FV31" s="524">
        <f t="shared" si="57"/>
        <v>0</v>
      </c>
      <c r="FW31" s="525">
        <f t="shared" si="166"/>
        <v>0</v>
      </c>
      <c r="FX31" s="523"/>
      <c r="FY31" s="524">
        <f t="shared" si="58"/>
        <v>0</v>
      </c>
      <c r="FZ31" s="525">
        <f t="shared" si="167"/>
        <v>0</v>
      </c>
      <c r="GA31" s="523">
        <v>7.9160224197912648</v>
      </c>
      <c r="GB31" s="524">
        <f t="shared" si="168"/>
        <v>0.16278063787356084</v>
      </c>
      <c r="GC31" s="525">
        <f t="shared" si="169"/>
        <v>0</v>
      </c>
      <c r="GD31" s="523"/>
      <c r="GE31" s="524">
        <f t="shared" si="59"/>
        <v>0</v>
      </c>
      <c r="GF31" s="525">
        <f t="shared" si="170"/>
        <v>0</v>
      </c>
      <c r="GG31" s="523">
        <v>15.83204483958253</v>
      </c>
      <c r="GH31" s="524">
        <f t="shared" si="171"/>
        <v>0.32556127574712168</v>
      </c>
      <c r="GI31" s="525">
        <f t="shared" si="172"/>
        <v>0</v>
      </c>
      <c r="GJ31" s="523">
        <v>26.386741399304213</v>
      </c>
      <c r="GK31" s="524">
        <f t="shared" si="229"/>
        <v>0.54260212624520276</v>
      </c>
      <c r="GL31" s="525">
        <f t="shared" si="230"/>
        <v>0</v>
      </c>
      <c r="GM31" s="523"/>
      <c r="GN31" s="524">
        <f t="shared" si="231"/>
        <v>0</v>
      </c>
      <c r="GO31" s="525">
        <f t="shared" si="232"/>
        <v>0</v>
      </c>
      <c r="GP31" s="523">
        <v>31.664089679165059</v>
      </c>
      <c r="GQ31" s="524">
        <f t="shared" si="233"/>
        <v>0.65112255149424336</v>
      </c>
      <c r="GR31" s="525">
        <f t="shared" si="234"/>
        <v>0</v>
      </c>
      <c r="GS31" s="523">
        <v>158.32044839582528</v>
      </c>
      <c r="GT31" s="524">
        <f t="shared" si="235"/>
        <v>3.2556127574712166</v>
      </c>
      <c r="GU31" s="525">
        <f t="shared" si="236"/>
        <v>0</v>
      </c>
      <c r="GV31" s="523">
        <v>26.386741399304213</v>
      </c>
      <c r="GW31" s="524">
        <f t="shared" si="237"/>
        <v>0.54260212624520276</v>
      </c>
      <c r="GX31" s="525">
        <f t="shared" si="238"/>
        <v>0</v>
      </c>
      <c r="GY31" s="523"/>
      <c r="GZ31" s="524">
        <f t="shared" si="239"/>
        <v>0</v>
      </c>
      <c r="HA31" s="525">
        <f t="shared" si="240"/>
        <v>0</v>
      </c>
      <c r="HB31" s="523"/>
      <c r="HC31" s="524">
        <f t="shared" si="222"/>
        <v>0</v>
      </c>
      <c r="HD31" s="525">
        <f t="shared" si="223"/>
        <v>0</v>
      </c>
      <c r="HE31" s="523"/>
      <c r="HF31" s="524">
        <f t="shared" si="224"/>
        <v>0</v>
      </c>
      <c r="HG31" s="525">
        <f t="shared" si="225"/>
        <v>0</v>
      </c>
      <c r="HH31" s="523"/>
      <c r="HI31" s="524">
        <f t="shared" si="226"/>
        <v>0</v>
      </c>
      <c r="HJ31" s="525">
        <f t="shared" si="227"/>
        <v>0</v>
      </c>
      <c r="HK31" s="523"/>
      <c r="HL31" s="524">
        <f t="shared" si="228"/>
        <v>0</v>
      </c>
      <c r="HM31" s="525">
        <f t="shared" si="182"/>
        <v>0</v>
      </c>
      <c r="HN31" s="523">
        <v>906.64843448009276</v>
      </c>
      <c r="HO31" s="524">
        <f t="shared" si="70"/>
        <v>18.64380905778517</v>
      </c>
      <c r="HP31" s="525">
        <f t="shared" si="183"/>
        <v>0</v>
      </c>
      <c r="HQ31" s="523"/>
      <c r="HR31" s="524">
        <f t="shared" si="71"/>
        <v>0</v>
      </c>
      <c r="HS31" s="525">
        <f t="shared" si="184"/>
        <v>0</v>
      </c>
      <c r="HT31" s="523"/>
      <c r="HU31" s="524">
        <f t="shared" si="72"/>
        <v>0</v>
      </c>
      <c r="HV31" s="525">
        <f t="shared" si="185"/>
        <v>0</v>
      </c>
      <c r="HW31" s="523"/>
      <c r="HX31" s="524">
        <f t="shared" si="73"/>
        <v>0</v>
      </c>
      <c r="HY31" s="525">
        <f t="shared" si="186"/>
        <v>0</v>
      </c>
      <c r="HZ31" s="523"/>
      <c r="IA31" s="524">
        <f t="shared" si="74"/>
        <v>0</v>
      </c>
      <c r="IB31" s="525">
        <f t="shared" si="200"/>
        <v>0</v>
      </c>
      <c r="IC31" s="523"/>
      <c r="ID31" s="524">
        <f t="shared" si="75"/>
        <v>0</v>
      </c>
      <c r="IE31" s="525">
        <f t="shared" si="187"/>
        <v>0</v>
      </c>
      <c r="IF31" s="523"/>
      <c r="IG31" s="524">
        <f t="shared" si="76"/>
        <v>0</v>
      </c>
      <c r="IH31" s="525">
        <f t="shared" si="188"/>
        <v>0</v>
      </c>
      <c r="II31" s="523">
        <v>23.748067259373794</v>
      </c>
      <c r="IJ31" s="524">
        <f t="shared" si="77"/>
        <v>0.48834191362068258</v>
      </c>
      <c r="IK31" s="525">
        <f t="shared" si="189"/>
        <v>0</v>
      </c>
      <c r="IL31" s="523"/>
      <c r="IM31" s="524">
        <f t="shared" si="78"/>
        <v>0</v>
      </c>
      <c r="IN31" s="525">
        <f t="shared" si="190"/>
        <v>0</v>
      </c>
      <c r="IO31" s="523"/>
      <c r="IP31" s="524">
        <f t="shared" si="79"/>
        <v>0</v>
      </c>
      <c r="IQ31" s="525">
        <f t="shared" si="191"/>
        <v>0</v>
      </c>
      <c r="IR31" s="523">
        <v>52.773482798608427</v>
      </c>
      <c r="IS31" s="524">
        <f t="shared" si="80"/>
        <v>1.0852042524904055</v>
      </c>
      <c r="IT31" s="525">
        <f t="shared" si="192"/>
        <v>0</v>
      </c>
      <c r="IU31" s="523"/>
      <c r="IV31" s="524">
        <f t="shared" si="81"/>
        <v>0</v>
      </c>
      <c r="IW31" s="525">
        <f t="shared" si="193"/>
        <v>0</v>
      </c>
      <c r="IX31" s="523"/>
      <c r="IY31" s="524">
        <f t="shared" si="82"/>
        <v>0</v>
      </c>
      <c r="IZ31" s="525">
        <f t="shared" si="194"/>
        <v>0</v>
      </c>
      <c r="JA31" s="523"/>
      <c r="JB31" s="524">
        <f t="shared" si="83"/>
        <v>0</v>
      </c>
      <c r="JC31" s="525">
        <f t="shared" si="195"/>
        <v>0</v>
      </c>
      <c r="JD31" s="523"/>
      <c r="JE31" s="524">
        <f t="shared" si="84"/>
        <v>0</v>
      </c>
      <c r="JF31" s="525">
        <f t="shared" si="196"/>
        <v>0</v>
      </c>
      <c r="JG31" s="523"/>
      <c r="JH31" s="524">
        <f t="shared" si="85"/>
        <v>0</v>
      </c>
      <c r="JI31" s="525">
        <f t="shared" si="197"/>
        <v>0</v>
      </c>
      <c r="JJ31" s="523">
        <v>26.386741399304213</v>
      </c>
      <c r="JK31" s="524">
        <f t="shared" si="86"/>
        <v>0.54260212624520276</v>
      </c>
      <c r="JL31" s="525" t="str">
        <f t="shared" si="87"/>
        <v>0</v>
      </c>
      <c r="JM31" s="523"/>
      <c r="JN31" s="524">
        <f t="shared" si="88"/>
        <v>0</v>
      </c>
      <c r="JO31" s="525" t="str">
        <f t="shared" si="89"/>
        <v>0</v>
      </c>
      <c r="JP31" s="523"/>
      <c r="JQ31" s="525" t="str">
        <f t="shared" si="90"/>
        <v>0</v>
      </c>
      <c r="JR31" s="525" t="str">
        <f t="shared" si="91"/>
        <v>0</v>
      </c>
      <c r="JS31" s="523"/>
      <c r="JT31" s="525" t="str">
        <f t="shared" si="92"/>
        <v>0</v>
      </c>
      <c r="JU31" s="525" t="str">
        <f t="shared" si="93"/>
        <v>0</v>
      </c>
      <c r="JV31" s="523"/>
      <c r="JW31" s="525" t="str">
        <f t="shared" si="94"/>
        <v>0</v>
      </c>
      <c r="JX31" s="525" t="str">
        <f t="shared" si="95"/>
        <v>0</v>
      </c>
      <c r="JY31" s="523"/>
      <c r="JZ31" s="525" t="str">
        <f t="shared" si="96"/>
        <v>0</v>
      </c>
      <c r="KA31" s="525" t="str">
        <f t="shared" si="97"/>
        <v>0</v>
      </c>
      <c r="KB31" s="523"/>
      <c r="KC31" s="525" t="str">
        <f t="shared" si="98"/>
        <v>0</v>
      </c>
      <c r="KD31" s="525" t="str">
        <f t="shared" si="99"/>
        <v>0</v>
      </c>
      <c r="KE31" s="523"/>
      <c r="KF31" s="525" t="str">
        <f t="shared" si="100"/>
        <v>0</v>
      </c>
      <c r="KG31" s="525" t="str">
        <f t="shared" si="101"/>
        <v>0</v>
      </c>
      <c r="KH31" s="523"/>
      <c r="KI31" s="525" t="str">
        <f t="shared" si="102"/>
        <v>0</v>
      </c>
      <c r="KJ31" s="525" t="str">
        <f t="shared" si="103"/>
        <v>0</v>
      </c>
      <c r="KK31" s="523"/>
      <c r="KL31" s="525" t="str">
        <f t="shared" si="104"/>
        <v>0</v>
      </c>
      <c r="KM31" s="525" t="str">
        <f t="shared" si="105"/>
        <v>0</v>
      </c>
      <c r="KN31" s="523"/>
      <c r="KO31" s="525" t="str">
        <f t="shared" si="106"/>
        <v>0</v>
      </c>
      <c r="KP31" s="525" t="str">
        <f t="shared" si="107"/>
        <v>0</v>
      </c>
      <c r="KQ31" s="523"/>
      <c r="KR31" s="525" t="str">
        <f t="shared" si="108"/>
        <v>0</v>
      </c>
      <c r="KS31" s="525" t="str">
        <f t="shared" si="109"/>
        <v>0</v>
      </c>
      <c r="KT31" s="525">
        <f t="shared" si="201"/>
        <v>0</v>
      </c>
      <c r="KU31" s="525">
        <f t="shared" si="202"/>
        <v>0</v>
      </c>
      <c r="KV31" s="264">
        <f t="shared" si="198"/>
        <v>1773.6782352274702</v>
      </c>
    </row>
    <row r="32" spans="1:309" ht="15" customHeight="1">
      <c r="A32" s="266">
        <f t="shared" si="199"/>
        <v>45985</v>
      </c>
      <c r="B32" s="267" t="str">
        <f>+Report1!B32</f>
        <v>Toilet</v>
      </c>
      <c r="C32" s="267" t="str">
        <f>+Report1!C32</f>
        <v>15</v>
      </c>
      <c r="D32" s="268">
        <f>+Report1!P32</f>
        <v>52.41</v>
      </c>
      <c r="E32" s="269">
        <f>+Report1!R32</f>
        <v>51.286999999999999</v>
      </c>
      <c r="F32" s="523"/>
      <c r="G32" s="524">
        <f t="shared" si="0"/>
        <v>0</v>
      </c>
      <c r="H32" s="525">
        <f t="shared" si="110"/>
        <v>0</v>
      </c>
      <c r="I32" s="523"/>
      <c r="J32" s="524">
        <f t="shared" si="1"/>
        <v>0</v>
      </c>
      <c r="K32" s="525">
        <f t="shared" si="111"/>
        <v>0</v>
      </c>
      <c r="L32" s="523"/>
      <c r="M32" s="524">
        <f t="shared" si="2"/>
        <v>0</v>
      </c>
      <c r="N32" s="525">
        <f t="shared" si="112"/>
        <v>0</v>
      </c>
      <c r="O32" s="523">
        <v>3</v>
      </c>
      <c r="P32" s="524">
        <f t="shared" si="3"/>
        <v>5.8494355294714064E-2</v>
      </c>
      <c r="Q32" s="525">
        <f t="shared" si="113"/>
        <v>0</v>
      </c>
      <c r="R32" s="523"/>
      <c r="S32" s="524">
        <f t="shared" si="4"/>
        <v>0</v>
      </c>
      <c r="T32" s="525">
        <f t="shared" si="114"/>
        <v>0</v>
      </c>
      <c r="U32" s="523">
        <v>5.1250000000000284</v>
      </c>
      <c r="V32" s="524">
        <f t="shared" si="5"/>
        <v>9.9927856961803743E-2</v>
      </c>
      <c r="W32" s="525">
        <f t="shared" si="115"/>
        <v>0</v>
      </c>
      <c r="X32" s="523"/>
      <c r="Y32" s="524">
        <f t="shared" si="6"/>
        <v>0</v>
      </c>
      <c r="Z32" s="525">
        <f t="shared" si="116"/>
        <v>0</v>
      </c>
      <c r="AA32" s="523"/>
      <c r="AB32" s="524">
        <f t="shared" si="7"/>
        <v>0</v>
      </c>
      <c r="AC32" s="525">
        <f t="shared" si="117"/>
        <v>0</v>
      </c>
      <c r="AD32" s="523"/>
      <c r="AE32" s="524">
        <f t="shared" si="8"/>
        <v>0</v>
      </c>
      <c r="AF32" s="525">
        <f t="shared" si="118"/>
        <v>0</v>
      </c>
      <c r="AG32" s="523"/>
      <c r="AH32" s="524">
        <f t="shared" si="9"/>
        <v>0</v>
      </c>
      <c r="AI32" s="525">
        <f t="shared" si="119"/>
        <v>0</v>
      </c>
      <c r="AJ32" s="523">
        <v>11.75</v>
      </c>
      <c r="AK32" s="524">
        <f t="shared" si="10"/>
        <v>0.22910289157096342</v>
      </c>
      <c r="AL32" s="525">
        <f t="shared" si="120"/>
        <v>0</v>
      </c>
      <c r="AM32" s="523"/>
      <c r="AN32" s="524">
        <f t="shared" si="11"/>
        <v>0</v>
      </c>
      <c r="AO32" s="525">
        <f t="shared" si="121"/>
        <v>0</v>
      </c>
      <c r="AP32" s="523"/>
      <c r="AQ32" s="524">
        <f t="shared" si="12"/>
        <v>0</v>
      </c>
      <c r="AR32" s="525">
        <f t="shared" si="122"/>
        <v>0</v>
      </c>
      <c r="AS32" s="523"/>
      <c r="AT32" s="524">
        <f t="shared" si="13"/>
        <v>0</v>
      </c>
      <c r="AU32" s="525">
        <f t="shared" si="123"/>
        <v>0</v>
      </c>
      <c r="AV32" s="523"/>
      <c r="AW32" s="524">
        <f t="shared" si="14"/>
        <v>0</v>
      </c>
      <c r="AX32" s="525">
        <f t="shared" si="124"/>
        <v>0</v>
      </c>
      <c r="AY32" s="523"/>
      <c r="AZ32" s="524">
        <f t="shared" si="15"/>
        <v>0</v>
      </c>
      <c r="BA32" s="525">
        <f t="shared" si="125"/>
        <v>0</v>
      </c>
      <c r="BB32" s="523"/>
      <c r="BC32" s="524">
        <f t="shared" si="16"/>
        <v>0</v>
      </c>
      <c r="BD32" s="525">
        <f t="shared" si="126"/>
        <v>0</v>
      </c>
      <c r="BE32" s="523"/>
      <c r="BF32" s="524">
        <f t="shared" si="17"/>
        <v>0</v>
      </c>
      <c r="BG32" s="525">
        <f t="shared" si="127"/>
        <v>0</v>
      </c>
      <c r="BH32" s="523"/>
      <c r="BI32" s="524">
        <f t="shared" si="18"/>
        <v>0</v>
      </c>
      <c r="BJ32" s="525">
        <f t="shared" si="128"/>
        <v>0</v>
      </c>
      <c r="BK32" s="523"/>
      <c r="BL32" s="524">
        <f t="shared" si="19"/>
        <v>0</v>
      </c>
      <c r="BM32" s="525">
        <f t="shared" si="129"/>
        <v>0</v>
      </c>
      <c r="BN32" s="523"/>
      <c r="BO32" s="524">
        <f t="shared" si="20"/>
        <v>0</v>
      </c>
      <c r="BP32" s="525">
        <f t="shared" si="130"/>
        <v>0</v>
      </c>
      <c r="BQ32" s="523"/>
      <c r="BR32" s="524">
        <f t="shared" si="21"/>
        <v>0</v>
      </c>
      <c r="BS32" s="525">
        <f t="shared" si="131"/>
        <v>0</v>
      </c>
      <c r="BT32" s="523"/>
      <c r="BU32" s="524">
        <f t="shared" si="22"/>
        <v>0</v>
      </c>
      <c r="BV32" s="525">
        <f t="shared" si="132"/>
        <v>0</v>
      </c>
      <c r="BW32" s="523"/>
      <c r="BX32" s="524">
        <f t="shared" si="23"/>
        <v>0</v>
      </c>
      <c r="BY32" s="525">
        <f t="shared" si="133"/>
        <v>0</v>
      </c>
      <c r="BZ32" s="523"/>
      <c r="CA32" s="524">
        <f t="shared" si="24"/>
        <v>0</v>
      </c>
      <c r="CB32" s="525">
        <f t="shared" si="134"/>
        <v>0</v>
      </c>
      <c r="CC32" s="523"/>
      <c r="CD32" s="524">
        <f t="shared" si="25"/>
        <v>0</v>
      </c>
      <c r="CE32" s="525">
        <f t="shared" si="135"/>
        <v>0</v>
      </c>
      <c r="CF32" s="523">
        <v>2.7000000000000028</v>
      </c>
      <c r="CG32" s="524">
        <f t="shared" si="26"/>
        <v>5.2644919765242708E-2</v>
      </c>
      <c r="CH32" s="525">
        <f t="shared" si="136"/>
        <v>0</v>
      </c>
      <c r="CI32" s="523"/>
      <c r="CJ32" s="524">
        <f t="shared" si="27"/>
        <v>0</v>
      </c>
      <c r="CK32" s="525">
        <f t="shared" si="137"/>
        <v>0</v>
      </c>
      <c r="CL32" s="523"/>
      <c r="CM32" s="524">
        <f t="shared" si="28"/>
        <v>0</v>
      </c>
      <c r="CN32" s="525">
        <f t="shared" si="138"/>
        <v>0</v>
      </c>
      <c r="CO32" s="523"/>
      <c r="CP32" s="524">
        <f t="shared" si="29"/>
        <v>0</v>
      </c>
      <c r="CQ32" s="525">
        <f t="shared" si="139"/>
        <v>0</v>
      </c>
      <c r="CR32" s="523"/>
      <c r="CS32" s="524">
        <f t="shared" si="30"/>
        <v>0</v>
      </c>
      <c r="CT32" s="525">
        <f t="shared" si="140"/>
        <v>0</v>
      </c>
      <c r="CU32" s="523"/>
      <c r="CV32" s="524">
        <f t="shared" si="31"/>
        <v>0</v>
      </c>
      <c r="CW32" s="525">
        <f t="shared" si="141"/>
        <v>0</v>
      </c>
      <c r="CX32" s="523"/>
      <c r="CY32" s="524">
        <f t="shared" si="32"/>
        <v>0</v>
      </c>
      <c r="CZ32" s="525">
        <f t="shared" si="142"/>
        <v>0</v>
      </c>
      <c r="DA32" s="523">
        <v>174.4186046511627</v>
      </c>
      <c r="DB32" s="524">
        <f t="shared" si="33"/>
        <v>3.4008346101577924</v>
      </c>
      <c r="DC32" s="525">
        <f t="shared" si="143"/>
        <v>0</v>
      </c>
      <c r="DD32" s="523"/>
      <c r="DE32" s="524">
        <f t="shared" si="34"/>
        <v>0</v>
      </c>
      <c r="DF32" s="525">
        <f t="shared" si="144"/>
        <v>0</v>
      </c>
      <c r="DG32" s="523"/>
      <c r="DH32" s="524">
        <f t="shared" si="35"/>
        <v>0</v>
      </c>
      <c r="DI32" s="525">
        <f t="shared" si="203"/>
        <v>0</v>
      </c>
      <c r="DJ32" s="523"/>
      <c r="DK32" s="524">
        <f t="shared" si="36"/>
        <v>0</v>
      </c>
      <c r="DL32" s="525">
        <f t="shared" si="145"/>
        <v>0</v>
      </c>
      <c r="DM32" s="523"/>
      <c r="DN32" s="524">
        <f t="shared" si="37"/>
        <v>0</v>
      </c>
      <c r="DO32" s="525">
        <f t="shared" si="146"/>
        <v>0</v>
      </c>
      <c r="DP32" s="523"/>
      <c r="DQ32" s="524">
        <f t="shared" si="38"/>
        <v>0</v>
      </c>
      <c r="DR32" s="525">
        <f t="shared" si="147"/>
        <v>0</v>
      </c>
      <c r="DS32" s="523"/>
      <c r="DT32" s="524">
        <f t="shared" si="39"/>
        <v>0</v>
      </c>
      <c r="DU32" s="525">
        <f t="shared" si="148"/>
        <v>0</v>
      </c>
      <c r="DV32" s="523"/>
      <c r="DW32" s="524">
        <f t="shared" si="40"/>
        <v>0</v>
      </c>
      <c r="DX32" s="525">
        <f t="shared" si="149"/>
        <v>0</v>
      </c>
      <c r="DY32" s="523">
        <v>8.6265060240963862</v>
      </c>
      <c r="DZ32" s="524">
        <f t="shared" si="41"/>
        <v>0.16820063610849506</v>
      </c>
      <c r="EA32" s="525">
        <f t="shared" si="150"/>
        <v>0</v>
      </c>
      <c r="EB32" s="523"/>
      <c r="EC32" s="524">
        <f t="shared" si="42"/>
        <v>0</v>
      </c>
      <c r="ED32" s="525">
        <f t="shared" si="151"/>
        <v>0</v>
      </c>
      <c r="EE32" s="523">
        <v>223.08235294117651</v>
      </c>
      <c r="EF32" s="524">
        <f t="shared" si="43"/>
        <v>4.3496861376406599</v>
      </c>
      <c r="EG32" s="525">
        <f t="shared" si="152"/>
        <v>0</v>
      </c>
      <c r="EH32" s="523">
        <v>1</v>
      </c>
      <c r="EI32" s="524">
        <f t="shared" si="44"/>
        <v>1.9498118431571353E-2</v>
      </c>
      <c r="EJ32" s="525">
        <f t="shared" si="153"/>
        <v>0</v>
      </c>
      <c r="EK32" s="523">
        <v>24.390243902438897</v>
      </c>
      <c r="EL32" s="524">
        <f t="shared" si="45"/>
        <v>0.47556386418466468</v>
      </c>
      <c r="EM32" s="525">
        <f t="shared" si="154"/>
        <v>0</v>
      </c>
      <c r="EN32" s="523">
        <v>59.302325581395309</v>
      </c>
      <c r="EO32" s="524">
        <f t="shared" si="46"/>
        <v>1.1562837674536492</v>
      </c>
      <c r="EP32" s="525">
        <f t="shared" si="155"/>
        <v>0</v>
      </c>
      <c r="EQ32" s="523"/>
      <c r="ER32" s="524">
        <f t="shared" si="47"/>
        <v>0</v>
      </c>
      <c r="ES32" s="525">
        <f t="shared" si="156"/>
        <v>0</v>
      </c>
      <c r="ET32" s="523"/>
      <c r="EU32" s="524">
        <f t="shared" si="48"/>
        <v>0</v>
      </c>
      <c r="EV32" s="525">
        <f t="shared" si="157"/>
        <v>0</v>
      </c>
      <c r="EW32" s="523"/>
      <c r="EX32" s="524">
        <f t="shared" si="49"/>
        <v>0</v>
      </c>
      <c r="EY32" s="525">
        <f t="shared" si="158"/>
        <v>0</v>
      </c>
      <c r="EZ32" s="523"/>
      <c r="FA32" s="524">
        <f t="shared" si="50"/>
        <v>0</v>
      </c>
      <c r="FB32" s="525">
        <f t="shared" si="159"/>
        <v>0</v>
      </c>
      <c r="FC32" s="523"/>
      <c r="FD32" s="524">
        <f t="shared" si="51"/>
        <v>0</v>
      </c>
      <c r="FE32" s="525">
        <f t="shared" si="160"/>
        <v>0</v>
      </c>
      <c r="FF32" s="523"/>
      <c r="FG32" s="524">
        <f t="shared" si="52"/>
        <v>0</v>
      </c>
      <c r="FH32" s="525">
        <f t="shared" si="161"/>
        <v>0</v>
      </c>
      <c r="FI32" s="523"/>
      <c r="FJ32" s="524">
        <f t="shared" si="53"/>
        <v>0</v>
      </c>
      <c r="FK32" s="525">
        <f t="shared" si="162"/>
        <v>0</v>
      </c>
      <c r="FL32" s="523"/>
      <c r="FM32" s="524">
        <f t="shared" si="54"/>
        <v>0</v>
      </c>
      <c r="FN32" s="525">
        <f t="shared" si="163"/>
        <v>0</v>
      </c>
      <c r="FO32" s="523"/>
      <c r="FP32" s="524">
        <f t="shared" si="55"/>
        <v>0</v>
      </c>
      <c r="FQ32" s="525">
        <f t="shared" si="164"/>
        <v>0</v>
      </c>
      <c r="FR32" s="523"/>
      <c r="FS32" s="524">
        <f t="shared" si="56"/>
        <v>0</v>
      </c>
      <c r="FT32" s="525">
        <f t="shared" si="165"/>
        <v>0</v>
      </c>
      <c r="FU32" s="523"/>
      <c r="FV32" s="524">
        <f t="shared" si="57"/>
        <v>0</v>
      </c>
      <c r="FW32" s="525">
        <f t="shared" si="166"/>
        <v>0</v>
      </c>
      <c r="FX32" s="523"/>
      <c r="FY32" s="524">
        <f t="shared" si="58"/>
        <v>0</v>
      </c>
      <c r="FZ32" s="525">
        <f t="shared" si="167"/>
        <v>0</v>
      </c>
      <c r="GA32" s="523">
        <v>7.3535876977185772</v>
      </c>
      <c r="GB32" s="524">
        <f t="shared" si="168"/>
        <v>0.14338112382706295</v>
      </c>
      <c r="GC32" s="525">
        <f t="shared" si="169"/>
        <v>0</v>
      </c>
      <c r="GD32" s="523"/>
      <c r="GE32" s="524">
        <f t="shared" si="59"/>
        <v>0</v>
      </c>
      <c r="GF32" s="525">
        <f t="shared" si="170"/>
        <v>0</v>
      </c>
      <c r="GG32" s="523">
        <v>14.707175395437154</v>
      </c>
      <c r="GH32" s="524">
        <f t="shared" si="171"/>
        <v>0.28676224765412589</v>
      </c>
      <c r="GI32" s="525">
        <f t="shared" si="172"/>
        <v>0</v>
      </c>
      <c r="GJ32" s="523">
        <v>14.707175395437154</v>
      </c>
      <c r="GK32" s="524">
        <f t="shared" si="229"/>
        <v>0.28676224765412589</v>
      </c>
      <c r="GL32" s="525">
        <f t="shared" si="230"/>
        <v>0</v>
      </c>
      <c r="GM32" s="523"/>
      <c r="GN32" s="524">
        <f t="shared" si="231"/>
        <v>0</v>
      </c>
      <c r="GO32" s="525">
        <f t="shared" si="232"/>
        <v>0</v>
      </c>
      <c r="GP32" s="523">
        <v>29.414350790874309</v>
      </c>
      <c r="GQ32" s="524">
        <f t="shared" si="233"/>
        <v>0.57352449530825178</v>
      </c>
      <c r="GR32" s="525">
        <f t="shared" si="234"/>
        <v>0</v>
      </c>
      <c r="GS32" s="523">
        <v>147.07175395437156</v>
      </c>
      <c r="GT32" s="524">
        <f t="shared" si="235"/>
        <v>2.8676224765412592</v>
      </c>
      <c r="GU32" s="525">
        <f t="shared" si="236"/>
        <v>0</v>
      </c>
      <c r="GV32" s="523">
        <v>24.511958992395257</v>
      </c>
      <c r="GW32" s="524">
        <f t="shared" si="237"/>
        <v>0.47793707942354313</v>
      </c>
      <c r="GX32" s="525">
        <f t="shared" si="238"/>
        <v>0</v>
      </c>
      <c r="GY32" s="523"/>
      <c r="GZ32" s="524">
        <f t="shared" si="239"/>
        <v>0</v>
      </c>
      <c r="HA32" s="525">
        <f t="shared" si="240"/>
        <v>0</v>
      </c>
      <c r="HB32" s="523"/>
      <c r="HC32" s="524">
        <f t="shared" si="222"/>
        <v>0</v>
      </c>
      <c r="HD32" s="525">
        <f t="shared" si="223"/>
        <v>0</v>
      </c>
      <c r="HE32" s="523"/>
      <c r="HF32" s="524">
        <f t="shared" si="224"/>
        <v>0</v>
      </c>
      <c r="HG32" s="525">
        <f t="shared" si="225"/>
        <v>0</v>
      </c>
      <c r="HH32" s="523"/>
      <c r="HI32" s="524">
        <f t="shared" si="226"/>
        <v>0</v>
      </c>
      <c r="HJ32" s="525">
        <f t="shared" si="227"/>
        <v>0</v>
      </c>
      <c r="HK32" s="523"/>
      <c r="HL32" s="524">
        <f t="shared" si="228"/>
        <v>0</v>
      </c>
      <c r="HM32" s="525">
        <f t="shared" si="182"/>
        <v>0</v>
      </c>
      <c r="HN32" s="523">
        <v>866.7428699710963</v>
      </c>
      <c r="HO32" s="524">
        <f t="shared" si="70"/>
        <v>16.899855128416487</v>
      </c>
      <c r="HP32" s="525">
        <f t="shared" si="183"/>
        <v>0</v>
      </c>
      <c r="HQ32" s="523"/>
      <c r="HR32" s="524">
        <f t="shared" si="71"/>
        <v>0</v>
      </c>
      <c r="HS32" s="525">
        <f t="shared" si="184"/>
        <v>0</v>
      </c>
      <c r="HT32" s="523"/>
      <c r="HU32" s="524">
        <f t="shared" si="72"/>
        <v>0</v>
      </c>
      <c r="HV32" s="525">
        <f t="shared" si="185"/>
        <v>0</v>
      </c>
      <c r="HW32" s="523"/>
      <c r="HX32" s="524">
        <f t="shared" si="73"/>
        <v>0</v>
      </c>
      <c r="HY32" s="525">
        <f t="shared" si="186"/>
        <v>0</v>
      </c>
      <c r="HZ32" s="523"/>
      <c r="IA32" s="524">
        <f t="shared" si="74"/>
        <v>0</v>
      </c>
      <c r="IB32" s="525">
        <f t="shared" si="200"/>
        <v>0</v>
      </c>
      <c r="IC32" s="523"/>
      <c r="ID32" s="524">
        <f t="shared" si="75"/>
        <v>0</v>
      </c>
      <c r="IE32" s="525">
        <f t="shared" si="187"/>
        <v>0</v>
      </c>
      <c r="IF32" s="523"/>
      <c r="IG32" s="524">
        <f t="shared" si="76"/>
        <v>0</v>
      </c>
      <c r="IH32" s="525">
        <f t="shared" si="188"/>
        <v>0</v>
      </c>
      <c r="II32" s="523">
        <v>22.060763093155732</v>
      </c>
      <c r="IJ32" s="524">
        <f t="shared" si="77"/>
        <v>0.43014337148118886</v>
      </c>
      <c r="IK32" s="525">
        <f t="shared" si="189"/>
        <v>0</v>
      </c>
      <c r="IL32" s="523"/>
      <c r="IM32" s="524">
        <f t="shared" si="78"/>
        <v>0</v>
      </c>
      <c r="IN32" s="525">
        <f t="shared" si="190"/>
        <v>0</v>
      </c>
      <c r="IO32" s="523"/>
      <c r="IP32" s="524">
        <f t="shared" si="79"/>
        <v>0</v>
      </c>
      <c r="IQ32" s="525">
        <f t="shared" si="191"/>
        <v>0</v>
      </c>
      <c r="IR32" s="523">
        <v>49.023917984790515</v>
      </c>
      <c r="IS32" s="524">
        <f t="shared" si="80"/>
        <v>0.95587415884708626</v>
      </c>
      <c r="IT32" s="525">
        <f t="shared" si="192"/>
        <v>0</v>
      </c>
      <c r="IU32" s="523"/>
      <c r="IV32" s="524">
        <f t="shared" si="81"/>
        <v>0</v>
      </c>
      <c r="IW32" s="525">
        <f t="shared" si="193"/>
        <v>0</v>
      </c>
      <c r="IX32" s="523"/>
      <c r="IY32" s="524">
        <f t="shared" si="82"/>
        <v>0</v>
      </c>
      <c r="IZ32" s="525">
        <f t="shared" si="194"/>
        <v>0</v>
      </c>
      <c r="JA32" s="523"/>
      <c r="JB32" s="524">
        <f t="shared" si="83"/>
        <v>0</v>
      </c>
      <c r="JC32" s="525">
        <f t="shared" si="195"/>
        <v>0</v>
      </c>
      <c r="JD32" s="523"/>
      <c r="JE32" s="524">
        <f t="shared" si="84"/>
        <v>0</v>
      </c>
      <c r="JF32" s="525">
        <f t="shared" si="196"/>
        <v>0</v>
      </c>
      <c r="JG32" s="523"/>
      <c r="JH32" s="524">
        <f t="shared" si="85"/>
        <v>0</v>
      </c>
      <c r="JI32" s="525">
        <f t="shared" si="197"/>
        <v>0</v>
      </c>
      <c r="JJ32" s="523">
        <v>26.963154891634783</v>
      </c>
      <c r="JK32" s="524">
        <f t="shared" si="86"/>
        <v>0.52573078736589751</v>
      </c>
      <c r="JL32" s="525" t="str">
        <f t="shared" si="87"/>
        <v>0</v>
      </c>
      <c r="JM32" s="523"/>
      <c r="JN32" s="524">
        <f t="shared" si="88"/>
        <v>0</v>
      </c>
      <c r="JO32" s="525" t="str">
        <f t="shared" si="89"/>
        <v>0</v>
      </c>
      <c r="JP32" s="523"/>
      <c r="JQ32" s="525" t="str">
        <f t="shared" si="90"/>
        <v>0</v>
      </c>
      <c r="JR32" s="525" t="str">
        <f t="shared" si="91"/>
        <v>0</v>
      </c>
      <c r="JS32" s="523"/>
      <c r="JT32" s="525" t="str">
        <f t="shared" si="92"/>
        <v>0</v>
      </c>
      <c r="JU32" s="525" t="str">
        <f t="shared" si="93"/>
        <v>0</v>
      </c>
      <c r="JV32" s="523"/>
      <c r="JW32" s="525" t="str">
        <f t="shared" si="94"/>
        <v>0</v>
      </c>
      <c r="JX32" s="525" t="str">
        <f t="shared" si="95"/>
        <v>0</v>
      </c>
      <c r="JY32" s="523"/>
      <c r="JZ32" s="525" t="str">
        <f t="shared" si="96"/>
        <v>0</v>
      </c>
      <c r="KA32" s="525" t="str">
        <f t="shared" si="97"/>
        <v>0</v>
      </c>
      <c r="KB32" s="523"/>
      <c r="KC32" s="525" t="str">
        <f t="shared" si="98"/>
        <v>0</v>
      </c>
      <c r="KD32" s="525" t="str">
        <f t="shared" si="99"/>
        <v>0</v>
      </c>
      <c r="KE32" s="523"/>
      <c r="KF32" s="525" t="str">
        <f t="shared" si="100"/>
        <v>0</v>
      </c>
      <c r="KG32" s="525" t="str">
        <f t="shared" si="101"/>
        <v>0</v>
      </c>
      <c r="KH32" s="523"/>
      <c r="KI32" s="525" t="str">
        <f t="shared" si="102"/>
        <v>0</v>
      </c>
      <c r="KJ32" s="525" t="str">
        <f t="shared" si="103"/>
        <v>0</v>
      </c>
      <c r="KK32" s="523"/>
      <c r="KL32" s="525" t="str">
        <f t="shared" si="104"/>
        <v>0</v>
      </c>
      <c r="KM32" s="525" t="str">
        <f t="shared" si="105"/>
        <v>0</v>
      </c>
      <c r="KN32" s="523"/>
      <c r="KO32" s="525" t="str">
        <f t="shared" si="106"/>
        <v>0</v>
      </c>
      <c r="KP32" s="525" t="str">
        <f t="shared" si="107"/>
        <v>0</v>
      </c>
      <c r="KQ32" s="523"/>
      <c r="KR32" s="525" t="str">
        <f t="shared" si="108"/>
        <v>0</v>
      </c>
      <c r="KS32" s="525" t="str">
        <f t="shared" si="109"/>
        <v>0</v>
      </c>
      <c r="KT32" s="525">
        <f t="shared" si="201"/>
        <v>0</v>
      </c>
      <c r="KU32" s="525">
        <f t="shared" si="202"/>
        <v>0</v>
      </c>
      <c r="KV32" s="264">
        <f t="shared" si="198"/>
        <v>1715.9517412671812</v>
      </c>
    </row>
    <row r="33" spans="1:16384" ht="15" customHeight="1">
      <c r="A33" s="266">
        <f t="shared" si="199"/>
        <v>45986</v>
      </c>
      <c r="B33" s="267" t="str">
        <f>+Report1!B33</f>
        <v>Toilet</v>
      </c>
      <c r="C33" s="267" t="str">
        <f>+Report1!C33</f>
        <v>15/13,5</v>
      </c>
      <c r="D33" s="268">
        <f>+Report1!P33</f>
        <v>49.207999999999998</v>
      </c>
      <c r="E33" s="269">
        <f>+Report1!R33</f>
        <v>48.874000000000002</v>
      </c>
      <c r="F33" s="523"/>
      <c r="G33" s="524">
        <f t="shared" si="0"/>
        <v>0</v>
      </c>
      <c r="H33" s="525">
        <f t="shared" si="110"/>
        <v>0</v>
      </c>
      <c r="I33" s="523"/>
      <c r="J33" s="524">
        <f t="shared" si="1"/>
        <v>0</v>
      </c>
      <c r="K33" s="525">
        <f t="shared" si="111"/>
        <v>0</v>
      </c>
      <c r="L33" s="523"/>
      <c r="M33" s="524">
        <f t="shared" si="2"/>
        <v>0</v>
      </c>
      <c r="N33" s="525">
        <f t="shared" si="112"/>
        <v>0</v>
      </c>
      <c r="O33" s="523">
        <v>3.0000000000000284</v>
      </c>
      <c r="P33" s="524">
        <f t="shared" si="3"/>
        <v>6.1382330073250162E-2</v>
      </c>
      <c r="Q33" s="525">
        <f t="shared" si="113"/>
        <v>0</v>
      </c>
      <c r="R33" s="523"/>
      <c r="S33" s="524">
        <f t="shared" si="4"/>
        <v>0</v>
      </c>
      <c r="T33" s="525">
        <f t="shared" si="114"/>
        <v>0</v>
      </c>
      <c r="U33" s="523">
        <v>5.1249999999999716</v>
      </c>
      <c r="V33" s="524">
        <f t="shared" si="5"/>
        <v>0.10486148054180078</v>
      </c>
      <c r="W33" s="525">
        <f t="shared" si="115"/>
        <v>0</v>
      </c>
      <c r="X33" s="523"/>
      <c r="Y33" s="524">
        <f t="shared" si="6"/>
        <v>0</v>
      </c>
      <c r="Z33" s="525">
        <f t="shared" si="116"/>
        <v>0</v>
      </c>
      <c r="AA33" s="523"/>
      <c r="AB33" s="524">
        <f t="shared" si="7"/>
        <v>0</v>
      </c>
      <c r="AC33" s="525">
        <f t="shared" si="117"/>
        <v>0</v>
      </c>
      <c r="AD33" s="523"/>
      <c r="AE33" s="524">
        <f t="shared" si="8"/>
        <v>0</v>
      </c>
      <c r="AF33" s="525">
        <f t="shared" si="118"/>
        <v>0</v>
      </c>
      <c r="AG33" s="523"/>
      <c r="AH33" s="524">
        <f t="shared" si="9"/>
        <v>0</v>
      </c>
      <c r="AI33" s="525">
        <f t="shared" si="119"/>
        <v>0</v>
      </c>
      <c r="AJ33" s="523">
        <v>55.8125</v>
      </c>
      <c r="AK33" s="524">
        <f t="shared" si="10"/>
        <v>1.1419670990710806</v>
      </c>
      <c r="AL33" s="525">
        <f t="shared" si="120"/>
        <v>0</v>
      </c>
      <c r="AM33" s="523"/>
      <c r="AN33" s="524">
        <f t="shared" si="11"/>
        <v>0</v>
      </c>
      <c r="AO33" s="525">
        <f t="shared" si="121"/>
        <v>0</v>
      </c>
      <c r="AP33" s="523"/>
      <c r="AQ33" s="524">
        <f t="shared" si="12"/>
        <v>0</v>
      </c>
      <c r="AR33" s="525">
        <f t="shared" si="122"/>
        <v>0</v>
      </c>
      <c r="AS33" s="523"/>
      <c r="AT33" s="524">
        <f t="shared" si="13"/>
        <v>0</v>
      </c>
      <c r="AU33" s="525">
        <f t="shared" si="123"/>
        <v>0</v>
      </c>
      <c r="AV33" s="523"/>
      <c r="AW33" s="524">
        <f t="shared" si="14"/>
        <v>0</v>
      </c>
      <c r="AX33" s="525">
        <f t="shared" si="124"/>
        <v>0</v>
      </c>
      <c r="AY33" s="523"/>
      <c r="AZ33" s="524">
        <f t="shared" si="15"/>
        <v>0</v>
      </c>
      <c r="BA33" s="525">
        <f t="shared" si="125"/>
        <v>0</v>
      </c>
      <c r="BB33" s="523"/>
      <c r="BC33" s="524">
        <f t="shared" si="16"/>
        <v>0</v>
      </c>
      <c r="BD33" s="525">
        <f t="shared" si="126"/>
        <v>0</v>
      </c>
      <c r="BE33" s="523"/>
      <c r="BF33" s="524">
        <f t="shared" si="17"/>
        <v>0</v>
      </c>
      <c r="BG33" s="525">
        <f t="shared" si="127"/>
        <v>0</v>
      </c>
      <c r="BH33" s="523"/>
      <c r="BI33" s="524">
        <f t="shared" si="18"/>
        <v>0</v>
      </c>
      <c r="BJ33" s="525">
        <f t="shared" si="128"/>
        <v>0</v>
      </c>
      <c r="BK33" s="523"/>
      <c r="BL33" s="524">
        <f t="shared" si="19"/>
        <v>0</v>
      </c>
      <c r="BM33" s="525">
        <f t="shared" si="129"/>
        <v>0</v>
      </c>
      <c r="BN33" s="523"/>
      <c r="BO33" s="524">
        <f t="shared" si="20"/>
        <v>0</v>
      </c>
      <c r="BP33" s="525">
        <f t="shared" si="130"/>
        <v>0</v>
      </c>
      <c r="BQ33" s="523"/>
      <c r="BR33" s="524">
        <f t="shared" si="21"/>
        <v>0</v>
      </c>
      <c r="BS33" s="525">
        <f t="shared" si="131"/>
        <v>0</v>
      </c>
      <c r="BT33" s="523"/>
      <c r="BU33" s="524">
        <f t="shared" si="22"/>
        <v>0</v>
      </c>
      <c r="BV33" s="525">
        <f t="shared" si="132"/>
        <v>0</v>
      </c>
      <c r="BW33" s="523"/>
      <c r="BX33" s="524">
        <f t="shared" si="23"/>
        <v>0</v>
      </c>
      <c r="BY33" s="525">
        <f t="shared" si="133"/>
        <v>0</v>
      </c>
      <c r="BZ33" s="523"/>
      <c r="CA33" s="524">
        <f t="shared" si="24"/>
        <v>0</v>
      </c>
      <c r="CB33" s="525">
        <f t="shared" si="134"/>
        <v>0</v>
      </c>
      <c r="CC33" s="523"/>
      <c r="CD33" s="524">
        <f t="shared" si="25"/>
        <v>0</v>
      </c>
      <c r="CE33" s="525">
        <f t="shared" si="135"/>
        <v>0</v>
      </c>
      <c r="CF33" s="523">
        <v>2.7000000000000028</v>
      </c>
      <c r="CG33" s="524">
        <f t="shared" si="26"/>
        <v>5.5244097065924681E-2</v>
      </c>
      <c r="CH33" s="525">
        <f t="shared" si="136"/>
        <v>0</v>
      </c>
      <c r="CI33" s="523"/>
      <c r="CJ33" s="524">
        <f t="shared" si="27"/>
        <v>0</v>
      </c>
      <c r="CK33" s="525">
        <f t="shared" si="137"/>
        <v>0</v>
      </c>
      <c r="CL33" s="523"/>
      <c r="CM33" s="524">
        <f t="shared" si="28"/>
        <v>0</v>
      </c>
      <c r="CN33" s="525">
        <f t="shared" si="138"/>
        <v>0</v>
      </c>
      <c r="CO33" s="523"/>
      <c r="CP33" s="524">
        <f t="shared" si="29"/>
        <v>0</v>
      </c>
      <c r="CQ33" s="525">
        <f t="shared" si="139"/>
        <v>0</v>
      </c>
      <c r="CR33" s="523"/>
      <c r="CS33" s="524">
        <f t="shared" si="30"/>
        <v>0</v>
      </c>
      <c r="CT33" s="525">
        <f t="shared" si="140"/>
        <v>0</v>
      </c>
      <c r="CU33" s="523"/>
      <c r="CV33" s="524">
        <f t="shared" si="31"/>
        <v>0</v>
      </c>
      <c r="CW33" s="525">
        <f t="shared" si="141"/>
        <v>0</v>
      </c>
      <c r="CX33" s="523"/>
      <c r="CY33" s="524">
        <f t="shared" si="32"/>
        <v>0</v>
      </c>
      <c r="CZ33" s="525">
        <f t="shared" si="142"/>
        <v>0</v>
      </c>
      <c r="DA33" s="523">
        <v>174.4186046511627</v>
      </c>
      <c r="DB33" s="524">
        <f t="shared" si="33"/>
        <v>3.5687401205377642</v>
      </c>
      <c r="DC33" s="525">
        <f t="shared" si="143"/>
        <v>0</v>
      </c>
      <c r="DD33" s="523"/>
      <c r="DE33" s="524">
        <f t="shared" si="34"/>
        <v>0</v>
      </c>
      <c r="DF33" s="525">
        <f t="shared" si="144"/>
        <v>0</v>
      </c>
      <c r="DG33" s="523"/>
      <c r="DH33" s="524">
        <f t="shared" si="35"/>
        <v>0</v>
      </c>
      <c r="DI33" s="525">
        <f t="shared" si="203"/>
        <v>0</v>
      </c>
      <c r="DJ33" s="523"/>
      <c r="DK33" s="524">
        <f t="shared" si="36"/>
        <v>0</v>
      </c>
      <c r="DL33" s="525">
        <f t="shared" si="145"/>
        <v>0</v>
      </c>
      <c r="DM33" s="523"/>
      <c r="DN33" s="524">
        <f t="shared" si="37"/>
        <v>0</v>
      </c>
      <c r="DO33" s="525">
        <f t="shared" si="146"/>
        <v>0</v>
      </c>
      <c r="DP33" s="523"/>
      <c r="DQ33" s="524">
        <f t="shared" si="38"/>
        <v>0</v>
      </c>
      <c r="DR33" s="525">
        <f t="shared" si="147"/>
        <v>0</v>
      </c>
      <c r="DS33" s="523"/>
      <c r="DT33" s="524">
        <f t="shared" si="39"/>
        <v>0</v>
      </c>
      <c r="DU33" s="525">
        <f t="shared" si="148"/>
        <v>0</v>
      </c>
      <c r="DV33" s="523"/>
      <c r="DW33" s="524">
        <f t="shared" si="40"/>
        <v>0</v>
      </c>
      <c r="DX33" s="525">
        <f t="shared" si="149"/>
        <v>0</v>
      </c>
      <c r="DY33" s="523"/>
      <c r="DZ33" s="524">
        <f t="shared" si="41"/>
        <v>0</v>
      </c>
      <c r="EA33" s="525">
        <f t="shared" si="150"/>
        <v>0</v>
      </c>
      <c r="EB33" s="523"/>
      <c r="EC33" s="524">
        <f t="shared" si="42"/>
        <v>0</v>
      </c>
      <c r="ED33" s="525">
        <f t="shared" si="151"/>
        <v>0</v>
      </c>
      <c r="EE33" s="523">
        <v>223.0823529411764</v>
      </c>
      <c r="EF33" s="524">
        <f t="shared" si="43"/>
        <v>4.5644382072508165</v>
      </c>
      <c r="EG33" s="525">
        <f t="shared" si="152"/>
        <v>0</v>
      </c>
      <c r="EH33" s="523">
        <v>1</v>
      </c>
      <c r="EI33" s="524">
        <f t="shared" si="44"/>
        <v>2.0460776691083194E-2</v>
      </c>
      <c r="EJ33" s="525">
        <f t="shared" si="153"/>
        <v>0</v>
      </c>
      <c r="EK33" s="523">
        <v>36.585365853658573</v>
      </c>
      <c r="EL33" s="524">
        <f t="shared" si="45"/>
        <v>0.74856500089328826</v>
      </c>
      <c r="EM33" s="525">
        <f t="shared" si="154"/>
        <v>0</v>
      </c>
      <c r="EN33" s="523">
        <v>59.302325581395365</v>
      </c>
      <c r="EO33" s="524">
        <f t="shared" si="46"/>
        <v>1.2133716409828408</v>
      </c>
      <c r="EP33" s="525">
        <f t="shared" si="155"/>
        <v>0</v>
      </c>
      <c r="EQ33" s="523"/>
      <c r="ER33" s="524">
        <f t="shared" si="47"/>
        <v>0</v>
      </c>
      <c r="ES33" s="525">
        <f t="shared" si="156"/>
        <v>0</v>
      </c>
      <c r="ET33" s="523"/>
      <c r="EU33" s="524">
        <f t="shared" si="48"/>
        <v>0</v>
      </c>
      <c r="EV33" s="525">
        <f t="shared" si="157"/>
        <v>0</v>
      </c>
      <c r="EW33" s="523"/>
      <c r="EX33" s="524">
        <f t="shared" si="49"/>
        <v>0</v>
      </c>
      <c r="EY33" s="525">
        <f t="shared" si="158"/>
        <v>0</v>
      </c>
      <c r="EZ33" s="523"/>
      <c r="FA33" s="524">
        <f t="shared" si="50"/>
        <v>0</v>
      </c>
      <c r="FB33" s="525">
        <f t="shared" si="159"/>
        <v>0</v>
      </c>
      <c r="FC33" s="523"/>
      <c r="FD33" s="524">
        <f t="shared" si="51"/>
        <v>0</v>
      </c>
      <c r="FE33" s="525">
        <f t="shared" si="160"/>
        <v>0</v>
      </c>
      <c r="FF33" s="523"/>
      <c r="FG33" s="524">
        <f t="shared" si="52"/>
        <v>0</v>
      </c>
      <c r="FH33" s="525">
        <f t="shared" si="161"/>
        <v>0</v>
      </c>
      <c r="FI33" s="523"/>
      <c r="FJ33" s="524">
        <f t="shared" si="53"/>
        <v>0</v>
      </c>
      <c r="FK33" s="525">
        <f t="shared" si="162"/>
        <v>0</v>
      </c>
      <c r="FL33" s="523"/>
      <c r="FM33" s="524">
        <f t="shared" si="54"/>
        <v>0</v>
      </c>
      <c r="FN33" s="525">
        <f t="shared" si="163"/>
        <v>0</v>
      </c>
      <c r="FO33" s="523"/>
      <c r="FP33" s="524">
        <f t="shared" si="55"/>
        <v>0</v>
      </c>
      <c r="FQ33" s="525">
        <f t="shared" si="164"/>
        <v>0</v>
      </c>
      <c r="FR33" s="523"/>
      <c r="FS33" s="524">
        <f t="shared" si="56"/>
        <v>0</v>
      </c>
      <c r="FT33" s="525">
        <f t="shared" si="165"/>
        <v>0</v>
      </c>
      <c r="FU33" s="523"/>
      <c r="FV33" s="524">
        <f t="shared" si="57"/>
        <v>0</v>
      </c>
      <c r="FW33" s="525">
        <f t="shared" si="166"/>
        <v>0</v>
      </c>
      <c r="FX33" s="523"/>
      <c r="FY33" s="524">
        <f t="shared" si="58"/>
        <v>0</v>
      </c>
      <c r="FZ33" s="525">
        <f t="shared" si="167"/>
        <v>0</v>
      </c>
      <c r="GA33" s="523">
        <v>4.8811165226706876</v>
      </c>
      <c r="GB33" s="524">
        <f t="shared" si="168"/>
        <v>9.9871435173521456E-2</v>
      </c>
      <c r="GC33" s="525">
        <f t="shared" si="169"/>
        <v>0</v>
      </c>
      <c r="GD33" s="523"/>
      <c r="GE33" s="524">
        <f t="shared" si="59"/>
        <v>0</v>
      </c>
      <c r="GF33" s="525">
        <f t="shared" si="170"/>
        <v>0</v>
      </c>
      <c r="GG33" s="523">
        <v>14.643349568012063</v>
      </c>
      <c r="GH33" s="524">
        <f t="shared" si="171"/>
        <v>0.29961430552056434</v>
      </c>
      <c r="GI33" s="525">
        <f t="shared" si="172"/>
        <v>0</v>
      </c>
      <c r="GJ33" s="523">
        <v>14.643349568012063</v>
      </c>
      <c r="GK33" s="524">
        <f t="shared" ref="GK33:GK34" si="241">+GJ33/$E33</f>
        <v>0.29961430552056434</v>
      </c>
      <c r="GL33" s="525">
        <f t="shared" ref="GL33:GL34" si="242">+GJ33*$H$8</f>
        <v>0</v>
      </c>
      <c r="GM33" s="523"/>
      <c r="GN33" s="524">
        <f t="shared" ref="GN33:GN34" si="243">+GM33/$E33</f>
        <v>0</v>
      </c>
      <c r="GO33" s="525">
        <f t="shared" ref="GO33:GO34" si="244">+GM33*$H$8</f>
        <v>0</v>
      </c>
      <c r="GP33" s="523">
        <v>29.286699136024126</v>
      </c>
      <c r="GQ33" s="524">
        <f t="shared" ref="GQ33:GQ34" si="245">+GP33/$E33</f>
        <v>0.59922861104112868</v>
      </c>
      <c r="GR33" s="525">
        <f t="shared" ref="GR33:GR34" si="246">+GP33*$H$8</f>
        <v>0</v>
      </c>
      <c r="GS33" s="523">
        <v>146.43349568012064</v>
      </c>
      <c r="GT33" s="524">
        <f t="shared" ref="GT33:GT34" si="247">+GS33/$E33</f>
        <v>2.9961430552056436</v>
      </c>
      <c r="GU33" s="525">
        <f t="shared" ref="GU33:GU34" si="248">+GS33*$H$8</f>
        <v>0</v>
      </c>
      <c r="GV33" s="523">
        <v>24.405582613353438</v>
      </c>
      <c r="GW33" s="524">
        <f t="shared" ref="GW33:GW34" si="249">+GV33/$E33</f>
        <v>0.49935717586760725</v>
      </c>
      <c r="GX33" s="525">
        <f t="shared" ref="GX33:GX34" si="250">+GV33*$H$8</f>
        <v>0</v>
      </c>
      <c r="GY33" s="523"/>
      <c r="GZ33" s="524">
        <f t="shared" ref="GZ33:GZ34" si="251">+GY33/$E33</f>
        <v>0</v>
      </c>
      <c r="HA33" s="525">
        <f t="shared" si="178"/>
        <v>0</v>
      </c>
      <c r="HB33" s="523"/>
      <c r="HC33" s="524">
        <f t="shared" si="66"/>
        <v>0</v>
      </c>
      <c r="HD33" s="525">
        <f t="shared" si="179"/>
        <v>0</v>
      </c>
      <c r="HE33" s="523"/>
      <c r="HF33" s="524">
        <f t="shared" si="67"/>
        <v>0</v>
      </c>
      <c r="HG33" s="525">
        <f t="shared" si="180"/>
        <v>0</v>
      </c>
      <c r="HH33" s="523"/>
      <c r="HI33" s="524">
        <f t="shared" si="68"/>
        <v>0</v>
      </c>
      <c r="HJ33" s="525">
        <f t="shared" si="181"/>
        <v>0</v>
      </c>
      <c r="HK33" s="523"/>
      <c r="HL33" s="524">
        <f t="shared" si="69"/>
        <v>0</v>
      </c>
      <c r="HM33" s="525">
        <f t="shared" si="182"/>
        <v>0</v>
      </c>
      <c r="HN33" s="523">
        <v>836.13526033348876</v>
      </c>
      <c r="HO33" s="524">
        <f t="shared" si="70"/>
        <v>17.107976845224226</v>
      </c>
      <c r="HP33" s="525">
        <f t="shared" si="183"/>
        <v>0</v>
      </c>
      <c r="HQ33" s="523"/>
      <c r="HR33" s="524">
        <f t="shared" si="71"/>
        <v>0</v>
      </c>
      <c r="HS33" s="525">
        <f t="shared" si="184"/>
        <v>0</v>
      </c>
      <c r="HT33" s="523"/>
      <c r="HU33" s="524">
        <f t="shared" si="72"/>
        <v>0</v>
      </c>
      <c r="HV33" s="525">
        <f t="shared" si="185"/>
        <v>0</v>
      </c>
      <c r="HW33" s="523"/>
      <c r="HX33" s="524">
        <f t="shared" si="73"/>
        <v>0</v>
      </c>
      <c r="HY33" s="525">
        <f t="shared" si="186"/>
        <v>0</v>
      </c>
      <c r="HZ33" s="523"/>
      <c r="IA33" s="524">
        <f t="shared" si="74"/>
        <v>0</v>
      </c>
      <c r="IB33" s="525">
        <f t="shared" si="200"/>
        <v>0</v>
      </c>
      <c r="IC33" s="523"/>
      <c r="ID33" s="524">
        <f t="shared" si="75"/>
        <v>0</v>
      </c>
      <c r="IE33" s="525">
        <f t="shared" si="187"/>
        <v>0</v>
      </c>
      <c r="IF33" s="523"/>
      <c r="IG33" s="524">
        <f t="shared" si="76"/>
        <v>0</v>
      </c>
      <c r="IH33" s="525">
        <f t="shared" si="188"/>
        <v>0</v>
      </c>
      <c r="II33" s="523">
        <v>21.965024352018094</v>
      </c>
      <c r="IJ33" s="524">
        <f t="shared" si="77"/>
        <v>0.44942145828084651</v>
      </c>
      <c r="IK33" s="525">
        <f t="shared" si="189"/>
        <v>0</v>
      </c>
      <c r="IL33" s="523"/>
      <c r="IM33" s="524">
        <f t="shared" si="78"/>
        <v>0</v>
      </c>
      <c r="IN33" s="525">
        <f t="shared" si="190"/>
        <v>0</v>
      </c>
      <c r="IO33" s="523"/>
      <c r="IP33" s="524">
        <f t="shared" si="79"/>
        <v>0</v>
      </c>
      <c r="IQ33" s="525">
        <f t="shared" si="191"/>
        <v>0</v>
      </c>
      <c r="IR33" s="523">
        <v>48.811165226706876</v>
      </c>
      <c r="IS33" s="524">
        <f t="shared" si="80"/>
        <v>0.9987143517352145</v>
      </c>
      <c r="IT33" s="525">
        <f t="shared" si="192"/>
        <v>0</v>
      </c>
      <c r="IU33" s="523"/>
      <c r="IV33" s="524">
        <f t="shared" si="81"/>
        <v>0</v>
      </c>
      <c r="IW33" s="525">
        <f t="shared" si="193"/>
        <v>0</v>
      </c>
      <c r="IX33" s="523"/>
      <c r="IY33" s="524">
        <f t="shared" si="82"/>
        <v>0</v>
      </c>
      <c r="IZ33" s="525">
        <f t="shared" si="194"/>
        <v>0</v>
      </c>
      <c r="JA33" s="523"/>
      <c r="JB33" s="524">
        <f t="shared" si="83"/>
        <v>0</v>
      </c>
      <c r="JC33" s="525">
        <f t="shared" si="195"/>
        <v>0</v>
      </c>
      <c r="JD33" s="523"/>
      <c r="JE33" s="524">
        <f t="shared" si="84"/>
        <v>0</v>
      </c>
      <c r="JF33" s="525">
        <f t="shared" si="196"/>
        <v>0</v>
      </c>
      <c r="JG33" s="523"/>
      <c r="JH33" s="524">
        <f t="shared" si="85"/>
        <v>0</v>
      </c>
      <c r="JI33" s="525">
        <f t="shared" si="197"/>
        <v>0</v>
      </c>
      <c r="JJ33" s="523">
        <v>26.846140874688782</v>
      </c>
      <c r="JK33" s="524">
        <f t="shared" si="86"/>
        <v>0.54929289345436794</v>
      </c>
      <c r="JL33" s="525" t="str">
        <f t="shared" si="87"/>
        <v>0</v>
      </c>
      <c r="JM33" s="523"/>
      <c r="JN33" s="524">
        <f t="shared" si="88"/>
        <v>0</v>
      </c>
      <c r="JO33" s="525" t="str">
        <f t="shared" si="89"/>
        <v>0</v>
      </c>
      <c r="JP33" s="523"/>
      <c r="JQ33" s="525" t="str">
        <f t="shared" si="90"/>
        <v>0</v>
      </c>
      <c r="JR33" s="525" t="str">
        <f t="shared" si="91"/>
        <v>0</v>
      </c>
      <c r="JS33" s="523"/>
      <c r="JT33" s="525" t="str">
        <f t="shared" si="92"/>
        <v>0</v>
      </c>
      <c r="JU33" s="525" t="str">
        <f t="shared" si="93"/>
        <v>0</v>
      </c>
      <c r="JV33" s="523"/>
      <c r="JW33" s="525" t="str">
        <f t="shared" si="94"/>
        <v>0</v>
      </c>
      <c r="JX33" s="525" t="str">
        <f t="shared" si="95"/>
        <v>0</v>
      </c>
      <c r="JY33" s="523"/>
      <c r="JZ33" s="525" t="str">
        <f t="shared" si="96"/>
        <v>0</v>
      </c>
      <c r="KA33" s="525" t="str">
        <f t="shared" si="97"/>
        <v>0</v>
      </c>
      <c r="KB33" s="523"/>
      <c r="KC33" s="525" t="str">
        <f t="shared" si="98"/>
        <v>0</v>
      </c>
      <c r="KD33" s="525" t="str">
        <f t="shared" si="99"/>
        <v>0</v>
      </c>
      <c r="KE33" s="523"/>
      <c r="KF33" s="525" t="str">
        <f t="shared" si="100"/>
        <v>0</v>
      </c>
      <c r="KG33" s="525" t="str">
        <f t="shared" si="101"/>
        <v>0</v>
      </c>
      <c r="KH33" s="523"/>
      <c r="KI33" s="525" t="str">
        <f t="shared" si="102"/>
        <v>0</v>
      </c>
      <c r="KJ33" s="525" t="str">
        <f t="shared" si="103"/>
        <v>0</v>
      </c>
      <c r="KK33" s="523"/>
      <c r="KL33" s="525" t="str">
        <f t="shared" si="104"/>
        <v>0</v>
      </c>
      <c r="KM33" s="525" t="str">
        <f t="shared" si="105"/>
        <v>0</v>
      </c>
      <c r="KN33" s="523"/>
      <c r="KO33" s="525" t="str">
        <f t="shared" si="106"/>
        <v>0</v>
      </c>
      <c r="KP33" s="525" t="str">
        <f t="shared" si="107"/>
        <v>0</v>
      </c>
      <c r="KQ33" s="523"/>
      <c r="KR33" s="525" t="str">
        <f t="shared" si="108"/>
        <v>0</v>
      </c>
      <c r="KS33" s="525" t="str">
        <f t="shared" si="109"/>
        <v>0</v>
      </c>
      <c r="KT33" s="525">
        <f t="shared" si="201"/>
        <v>0</v>
      </c>
      <c r="KU33" s="525">
        <f t="shared" si="202"/>
        <v>0</v>
      </c>
      <c r="KV33" s="264">
        <f t="shared" si="198"/>
        <v>1729.0773329024887</v>
      </c>
    </row>
    <row r="34" spans="1:16384" ht="15" customHeight="1">
      <c r="A34" s="266">
        <f t="shared" si="199"/>
        <v>45987</v>
      </c>
      <c r="B34" s="267" t="str">
        <f>+Report1!B34</f>
        <v>Toilet</v>
      </c>
      <c r="C34" s="267" t="str">
        <f>+Report1!C34</f>
        <v>13,5</v>
      </c>
      <c r="D34" s="268">
        <f>+Report1!P34</f>
        <v>49.229000000000006</v>
      </c>
      <c r="E34" s="269">
        <f>+Report1!R34</f>
        <v>48.337000000000003</v>
      </c>
      <c r="F34" s="523"/>
      <c r="G34" s="524">
        <f t="shared" si="0"/>
        <v>0</v>
      </c>
      <c r="H34" s="525">
        <f t="shared" si="110"/>
        <v>0</v>
      </c>
      <c r="I34" s="523"/>
      <c r="J34" s="524">
        <f t="shared" si="1"/>
        <v>0</v>
      </c>
      <c r="K34" s="525">
        <f t="shared" si="111"/>
        <v>0</v>
      </c>
      <c r="L34" s="523"/>
      <c r="M34" s="524">
        <f t="shared" si="2"/>
        <v>0</v>
      </c>
      <c r="N34" s="525">
        <f t="shared" si="112"/>
        <v>0</v>
      </c>
      <c r="O34" s="523">
        <v>2.9999999999999716</v>
      </c>
      <c r="P34" s="524">
        <f t="shared" si="3"/>
        <v>6.2064257194281221E-2</v>
      </c>
      <c r="Q34" s="525">
        <f t="shared" si="113"/>
        <v>0</v>
      </c>
      <c r="R34" s="523"/>
      <c r="S34" s="524">
        <f t="shared" si="4"/>
        <v>0</v>
      </c>
      <c r="T34" s="525">
        <f t="shared" si="114"/>
        <v>0</v>
      </c>
      <c r="U34" s="523">
        <v>5.1250000000000284</v>
      </c>
      <c r="V34" s="524">
        <f t="shared" si="5"/>
        <v>0.10602643937356535</v>
      </c>
      <c r="W34" s="525">
        <f t="shared" si="115"/>
        <v>0</v>
      </c>
      <c r="X34" s="523"/>
      <c r="Y34" s="524">
        <f t="shared" si="6"/>
        <v>0</v>
      </c>
      <c r="Z34" s="525">
        <f t="shared" si="116"/>
        <v>0</v>
      </c>
      <c r="AA34" s="523"/>
      <c r="AB34" s="524">
        <f t="shared" si="7"/>
        <v>0</v>
      </c>
      <c r="AC34" s="525">
        <f t="shared" si="117"/>
        <v>0</v>
      </c>
      <c r="AD34" s="523"/>
      <c r="AE34" s="524">
        <f t="shared" si="8"/>
        <v>0</v>
      </c>
      <c r="AF34" s="525">
        <f t="shared" si="118"/>
        <v>0</v>
      </c>
      <c r="AG34" s="523"/>
      <c r="AH34" s="524">
        <f t="shared" si="9"/>
        <v>0</v>
      </c>
      <c r="AI34" s="525">
        <f t="shared" si="119"/>
        <v>0</v>
      </c>
      <c r="AJ34" s="523">
        <v>49.9375</v>
      </c>
      <c r="AK34" s="524">
        <f t="shared" si="10"/>
        <v>1.0331112812131493</v>
      </c>
      <c r="AL34" s="525">
        <f t="shared" si="120"/>
        <v>0</v>
      </c>
      <c r="AM34" s="523"/>
      <c r="AN34" s="524">
        <f t="shared" si="11"/>
        <v>0</v>
      </c>
      <c r="AO34" s="525">
        <f t="shared" si="121"/>
        <v>0</v>
      </c>
      <c r="AP34" s="523"/>
      <c r="AQ34" s="524">
        <f t="shared" si="12"/>
        <v>0</v>
      </c>
      <c r="AR34" s="525">
        <f t="shared" si="122"/>
        <v>0</v>
      </c>
      <c r="AS34" s="523"/>
      <c r="AT34" s="524">
        <f t="shared" si="13"/>
        <v>0</v>
      </c>
      <c r="AU34" s="525">
        <f t="shared" si="123"/>
        <v>0</v>
      </c>
      <c r="AV34" s="523"/>
      <c r="AW34" s="524">
        <f t="shared" si="14"/>
        <v>0</v>
      </c>
      <c r="AX34" s="525">
        <f t="shared" si="124"/>
        <v>0</v>
      </c>
      <c r="AY34" s="523"/>
      <c r="AZ34" s="524">
        <f t="shared" si="15"/>
        <v>0</v>
      </c>
      <c r="BA34" s="525">
        <f t="shared" si="125"/>
        <v>0</v>
      </c>
      <c r="BB34" s="523"/>
      <c r="BC34" s="524">
        <f t="shared" si="16"/>
        <v>0</v>
      </c>
      <c r="BD34" s="525">
        <f t="shared" si="126"/>
        <v>0</v>
      </c>
      <c r="BE34" s="523"/>
      <c r="BF34" s="524">
        <f t="shared" si="17"/>
        <v>0</v>
      </c>
      <c r="BG34" s="525">
        <f t="shared" si="127"/>
        <v>0</v>
      </c>
      <c r="BH34" s="523"/>
      <c r="BI34" s="524">
        <f t="shared" si="18"/>
        <v>0</v>
      </c>
      <c r="BJ34" s="525">
        <f t="shared" si="128"/>
        <v>0</v>
      </c>
      <c r="BK34" s="523"/>
      <c r="BL34" s="524">
        <f t="shared" si="19"/>
        <v>0</v>
      </c>
      <c r="BM34" s="525">
        <f t="shared" si="129"/>
        <v>0</v>
      </c>
      <c r="BN34" s="523"/>
      <c r="BO34" s="524">
        <f t="shared" si="20"/>
        <v>0</v>
      </c>
      <c r="BP34" s="525">
        <f t="shared" si="130"/>
        <v>0</v>
      </c>
      <c r="BQ34" s="523"/>
      <c r="BR34" s="524">
        <f t="shared" si="21"/>
        <v>0</v>
      </c>
      <c r="BS34" s="525">
        <f t="shared" si="131"/>
        <v>0</v>
      </c>
      <c r="BT34" s="523"/>
      <c r="BU34" s="524">
        <f t="shared" si="22"/>
        <v>0</v>
      </c>
      <c r="BV34" s="525">
        <f t="shared" si="132"/>
        <v>0</v>
      </c>
      <c r="BW34" s="523"/>
      <c r="BX34" s="524">
        <f t="shared" si="23"/>
        <v>0</v>
      </c>
      <c r="BY34" s="525">
        <f t="shared" si="133"/>
        <v>0</v>
      </c>
      <c r="BZ34" s="523"/>
      <c r="CA34" s="524">
        <f t="shared" si="24"/>
        <v>0</v>
      </c>
      <c r="CB34" s="525">
        <f t="shared" si="134"/>
        <v>0</v>
      </c>
      <c r="CC34" s="523"/>
      <c r="CD34" s="524">
        <f t="shared" si="25"/>
        <v>0</v>
      </c>
      <c r="CE34" s="525">
        <f t="shared" si="135"/>
        <v>0</v>
      </c>
      <c r="CF34" s="523">
        <v>2.7000000000000028</v>
      </c>
      <c r="CG34" s="524">
        <f t="shared" si="26"/>
        <v>5.5857831474853688E-2</v>
      </c>
      <c r="CH34" s="525">
        <f t="shared" si="136"/>
        <v>0</v>
      </c>
      <c r="CI34" s="523"/>
      <c r="CJ34" s="524">
        <f t="shared" si="27"/>
        <v>0</v>
      </c>
      <c r="CK34" s="525">
        <f t="shared" si="137"/>
        <v>0</v>
      </c>
      <c r="CL34" s="523"/>
      <c r="CM34" s="524">
        <f t="shared" si="28"/>
        <v>0</v>
      </c>
      <c r="CN34" s="525">
        <f t="shared" si="138"/>
        <v>0</v>
      </c>
      <c r="CO34" s="523"/>
      <c r="CP34" s="524">
        <f t="shared" si="29"/>
        <v>0</v>
      </c>
      <c r="CQ34" s="525">
        <f t="shared" si="139"/>
        <v>0</v>
      </c>
      <c r="CR34" s="523"/>
      <c r="CS34" s="524">
        <f t="shared" si="30"/>
        <v>0</v>
      </c>
      <c r="CT34" s="525">
        <f t="shared" si="140"/>
        <v>0</v>
      </c>
      <c r="CU34" s="523"/>
      <c r="CV34" s="524">
        <f t="shared" si="31"/>
        <v>0</v>
      </c>
      <c r="CW34" s="525">
        <f t="shared" si="141"/>
        <v>0</v>
      </c>
      <c r="CX34" s="523"/>
      <c r="CY34" s="524">
        <f t="shared" si="32"/>
        <v>0</v>
      </c>
      <c r="CZ34" s="525">
        <f t="shared" si="142"/>
        <v>0</v>
      </c>
      <c r="DA34" s="523">
        <v>159.88372093023281</v>
      </c>
      <c r="DB34" s="524">
        <f t="shared" si="33"/>
        <v>3.307688125664249</v>
      </c>
      <c r="DC34" s="525">
        <f t="shared" si="143"/>
        <v>0</v>
      </c>
      <c r="DD34" s="523"/>
      <c r="DE34" s="524">
        <f t="shared" si="34"/>
        <v>0</v>
      </c>
      <c r="DF34" s="525">
        <f t="shared" si="144"/>
        <v>0</v>
      </c>
      <c r="DG34" s="523"/>
      <c r="DH34" s="524">
        <f t="shared" si="35"/>
        <v>0</v>
      </c>
      <c r="DI34" s="525">
        <f t="shared" si="203"/>
        <v>0</v>
      </c>
      <c r="DJ34" s="523"/>
      <c r="DK34" s="524">
        <f t="shared" si="36"/>
        <v>0</v>
      </c>
      <c r="DL34" s="525">
        <f t="shared" si="145"/>
        <v>0</v>
      </c>
      <c r="DM34" s="523"/>
      <c r="DN34" s="524">
        <f t="shared" si="37"/>
        <v>0</v>
      </c>
      <c r="DO34" s="525">
        <f t="shared" si="146"/>
        <v>0</v>
      </c>
      <c r="DP34" s="523"/>
      <c r="DQ34" s="524">
        <f t="shared" si="38"/>
        <v>0</v>
      </c>
      <c r="DR34" s="525">
        <f t="shared" si="147"/>
        <v>0</v>
      </c>
      <c r="DS34" s="523"/>
      <c r="DT34" s="524">
        <f t="shared" si="39"/>
        <v>0</v>
      </c>
      <c r="DU34" s="525">
        <f t="shared" si="148"/>
        <v>0</v>
      </c>
      <c r="DV34" s="523"/>
      <c r="DW34" s="524">
        <f t="shared" si="40"/>
        <v>0</v>
      </c>
      <c r="DX34" s="525">
        <f t="shared" si="149"/>
        <v>0</v>
      </c>
      <c r="DY34" s="523"/>
      <c r="DZ34" s="524">
        <f t="shared" si="41"/>
        <v>0</v>
      </c>
      <c r="EA34" s="525">
        <f t="shared" si="150"/>
        <v>0</v>
      </c>
      <c r="EB34" s="523"/>
      <c r="EC34" s="524">
        <f t="shared" si="42"/>
        <v>0</v>
      </c>
      <c r="ED34" s="525">
        <f t="shared" si="151"/>
        <v>0</v>
      </c>
      <c r="EE34" s="523">
        <v>176.11764705882365</v>
      </c>
      <c r="EF34" s="524">
        <f t="shared" si="43"/>
        <v>3.6435369811701932</v>
      </c>
      <c r="EG34" s="525">
        <f t="shared" si="152"/>
        <v>0</v>
      </c>
      <c r="EH34" s="523">
        <v>1</v>
      </c>
      <c r="EI34" s="524">
        <f t="shared" si="44"/>
        <v>2.0688085731427271E-2</v>
      </c>
      <c r="EJ34" s="525">
        <f t="shared" si="153"/>
        <v>0</v>
      </c>
      <c r="EK34" s="523">
        <v>48.780487804878135</v>
      </c>
      <c r="EL34" s="524">
        <f t="shared" si="45"/>
        <v>1.0091749137281614</v>
      </c>
      <c r="EM34" s="525">
        <f t="shared" si="154"/>
        <v>0</v>
      </c>
      <c r="EN34" s="523">
        <v>49.418604651162795</v>
      </c>
      <c r="EO34" s="524">
        <f t="shared" si="46"/>
        <v>1.0223763297507664</v>
      </c>
      <c r="EP34" s="525">
        <f t="shared" si="155"/>
        <v>0</v>
      </c>
      <c r="EQ34" s="523"/>
      <c r="ER34" s="524">
        <f t="shared" si="47"/>
        <v>0</v>
      </c>
      <c r="ES34" s="525">
        <f t="shared" si="156"/>
        <v>0</v>
      </c>
      <c r="ET34" s="523"/>
      <c r="EU34" s="524">
        <f t="shared" si="48"/>
        <v>0</v>
      </c>
      <c r="EV34" s="525">
        <f t="shared" si="157"/>
        <v>0</v>
      </c>
      <c r="EW34" s="523"/>
      <c r="EX34" s="524">
        <f t="shared" si="49"/>
        <v>0</v>
      </c>
      <c r="EY34" s="525">
        <f t="shared" si="158"/>
        <v>0</v>
      </c>
      <c r="EZ34" s="523"/>
      <c r="FA34" s="524">
        <f t="shared" si="50"/>
        <v>0</v>
      </c>
      <c r="FB34" s="525">
        <f t="shared" si="159"/>
        <v>0</v>
      </c>
      <c r="FC34" s="523"/>
      <c r="FD34" s="524">
        <f t="shared" si="51"/>
        <v>0</v>
      </c>
      <c r="FE34" s="525">
        <f t="shared" si="160"/>
        <v>0</v>
      </c>
      <c r="FF34" s="523"/>
      <c r="FG34" s="524">
        <f t="shared" si="52"/>
        <v>0</v>
      </c>
      <c r="FH34" s="525">
        <f t="shared" si="161"/>
        <v>0</v>
      </c>
      <c r="FI34" s="523"/>
      <c r="FJ34" s="524">
        <f t="shared" si="53"/>
        <v>0</v>
      </c>
      <c r="FK34" s="525">
        <f t="shared" si="162"/>
        <v>0</v>
      </c>
      <c r="FL34" s="523"/>
      <c r="FM34" s="524">
        <f t="shared" si="54"/>
        <v>0</v>
      </c>
      <c r="FN34" s="525">
        <f t="shared" si="163"/>
        <v>0</v>
      </c>
      <c r="FO34" s="523"/>
      <c r="FP34" s="524">
        <f t="shared" si="55"/>
        <v>0</v>
      </c>
      <c r="FQ34" s="525">
        <f t="shared" si="164"/>
        <v>0</v>
      </c>
      <c r="FR34" s="523"/>
      <c r="FS34" s="524">
        <f t="shared" si="56"/>
        <v>0</v>
      </c>
      <c r="FT34" s="525">
        <f t="shared" si="165"/>
        <v>0</v>
      </c>
      <c r="FU34" s="523"/>
      <c r="FV34" s="524">
        <f t="shared" si="57"/>
        <v>0</v>
      </c>
      <c r="FW34" s="525">
        <f t="shared" si="166"/>
        <v>0</v>
      </c>
      <c r="FX34" s="523"/>
      <c r="FY34" s="524">
        <f t="shared" si="58"/>
        <v>0</v>
      </c>
      <c r="FZ34" s="525">
        <f t="shared" si="167"/>
        <v>0</v>
      </c>
      <c r="GA34" s="523"/>
      <c r="GB34" s="524">
        <f t="shared" si="168"/>
        <v>0</v>
      </c>
      <c r="GC34" s="525">
        <f t="shared" si="169"/>
        <v>0</v>
      </c>
      <c r="GD34" s="523"/>
      <c r="GE34" s="524">
        <f t="shared" si="59"/>
        <v>0</v>
      </c>
      <c r="GF34" s="525">
        <f t="shared" si="170"/>
        <v>0</v>
      </c>
      <c r="GG34" s="523">
        <v>12.548558785444092</v>
      </c>
      <c r="GH34" s="524">
        <f t="shared" si="171"/>
        <v>0.25960565995912221</v>
      </c>
      <c r="GI34" s="525">
        <f t="shared" si="172"/>
        <v>0</v>
      </c>
      <c r="GJ34" s="523">
        <v>12.548558785444092</v>
      </c>
      <c r="GK34" s="524">
        <f t="shared" si="241"/>
        <v>0.25960565995912221</v>
      </c>
      <c r="GL34" s="525">
        <f t="shared" si="242"/>
        <v>0</v>
      </c>
      <c r="GM34" s="523"/>
      <c r="GN34" s="524">
        <f t="shared" si="243"/>
        <v>0</v>
      </c>
      <c r="GO34" s="525">
        <f t="shared" si="244"/>
        <v>0</v>
      </c>
      <c r="GP34" s="523">
        <v>30.116541085065819</v>
      </c>
      <c r="GQ34" s="524">
        <f t="shared" si="245"/>
        <v>0.62305358390189336</v>
      </c>
      <c r="GR34" s="525">
        <f t="shared" si="246"/>
        <v>0</v>
      </c>
      <c r="GS34" s="523">
        <v>150.5827054253291</v>
      </c>
      <c r="GT34" s="524">
        <f t="shared" si="247"/>
        <v>3.1152679195094666</v>
      </c>
      <c r="GU34" s="525">
        <f t="shared" si="248"/>
        <v>0</v>
      </c>
      <c r="GV34" s="523">
        <v>25.097117570888184</v>
      </c>
      <c r="GW34" s="524">
        <f t="shared" si="249"/>
        <v>0.51921131991824443</v>
      </c>
      <c r="GX34" s="525">
        <f t="shared" si="250"/>
        <v>0</v>
      </c>
      <c r="GY34" s="523"/>
      <c r="GZ34" s="524">
        <f t="shared" si="251"/>
        <v>0</v>
      </c>
      <c r="HA34" s="525">
        <f t="shared" si="178"/>
        <v>0</v>
      </c>
      <c r="HB34" s="523"/>
      <c r="HC34" s="524">
        <f t="shared" si="66"/>
        <v>0</v>
      </c>
      <c r="HD34" s="525">
        <f t="shared" si="179"/>
        <v>0</v>
      </c>
      <c r="HE34" s="523"/>
      <c r="HF34" s="524">
        <f t="shared" si="67"/>
        <v>0</v>
      </c>
      <c r="HG34" s="525">
        <f t="shared" si="180"/>
        <v>0</v>
      </c>
      <c r="HH34" s="523"/>
      <c r="HI34" s="524">
        <f t="shared" si="68"/>
        <v>0</v>
      </c>
      <c r="HJ34" s="525">
        <f t="shared" si="181"/>
        <v>0</v>
      </c>
      <c r="HK34" s="523"/>
      <c r="HL34" s="524">
        <f t="shared" si="69"/>
        <v>0</v>
      </c>
      <c r="HM34" s="525">
        <f t="shared" si="182"/>
        <v>0</v>
      </c>
      <c r="HN34" s="523">
        <v>759.4387776950764</v>
      </c>
      <c r="HO34" s="524">
        <f t="shared" si="70"/>
        <v>15.711334540726076</v>
      </c>
      <c r="HP34" s="525">
        <f t="shared" si="183"/>
        <v>0</v>
      </c>
      <c r="HQ34" s="523"/>
      <c r="HR34" s="524">
        <f t="shared" si="71"/>
        <v>0</v>
      </c>
      <c r="HS34" s="525">
        <f t="shared" si="184"/>
        <v>0</v>
      </c>
      <c r="HT34" s="523"/>
      <c r="HU34" s="524">
        <f t="shared" si="72"/>
        <v>0</v>
      </c>
      <c r="HV34" s="525">
        <f t="shared" si="185"/>
        <v>0</v>
      </c>
      <c r="HW34" s="523"/>
      <c r="HX34" s="524">
        <f t="shared" si="73"/>
        <v>0</v>
      </c>
      <c r="HY34" s="525">
        <f t="shared" si="186"/>
        <v>0</v>
      </c>
      <c r="HZ34" s="523"/>
      <c r="IA34" s="524">
        <f t="shared" si="74"/>
        <v>0</v>
      </c>
      <c r="IB34" s="525">
        <f t="shared" si="200"/>
        <v>0</v>
      </c>
      <c r="IC34" s="523"/>
      <c r="ID34" s="524">
        <f t="shared" si="75"/>
        <v>0</v>
      </c>
      <c r="IE34" s="525">
        <f t="shared" si="187"/>
        <v>0</v>
      </c>
      <c r="IF34" s="523"/>
      <c r="IG34" s="524">
        <f t="shared" si="76"/>
        <v>0</v>
      </c>
      <c r="IH34" s="525">
        <f t="shared" si="188"/>
        <v>0</v>
      </c>
      <c r="II34" s="523">
        <v>22.587405813799364</v>
      </c>
      <c r="IJ34" s="524">
        <f t="shared" si="77"/>
        <v>0.46729018792641996</v>
      </c>
      <c r="IK34" s="525">
        <f t="shared" si="189"/>
        <v>0</v>
      </c>
      <c r="IL34" s="523"/>
      <c r="IM34" s="524">
        <f t="shared" si="78"/>
        <v>0</v>
      </c>
      <c r="IN34" s="525">
        <f t="shared" si="190"/>
        <v>0</v>
      </c>
      <c r="IO34" s="523"/>
      <c r="IP34" s="524">
        <f t="shared" si="79"/>
        <v>0</v>
      </c>
      <c r="IQ34" s="525">
        <f t="shared" si="191"/>
        <v>0</v>
      </c>
      <c r="IR34" s="523">
        <v>50.194235141776367</v>
      </c>
      <c r="IS34" s="524">
        <f t="shared" si="80"/>
        <v>1.0384226398364889</v>
      </c>
      <c r="IT34" s="525">
        <f t="shared" si="192"/>
        <v>0</v>
      </c>
      <c r="IU34" s="523"/>
      <c r="IV34" s="524">
        <f t="shared" si="81"/>
        <v>0</v>
      </c>
      <c r="IW34" s="525">
        <f t="shared" si="193"/>
        <v>0</v>
      </c>
      <c r="IX34" s="523"/>
      <c r="IY34" s="524">
        <f t="shared" si="82"/>
        <v>0</v>
      </c>
      <c r="IZ34" s="525">
        <f t="shared" si="194"/>
        <v>0</v>
      </c>
      <c r="JA34" s="523"/>
      <c r="JB34" s="524">
        <f t="shared" si="83"/>
        <v>0</v>
      </c>
      <c r="JC34" s="525">
        <f t="shared" si="195"/>
        <v>0</v>
      </c>
      <c r="JD34" s="523"/>
      <c r="JE34" s="524">
        <f t="shared" si="84"/>
        <v>0</v>
      </c>
      <c r="JF34" s="525">
        <f t="shared" si="196"/>
        <v>0</v>
      </c>
      <c r="JG34" s="523"/>
      <c r="JH34" s="524">
        <f t="shared" si="85"/>
        <v>0</v>
      </c>
      <c r="JI34" s="525">
        <f t="shared" si="197"/>
        <v>0</v>
      </c>
      <c r="JJ34" s="523">
        <v>25.097117570888184</v>
      </c>
      <c r="JK34" s="524">
        <f t="shared" si="86"/>
        <v>0.51921131991824443</v>
      </c>
      <c r="JL34" s="525" t="str">
        <f t="shared" si="87"/>
        <v>0</v>
      </c>
      <c r="JM34" s="523"/>
      <c r="JN34" s="524">
        <f t="shared" si="88"/>
        <v>0</v>
      </c>
      <c r="JO34" s="525" t="str">
        <f t="shared" si="89"/>
        <v>0</v>
      </c>
      <c r="JP34" s="523"/>
      <c r="JQ34" s="525" t="str">
        <f t="shared" si="90"/>
        <v>0</v>
      </c>
      <c r="JR34" s="525" t="str">
        <f t="shared" si="91"/>
        <v>0</v>
      </c>
      <c r="JS34" s="523"/>
      <c r="JT34" s="525" t="str">
        <f t="shared" si="92"/>
        <v>0</v>
      </c>
      <c r="JU34" s="525" t="str">
        <f t="shared" si="93"/>
        <v>0</v>
      </c>
      <c r="JV34" s="523"/>
      <c r="JW34" s="525" t="str">
        <f t="shared" si="94"/>
        <v>0</v>
      </c>
      <c r="JX34" s="525" t="str">
        <f t="shared" si="95"/>
        <v>0</v>
      </c>
      <c r="JY34" s="523"/>
      <c r="JZ34" s="525" t="str">
        <f t="shared" si="96"/>
        <v>0</v>
      </c>
      <c r="KA34" s="525" t="str">
        <f t="shared" si="97"/>
        <v>0</v>
      </c>
      <c r="KB34" s="523"/>
      <c r="KC34" s="525" t="str">
        <f t="shared" si="98"/>
        <v>0</v>
      </c>
      <c r="KD34" s="525" t="str">
        <f t="shared" si="99"/>
        <v>0</v>
      </c>
      <c r="KE34" s="523"/>
      <c r="KF34" s="525" t="str">
        <f t="shared" si="100"/>
        <v>0</v>
      </c>
      <c r="KG34" s="525" t="str">
        <f t="shared" si="101"/>
        <v>0</v>
      </c>
      <c r="KH34" s="523"/>
      <c r="KI34" s="525" t="str">
        <f t="shared" si="102"/>
        <v>0</v>
      </c>
      <c r="KJ34" s="525" t="str">
        <f t="shared" si="103"/>
        <v>0</v>
      </c>
      <c r="KK34" s="523"/>
      <c r="KL34" s="525" t="str">
        <f t="shared" si="104"/>
        <v>0</v>
      </c>
      <c r="KM34" s="525" t="str">
        <f t="shared" si="105"/>
        <v>0</v>
      </c>
      <c r="KN34" s="523"/>
      <c r="KO34" s="525" t="str">
        <f t="shared" si="106"/>
        <v>0</v>
      </c>
      <c r="KP34" s="525" t="str">
        <f t="shared" si="107"/>
        <v>0</v>
      </c>
      <c r="KQ34" s="523"/>
      <c r="KR34" s="525" t="str">
        <f t="shared" si="108"/>
        <v>0</v>
      </c>
      <c r="KS34" s="525" t="str">
        <f t="shared" si="109"/>
        <v>0</v>
      </c>
      <c r="KT34" s="525">
        <f t="shared" si="201"/>
        <v>0</v>
      </c>
      <c r="KU34" s="525">
        <f t="shared" si="202"/>
        <v>0</v>
      </c>
      <c r="KV34" s="264">
        <f t="shared" si="198"/>
        <v>1584.1739783188091</v>
      </c>
    </row>
    <row r="35" spans="1:16384" ht="15" customHeight="1">
      <c r="A35" s="266">
        <f t="shared" si="199"/>
        <v>45988</v>
      </c>
      <c r="B35" s="267" t="str">
        <f>+Report1!B35</f>
        <v>Toilet</v>
      </c>
      <c r="C35" s="267" t="str">
        <f>+Report1!C35</f>
        <v>13,5</v>
      </c>
      <c r="D35" s="268">
        <f>+Report1!P35</f>
        <v>43.781000000000006</v>
      </c>
      <c r="E35" s="269">
        <f>+Report1!R35</f>
        <v>40.588000000000001</v>
      </c>
      <c r="F35" s="523"/>
      <c r="G35" s="524">
        <f t="shared" si="0"/>
        <v>0</v>
      </c>
      <c r="H35" s="525">
        <f t="shared" si="110"/>
        <v>0</v>
      </c>
      <c r="I35" s="523"/>
      <c r="J35" s="524">
        <f t="shared" si="1"/>
        <v>0</v>
      </c>
      <c r="K35" s="525">
        <f t="shared" si="111"/>
        <v>0</v>
      </c>
      <c r="L35" s="523"/>
      <c r="M35" s="524">
        <f t="shared" si="2"/>
        <v>0</v>
      </c>
      <c r="N35" s="525">
        <f t="shared" si="112"/>
        <v>0</v>
      </c>
      <c r="O35" s="523">
        <v>3</v>
      </c>
      <c r="P35" s="524">
        <f t="shared" si="3"/>
        <v>7.3913471962156307E-2</v>
      </c>
      <c r="Q35" s="525">
        <f t="shared" si="113"/>
        <v>0</v>
      </c>
      <c r="R35" s="523"/>
      <c r="S35" s="524">
        <f t="shared" si="4"/>
        <v>0</v>
      </c>
      <c r="T35" s="525">
        <f t="shared" si="114"/>
        <v>0</v>
      </c>
      <c r="U35" s="523">
        <v>5.1249999999999716</v>
      </c>
      <c r="V35" s="524">
        <f t="shared" si="5"/>
        <v>0.12626884793534965</v>
      </c>
      <c r="W35" s="525">
        <f t="shared" si="115"/>
        <v>0</v>
      </c>
      <c r="X35" s="523"/>
      <c r="Y35" s="524">
        <f t="shared" si="6"/>
        <v>0</v>
      </c>
      <c r="Z35" s="525">
        <f t="shared" si="116"/>
        <v>0</v>
      </c>
      <c r="AA35" s="523"/>
      <c r="AB35" s="524">
        <f t="shared" si="7"/>
        <v>0</v>
      </c>
      <c r="AC35" s="525">
        <f t="shared" si="117"/>
        <v>0</v>
      </c>
      <c r="AD35" s="523"/>
      <c r="AE35" s="524">
        <f t="shared" si="8"/>
        <v>0</v>
      </c>
      <c r="AF35" s="525">
        <f t="shared" si="118"/>
        <v>0</v>
      </c>
      <c r="AG35" s="523"/>
      <c r="AH35" s="524">
        <f t="shared" si="9"/>
        <v>0</v>
      </c>
      <c r="AI35" s="525">
        <f t="shared" si="119"/>
        <v>0</v>
      </c>
      <c r="AJ35" s="523">
        <v>11.750000000000028</v>
      </c>
      <c r="AK35" s="524">
        <f t="shared" si="10"/>
        <v>0.28949443185177953</v>
      </c>
      <c r="AL35" s="525">
        <f t="shared" si="120"/>
        <v>0</v>
      </c>
      <c r="AM35" s="523"/>
      <c r="AN35" s="524">
        <f t="shared" si="11"/>
        <v>0</v>
      </c>
      <c r="AO35" s="525">
        <f t="shared" si="121"/>
        <v>0</v>
      </c>
      <c r="AP35" s="523"/>
      <c r="AQ35" s="524">
        <f t="shared" si="12"/>
        <v>0</v>
      </c>
      <c r="AR35" s="525">
        <f t="shared" si="122"/>
        <v>0</v>
      </c>
      <c r="AS35" s="523"/>
      <c r="AT35" s="524">
        <f t="shared" si="13"/>
        <v>0</v>
      </c>
      <c r="AU35" s="525">
        <f t="shared" si="123"/>
        <v>0</v>
      </c>
      <c r="AV35" s="523"/>
      <c r="AW35" s="524">
        <f t="shared" si="14"/>
        <v>0</v>
      </c>
      <c r="AX35" s="525">
        <f t="shared" si="124"/>
        <v>0</v>
      </c>
      <c r="AY35" s="523"/>
      <c r="AZ35" s="524">
        <f t="shared" si="15"/>
        <v>0</v>
      </c>
      <c r="BA35" s="525">
        <f t="shared" si="125"/>
        <v>0</v>
      </c>
      <c r="BB35" s="523"/>
      <c r="BC35" s="524">
        <f t="shared" si="16"/>
        <v>0</v>
      </c>
      <c r="BD35" s="525">
        <f t="shared" si="126"/>
        <v>0</v>
      </c>
      <c r="BE35" s="523"/>
      <c r="BF35" s="524">
        <f t="shared" si="17"/>
        <v>0</v>
      </c>
      <c r="BG35" s="525">
        <f t="shared" si="127"/>
        <v>0</v>
      </c>
      <c r="BH35" s="523"/>
      <c r="BI35" s="524">
        <f t="shared" si="18"/>
        <v>0</v>
      </c>
      <c r="BJ35" s="525">
        <f t="shared" si="128"/>
        <v>0</v>
      </c>
      <c r="BK35" s="523"/>
      <c r="BL35" s="524">
        <f t="shared" si="19"/>
        <v>0</v>
      </c>
      <c r="BM35" s="525">
        <f t="shared" si="129"/>
        <v>0</v>
      </c>
      <c r="BN35" s="523"/>
      <c r="BO35" s="524">
        <f t="shared" si="20"/>
        <v>0</v>
      </c>
      <c r="BP35" s="525">
        <f t="shared" si="130"/>
        <v>0</v>
      </c>
      <c r="BQ35" s="523"/>
      <c r="BR35" s="524">
        <f t="shared" si="21"/>
        <v>0</v>
      </c>
      <c r="BS35" s="525">
        <f t="shared" si="131"/>
        <v>0</v>
      </c>
      <c r="BT35" s="523"/>
      <c r="BU35" s="524">
        <f t="shared" si="22"/>
        <v>0</v>
      </c>
      <c r="BV35" s="525">
        <f t="shared" si="132"/>
        <v>0</v>
      </c>
      <c r="BW35" s="523"/>
      <c r="BX35" s="524">
        <f t="shared" si="23"/>
        <v>0</v>
      </c>
      <c r="BY35" s="525">
        <f t="shared" si="133"/>
        <v>0</v>
      </c>
      <c r="BZ35" s="523"/>
      <c r="CA35" s="524">
        <f t="shared" si="24"/>
        <v>0</v>
      </c>
      <c r="CB35" s="525">
        <f t="shared" si="134"/>
        <v>0</v>
      </c>
      <c r="CC35" s="523"/>
      <c r="CD35" s="524">
        <f t="shared" si="25"/>
        <v>0</v>
      </c>
      <c r="CE35" s="525">
        <f t="shared" si="135"/>
        <v>0</v>
      </c>
      <c r="CF35" s="523">
        <v>2.7000000000000028</v>
      </c>
      <c r="CG35" s="524">
        <f t="shared" si="26"/>
        <v>6.6522124765940743E-2</v>
      </c>
      <c r="CH35" s="525">
        <f t="shared" si="136"/>
        <v>0</v>
      </c>
      <c r="CI35" s="523"/>
      <c r="CJ35" s="524">
        <f t="shared" si="27"/>
        <v>0</v>
      </c>
      <c r="CK35" s="525">
        <f t="shared" si="137"/>
        <v>0</v>
      </c>
      <c r="CL35" s="523"/>
      <c r="CM35" s="524">
        <f t="shared" si="28"/>
        <v>0</v>
      </c>
      <c r="CN35" s="525">
        <f t="shared" si="138"/>
        <v>0</v>
      </c>
      <c r="CO35" s="523"/>
      <c r="CP35" s="524">
        <f t="shared" si="29"/>
        <v>0</v>
      </c>
      <c r="CQ35" s="525">
        <f t="shared" si="139"/>
        <v>0</v>
      </c>
      <c r="CR35" s="523"/>
      <c r="CS35" s="524">
        <f t="shared" si="30"/>
        <v>0</v>
      </c>
      <c r="CT35" s="525">
        <f t="shared" si="140"/>
        <v>0</v>
      </c>
      <c r="CU35" s="523"/>
      <c r="CV35" s="524">
        <f t="shared" si="31"/>
        <v>0</v>
      </c>
      <c r="CW35" s="525">
        <f t="shared" si="141"/>
        <v>0</v>
      </c>
      <c r="CX35" s="523"/>
      <c r="CY35" s="524">
        <f t="shared" si="32"/>
        <v>0</v>
      </c>
      <c r="CZ35" s="525">
        <f t="shared" si="142"/>
        <v>0</v>
      </c>
      <c r="DA35" s="523">
        <v>319.76744186046506</v>
      </c>
      <c r="DB35" s="524">
        <f t="shared" si="33"/>
        <v>7.8783739494546428</v>
      </c>
      <c r="DC35" s="525">
        <f t="shared" si="143"/>
        <v>0</v>
      </c>
      <c r="DD35" s="523"/>
      <c r="DE35" s="524">
        <f t="shared" si="34"/>
        <v>0</v>
      </c>
      <c r="DF35" s="525">
        <f t="shared" si="144"/>
        <v>0</v>
      </c>
      <c r="DG35" s="523"/>
      <c r="DH35" s="524">
        <f t="shared" si="35"/>
        <v>0</v>
      </c>
      <c r="DI35" s="525">
        <f t="shared" si="203"/>
        <v>0</v>
      </c>
      <c r="DJ35" s="523"/>
      <c r="DK35" s="524">
        <f t="shared" si="36"/>
        <v>0</v>
      </c>
      <c r="DL35" s="525">
        <f t="shared" si="145"/>
        <v>0</v>
      </c>
      <c r="DM35" s="523"/>
      <c r="DN35" s="524">
        <f t="shared" si="37"/>
        <v>0</v>
      </c>
      <c r="DO35" s="525">
        <f t="shared" si="146"/>
        <v>0</v>
      </c>
      <c r="DP35" s="523"/>
      <c r="DQ35" s="524">
        <f t="shared" si="38"/>
        <v>0</v>
      </c>
      <c r="DR35" s="525">
        <f t="shared" si="147"/>
        <v>0</v>
      </c>
      <c r="DS35" s="523"/>
      <c r="DT35" s="524">
        <f t="shared" si="39"/>
        <v>0</v>
      </c>
      <c r="DU35" s="525">
        <f t="shared" si="148"/>
        <v>0</v>
      </c>
      <c r="DV35" s="523"/>
      <c r="DW35" s="524">
        <f t="shared" si="40"/>
        <v>0</v>
      </c>
      <c r="DX35" s="525">
        <f t="shared" si="149"/>
        <v>0</v>
      </c>
      <c r="DY35" s="523"/>
      <c r="DZ35" s="524">
        <f t="shared" si="41"/>
        <v>0</v>
      </c>
      <c r="EA35" s="525">
        <f t="shared" si="150"/>
        <v>0</v>
      </c>
      <c r="EB35" s="523"/>
      <c r="EC35" s="524">
        <f t="shared" si="42"/>
        <v>0</v>
      </c>
      <c r="ED35" s="525">
        <f t="shared" si="151"/>
        <v>0</v>
      </c>
      <c r="EE35" s="523">
        <v>211.34117647058838</v>
      </c>
      <c r="EF35" s="524">
        <f t="shared" si="43"/>
        <v>5.2069867071693201</v>
      </c>
      <c r="EG35" s="525">
        <f t="shared" si="152"/>
        <v>0</v>
      </c>
      <c r="EH35" s="523">
        <v>1</v>
      </c>
      <c r="EI35" s="524">
        <f t="shared" si="44"/>
        <v>2.4637823987385433E-2</v>
      </c>
      <c r="EJ35" s="525">
        <f t="shared" si="153"/>
        <v>0</v>
      </c>
      <c r="EK35" s="523">
        <v>36.585365853658459</v>
      </c>
      <c r="EL35" s="524">
        <f t="shared" si="45"/>
        <v>0.90138380441653831</v>
      </c>
      <c r="EM35" s="525">
        <f t="shared" si="154"/>
        <v>0</v>
      </c>
      <c r="EN35" s="523">
        <v>39.534883720930225</v>
      </c>
      <c r="EO35" s="524">
        <f t="shared" si="46"/>
        <v>0.97405350647802857</v>
      </c>
      <c r="EP35" s="525">
        <f t="shared" si="155"/>
        <v>0</v>
      </c>
      <c r="EQ35" s="523"/>
      <c r="ER35" s="524">
        <f t="shared" si="47"/>
        <v>0</v>
      </c>
      <c r="ES35" s="525">
        <f t="shared" si="156"/>
        <v>0</v>
      </c>
      <c r="ET35" s="523"/>
      <c r="EU35" s="524">
        <f t="shared" si="48"/>
        <v>0</v>
      </c>
      <c r="EV35" s="525">
        <f t="shared" si="157"/>
        <v>0</v>
      </c>
      <c r="EW35" s="523"/>
      <c r="EX35" s="524">
        <f t="shared" si="49"/>
        <v>0</v>
      </c>
      <c r="EY35" s="525">
        <f t="shared" si="158"/>
        <v>0</v>
      </c>
      <c r="EZ35" s="523"/>
      <c r="FA35" s="524">
        <f t="shared" si="50"/>
        <v>0</v>
      </c>
      <c r="FB35" s="525">
        <f t="shared" si="159"/>
        <v>0</v>
      </c>
      <c r="FC35" s="523"/>
      <c r="FD35" s="524">
        <f t="shared" si="51"/>
        <v>0</v>
      </c>
      <c r="FE35" s="525">
        <f t="shared" si="160"/>
        <v>0</v>
      </c>
      <c r="FF35" s="523"/>
      <c r="FG35" s="524">
        <f t="shared" si="52"/>
        <v>0</v>
      </c>
      <c r="FH35" s="525">
        <f t="shared" si="161"/>
        <v>0</v>
      </c>
      <c r="FI35" s="523"/>
      <c r="FJ35" s="524">
        <f t="shared" si="53"/>
        <v>0</v>
      </c>
      <c r="FK35" s="525">
        <f t="shared" si="162"/>
        <v>0</v>
      </c>
      <c r="FL35" s="523"/>
      <c r="FM35" s="524">
        <f t="shared" si="54"/>
        <v>0</v>
      </c>
      <c r="FN35" s="525">
        <f t="shared" si="163"/>
        <v>0</v>
      </c>
      <c r="FO35" s="523"/>
      <c r="FP35" s="524">
        <f t="shared" si="55"/>
        <v>0</v>
      </c>
      <c r="FQ35" s="525">
        <f t="shared" si="164"/>
        <v>0</v>
      </c>
      <c r="FR35" s="523"/>
      <c r="FS35" s="524">
        <f t="shared" si="56"/>
        <v>0</v>
      </c>
      <c r="FT35" s="525">
        <f t="shared" si="165"/>
        <v>0</v>
      </c>
      <c r="FU35" s="523"/>
      <c r="FV35" s="524">
        <f t="shared" si="57"/>
        <v>0</v>
      </c>
      <c r="FW35" s="525">
        <f t="shared" si="166"/>
        <v>0</v>
      </c>
      <c r="FX35" s="523"/>
      <c r="FY35" s="524">
        <f t="shared" si="58"/>
        <v>0</v>
      </c>
      <c r="FZ35" s="525">
        <f t="shared" si="167"/>
        <v>0</v>
      </c>
      <c r="GA35" s="523"/>
      <c r="GB35" s="524">
        <f t="shared" si="168"/>
        <v>0</v>
      </c>
      <c r="GC35" s="525">
        <f t="shared" si="169"/>
        <v>0</v>
      </c>
      <c r="GD35" s="523"/>
      <c r="GE35" s="524">
        <f t="shared" si="59"/>
        <v>0</v>
      </c>
      <c r="GF35" s="525">
        <f t="shared" si="170"/>
        <v>0</v>
      </c>
      <c r="GG35" s="523">
        <v>11.563308858486081</v>
      </c>
      <c r="GH35" s="524">
        <f t="shared" si="171"/>
        <v>0.28489476836715483</v>
      </c>
      <c r="GI35" s="525">
        <f t="shared" si="172"/>
        <v>0</v>
      </c>
      <c r="GJ35" s="523">
        <v>11.563308858486081</v>
      </c>
      <c r="GK35" s="524">
        <f t="shared" ref="GK35:GK39" si="252">+GJ35/$E35</f>
        <v>0.28489476836715483</v>
      </c>
      <c r="GL35" s="525">
        <f t="shared" ref="GL35:GL39" si="253">+GJ35*$H$8</f>
        <v>0</v>
      </c>
      <c r="GM35" s="523"/>
      <c r="GN35" s="524">
        <f t="shared" ref="GN35:GN39" si="254">+GM35/$E35</f>
        <v>0</v>
      </c>
      <c r="GO35" s="525">
        <f t="shared" ref="GO35:GO39" si="255">+GM35*$H$8</f>
        <v>0</v>
      </c>
      <c r="GP35" s="523">
        <v>27.751941260366596</v>
      </c>
      <c r="GQ35" s="524">
        <f t="shared" ref="GQ35:GQ39" si="256">+GP35/$E35</f>
        <v>0.68374744408117172</v>
      </c>
      <c r="GR35" s="525">
        <f t="shared" ref="GR35:GR39" si="257">+GP35*$H$8</f>
        <v>0</v>
      </c>
      <c r="GS35" s="523">
        <v>138.75970630183298</v>
      </c>
      <c r="GT35" s="524">
        <f t="shared" ref="GT35:GT39" si="258">+GS35/$E35</f>
        <v>3.4187372204058581</v>
      </c>
      <c r="GU35" s="525">
        <f t="shared" ref="GU35:GU39" si="259">+GS35*$H$8</f>
        <v>0</v>
      </c>
      <c r="GV35" s="523">
        <v>23.126617716972163</v>
      </c>
      <c r="GW35" s="524">
        <f t="shared" ref="GW35:GW39" si="260">+GV35/$E35</f>
        <v>0.56978953673430965</v>
      </c>
      <c r="GX35" s="525">
        <f t="shared" ref="GX35:GX39" si="261">+GV35*$H$8</f>
        <v>0</v>
      </c>
      <c r="GY35" s="523"/>
      <c r="GZ35" s="524">
        <f t="shared" si="65"/>
        <v>0</v>
      </c>
      <c r="HA35" s="525">
        <f t="shared" si="178"/>
        <v>0</v>
      </c>
      <c r="HB35" s="523"/>
      <c r="HC35" s="524">
        <f t="shared" si="66"/>
        <v>0</v>
      </c>
      <c r="HD35" s="525">
        <f t="shared" si="179"/>
        <v>0</v>
      </c>
      <c r="HE35" s="523"/>
      <c r="HF35" s="524">
        <f t="shared" si="67"/>
        <v>0</v>
      </c>
      <c r="HG35" s="525">
        <f t="shared" si="180"/>
        <v>0</v>
      </c>
      <c r="HH35" s="523"/>
      <c r="HI35" s="524">
        <f t="shared" si="68"/>
        <v>0</v>
      </c>
      <c r="HJ35" s="525">
        <f t="shared" si="181"/>
        <v>0</v>
      </c>
      <c r="HK35" s="523"/>
      <c r="HL35" s="524">
        <f t="shared" si="69"/>
        <v>0</v>
      </c>
      <c r="HM35" s="525">
        <f t="shared" si="182"/>
        <v>0</v>
      </c>
      <c r="HN35" s="523">
        <v>699.81145211557771</v>
      </c>
      <c r="HO35" s="524">
        <f t="shared" si="70"/>
        <v>17.241831381580212</v>
      </c>
      <c r="HP35" s="525">
        <f t="shared" si="183"/>
        <v>0</v>
      </c>
      <c r="HQ35" s="523"/>
      <c r="HR35" s="524">
        <f t="shared" si="71"/>
        <v>0</v>
      </c>
      <c r="HS35" s="525">
        <f t="shared" si="184"/>
        <v>0</v>
      </c>
      <c r="HT35" s="523"/>
      <c r="HU35" s="524">
        <f t="shared" si="72"/>
        <v>0</v>
      </c>
      <c r="HV35" s="525">
        <f t="shared" si="185"/>
        <v>0</v>
      </c>
      <c r="HW35" s="523"/>
      <c r="HX35" s="524">
        <f t="shared" si="73"/>
        <v>0</v>
      </c>
      <c r="HY35" s="525">
        <f t="shared" si="186"/>
        <v>0</v>
      </c>
      <c r="HZ35" s="523"/>
      <c r="IA35" s="524">
        <f t="shared" si="74"/>
        <v>0</v>
      </c>
      <c r="IB35" s="525">
        <f t="shared" si="200"/>
        <v>0</v>
      </c>
      <c r="IC35" s="523"/>
      <c r="ID35" s="524">
        <f t="shared" si="75"/>
        <v>0</v>
      </c>
      <c r="IE35" s="525">
        <f t="shared" si="187"/>
        <v>0</v>
      </c>
      <c r="IF35" s="523"/>
      <c r="IG35" s="524">
        <f t="shared" si="76"/>
        <v>0</v>
      </c>
      <c r="IH35" s="525">
        <f t="shared" si="188"/>
        <v>0</v>
      </c>
      <c r="II35" s="523">
        <v>20.813955945274948</v>
      </c>
      <c r="IJ35" s="524">
        <f t="shared" si="77"/>
        <v>0.51281058306087879</v>
      </c>
      <c r="IK35" s="525">
        <f t="shared" si="189"/>
        <v>0</v>
      </c>
      <c r="IL35" s="523"/>
      <c r="IM35" s="524">
        <f t="shared" si="78"/>
        <v>0</v>
      </c>
      <c r="IN35" s="525">
        <f t="shared" si="190"/>
        <v>0</v>
      </c>
      <c r="IO35" s="523"/>
      <c r="IP35" s="524">
        <f t="shared" si="79"/>
        <v>0</v>
      </c>
      <c r="IQ35" s="525">
        <f t="shared" si="191"/>
        <v>0</v>
      </c>
      <c r="IR35" s="523">
        <v>46.253235433944326</v>
      </c>
      <c r="IS35" s="524">
        <f t="shared" si="80"/>
        <v>1.1395790734686193</v>
      </c>
      <c r="IT35" s="525">
        <f t="shared" si="192"/>
        <v>0</v>
      </c>
      <c r="IU35" s="523"/>
      <c r="IV35" s="524">
        <f t="shared" si="81"/>
        <v>0</v>
      </c>
      <c r="IW35" s="525">
        <f t="shared" si="193"/>
        <v>0</v>
      </c>
      <c r="IX35" s="523"/>
      <c r="IY35" s="524">
        <f t="shared" si="82"/>
        <v>0</v>
      </c>
      <c r="IZ35" s="525">
        <f t="shared" si="194"/>
        <v>0</v>
      </c>
      <c r="JA35" s="523"/>
      <c r="JB35" s="524">
        <f t="shared" si="83"/>
        <v>0</v>
      </c>
      <c r="JC35" s="525">
        <f t="shared" si="195"/>
        <v>0</v>
      </c>
      <c r="JD35" s="523"/>
      <c r="JE35" s="524">
        <f t="shared" si="84"/>
        <v>0</v>
      </c>
      <c r="JF35" s="525">
        <f t="shared" si="196"/>
        <v>0</v>
      </c>
      <c r="JG35" s="523"/>
      <c r="JH35" s="524">
        <f t="shared" si="85"/>
        <v>0</v>
      </c>
      <c r="JI35" s="525">
        <f t="shared" si="197"/>
        <v>0</v>
      </c>
      <c r="JJ35" s="523">
        <v>23.126617716972163</v>
      </c>
      <c r="JK35" s="524">
        <f t="shared" si="86"/>
        <v>0.56978953673430965</v>
      </c>
      <c r="JL35" s="525" t="str">
        <f t="shared" si="87"/>
        <v>0</v>
      </c>
      <c r="JM35" s="523"/>
      <c r="JN35" s="524">
        <f t="shared" si="88"/>
        <v>0</v>
      </c>
      <c r="JO35" s="525" t="str">
        <f t="shared" si="89"/>
        <v>0</v>
      </c>
      <c r="JP35" s="523"/>
      <c r="JQ35" s="525" t="str">
        <f t="shared" si="90"/>
        <v>0</v>
      </c>
      <c r="JR35" s="525" t="str">
        <f t="shared" si="91"/>
        <v>0</v>
      </c>
      <c r="JS35" s="523"/>
      <c r="JT35" s="525" t="str">
        <f t="shared" si="92"/>
        <v>0</v>
      </c>
      <c r="JU35" s="525" t="str">
        <f t="shared" si="93"/>
        <v>0</v>
      </c>
      <c r="JV35" s="523"/>
      <c r="JW35" s="525" t="str">
        <f t="shared" si="94"/>
        <v>0</v>
      </c>
      <c r="JX35" s="525" t="str">
        <f t="shared" si="95"/>
        <v>0</v>
      </c>
      <c r="JY35" s="523"/>
      <c r="JZ35" s="525" t="str">
        <f t="shared" si="96"/>
        <v>0</v>
      </c>
      <c r="KA35" s="525" t="str">
        <f t="shared" si="97"/>
        <v>0</v>
      </c>
      <c r="KB35" s="523"/>
      <c r="KC35" s="525" t="str">
        <f t="shared" si="98"/>
        <v>0</v>
      </c>
      <c r="KD35" s="525" t="str">
        <f t="shared" si="99"/>
        <v>0</v>
      </c>
      <c r="KE35" s="523"/>
      <c r="KF35" s="525" t="str">
        <f t="shared" si="100"/>
        <v>0</v>
      </c>
      <c r="KG35" s="525" t="str">
        <f t="shared" si="101"/>
        <v>0</v>
      </c>
      <c r="KH35" s="523"/>
      <c r="KI35" s="525" t="str">
        <f t="shared" si="102"/>
        <v>0</v>
      </c>
      <c r="KJ35" s="525" t="str">
        <f t="shared" si="103"/>
        <v>0</v>
      </c>
      <c r="KK35" s="523"/>
      <c r="KL35" s="525" t="str">
        <f t="shared" si="104"/>
        <v>0</v>
      </c>
      <c r="KM35" s="525" t="str">
        <f t="shared" si="105"/>
        <v>0</v>
      </c>
      <c r="KN35" s="523"/>
      <c r="KO35" s="525" t="str">
        <f t="shared" si="106"/>
        <v>0</v>
      </c>
      <c r="KP35" s="525" t="str">
        <f t="shared" si="107"/>
        <v>0</v>
      </c>
      <c r="KQ35" s="523"/>
      <c r="KR35" s="525" t="str">
        <f t="shared" si="108"/>
        <v>0</v>
      </c>
      <c r="KS35" s="525" t="str">
        <f t="shared" si="109"/>
        <v>0</v>
      </c>
      <c r="KT35" s="525">
        <f t="shared" si="201"/>
        <v>0</v>
      </c>
      <c r="KU35" s="525">
        <f t="shared" si="202"/>
        <v>0</v>
      </c>
      <c r="KV35" s="264">
        <f t="shared" si="198"/>
        <v>1633.574012113555</v>
      </c>
    </row>
    <row r="36" spans="1:16384" ht="15" customHeight="1">
      <c r="A36" s="266">
        <f t="shared" si="199"/>
        <v>45989</v>
      </c>
      <c r="B36" s="267" t="str">
        <f>+Report1!B36</f>
        <v>Toilet</v>
      </c>
      <c r="C36" s="267" t="str">
        <f>+Report1!C36</f>
        <v>13,5</v>
      </c>
      <c r="D36" s="268">
        <f>+Report1!P36</f>
        <v>54.042000000000002</v>
      </c>
      <c r="E36" s="269">
        <f>+Report1!R36</f>
        <v>55.177</v>
      </c>
      <c r="F36" s="523"/>
      <c r="G36" s="524">
        <f t="shared" si="0"/>
        <v>0</v>
      </c>
      <c r="H36" s="525">
        <f t="shared" si="110"/>
        <v>0</v>
      </c>
      <c r="I36" s="523"/>
      <c r="J36" s="524">
        <f t="shared" si="1"/>
        <v>0</v>
      </c>
      <c r="K36" s="525">
        <f t="shared" si="111"/>
        <v>0</v>
      </c>
      <c r="L36" s="523"/>
      <c r="M36" s="524">
        <f t="shared" si="2"/>
        <v>0</v>
      </c>
      <c r="N36" s="525">
        <f t="shared" si="112"/>
        <v>0</v>
      </c>
      <c r="O36" s="523">
        <v>3.0000000000000284</v>
      </c>
      <c r="P36" s="524">
        <f t="shared" si="3"/>
        <v>5.4370480453812792E-2</v>
      </c>
      <c r="Q36" s="525">
        <f t="shared" si="113"/>
        <v>0</v>
      </c>
      <c r="R36" s="523"/>
      <c r="S36" s="524">
        <f t="shared" si="4"/>
        <v>0</v>
      </c>
      <c r="T36" s="525">
        <f t="shared" si="114"/>
        <v>0</v>
      </c>
      <c r="U36" s="523">
        <v>5.1250000000000284</v>
      </c>
      <c r="V36" s="524">
        <f t="shared" si="5"/>
        <v>9.2882904108596495E-2</v>
      </c>
      <c r="W36" s="525">
        <f t="shared" si="115"/>
        <v>0</v>
      </c>
      <c r="X36" s="523"/>
      <c r="Y36" s="524">
        <f t="shared" si="6"/>
        <v>0</v>
      </c>
      <c r="Z36" s="525">
        <f t="shared" si="116"/>
        <v>0</v>
      </c>
      <c r="AA36" s="523"/>
      <c r="AB36" s="524">
        <f t="shared" si="7"/>
        <v>0</v>
      </c>
      <c r="AC36" s="525">
        <f t="shared" si="117"/>
        <v>0</v>
      </c>
      <c r="AD36" s="523"/>
      <c r="AE36" s="524">
        <f t="shared" si="8"/>
        <v>0</v>
      </c>
      <c r="AF36" s="525">
        <f t="shared" si="118"/>
        <v>0</v>
      </c>
      <c r="AG36" s="523"/>
      <c r="AH36" s="524">
        <f t="shared" si="9"/>
        <v>0</v>
      </c>
      <c r="AI36" s="525">
        <f t="shared" si="119"/>
        <v>0</v>
      </c>
      <c r="AJ36" s="523">
        <v>11.749999999999972</v>
      </c>
      <c r="AK36" s="524">
        <f t="shared" si="10"/>
        <v>0.21295104844409757</v>
      </c>
      <c r="AL36" s="525">
        <f t="shared" si="120"/>
        <v>0</v>
      </c>
      <c r="AM36" s="523"/>
      <c r="AN36" s="524">
        <f t="shared" si="11"/>
        <v>0</v>
      </c>
      <c r="AO36" s="525">
        <f t="shared" si="121"/>
        <v>0</v>
      </c>
      <c r="AP36" s="523"/>
      <c r="AQ36" s="524">
        <f t="shared" si="12"/>
        <v>0</v>
      </c>
      <c r="AR36" s="525">
        <f t="shared" si="122"/>
        <v>0</v>
      </c>
      <c r="AS36" s="523"/>
      <c r="AT36" s="524">
        <f t="shared" si="13"/>
        <v>0</v>
      </c>
      <c r="AU36" s="525">
        <f t="shared" si="123"/>
        <v>0</v>
      </c>
      <c r="AV36" s="523"/>
      <c r="AW36" s="524">
        <f t="shared" si="14"/>
        <v>0</v>
      </c>
      <c r="AX36" s="525">
        <f t="shared" si="124"/>
        <v>0</v>
      </c>
      <c r="AY36" s="523"/>
      <c r="AZ36" s="524">
        <f t="shared" si="15"/>
        <v>0</v>
      </c>
      <c r="BA36" s="525">
        <f t="shared" si="125"/>
        <v>0</v>
      </c>
      <c r="BB36" s="523"/>
      <c r="BC36" s="524">
        <f t="shared" si="16"/>
        <v>0</v>
      </c>
      <c r="BD36" s="525">
        <f t="shared" si="126"/>
        <v>0</v>
      </c>
      <c r="BE36" s="523"/>
      <c r="BF36" s="524">
        <f t="shared" si="17"/>
        <v>0</v>
      </c>
      <c r="BG36" s="525">
        <f t="shared" si="127"/>
        <v>0</v>
      </c>
      <c r="BH36" s="523"/>
      <c r="BI36" s="524">
        <f t="shared" si="18"/>
        <v>0</v>
      </c>
      <c r="BJ36" s="525">
        <f t="shared" si="128"/>
        <v>0</v>
      </c>
      <c r="BK36" s="523"/>
      <c r="BL36" s="524">
        <f t="shared" si="19"/>
        <v>0</v>
      </c>
      <c r="BM36" s="525">
        <f t="shared" si="129"/>
        <v>0</v>
      </c>
      <c r="BN36" s="523"/>
      <c r="BO36" s="524">
        <f t="shared" si="20"/>
        <v>0</v>
      </c>
      <c r="BP36" s="525">
        <f t="shared" si="130"/>
        <v>0</v>
      </c>
      <c r="BQ36" s="523"/>
      <c r="BR36" s="524">
        <f t="shared" si="21"/>
        <v>0</v>
      </c>
      <c r="BS36" s="525">
        <f t="shared" si="131"/>
        <v>0</v>
      </c>
      <c r="BT36" s="523"/>
      <c r="BU36" s="524">
        <f t="shared" si="22"/>
        <v>0</v>
      </c>
      <c r="BV36" s="525">
        <f t="shared" si="132"/>
        <v>0</v>
      </c>
      <c r="BW36" s="523"/>
      <c r="BX36" s="524">
        <f t="shared" si="23"/>
        <v>0</v>
      </c>
      <c r="BY36" s="525">
        <f t="shared" si="133"/>
        <v>0</v>
      </c>
      <c r="BZ36" s="523"/>
      <c r="CA36" s="524">
        <f t="shared" si="24"/>
        <v>0</v>
      </c>
      <c r="CB36" s="525">
        <f t="shared" si="134"/>
        <v>0</v>
      </c>
      <c r="CC36" s="523"/>
      <c r="CD36" s="524">
        <f t="shared" si="25"/>
        <v>0</v>
      </c>
      <c r="CE36" s="525">
        <f t="shared" si="135"/>
        <v>0</v>
      </c>
      <c r="CF36" s="523">
        <v>3.7000000000000028</v>
      </c>
      <c r="CG36" s="524">
        <f t="shared" si="26"/>
        <v>6.7056925893035191E-2</v>
      </c>
      <c r="CH36" s="525">
        <f t="shared" si="136"/>
        <v>0</v>
      </c>
      <c r="CI36" s="523"/>
      <c r="CJ36" s="524">
        <f t="shared" si="27"/>
        <v>0</v>
      </c>
      <c r="CK36" s="525">
        <f t="shared" si="137"/>
        <v>0</v>
      </c>
      <c r="CL36" s="523"/>
      <c r="CM36" s="524">
        <f t="shared" si="28"/>
        <v>0</v>
      </c>
      <c r="CN36" s="525">
        <f t="shared" si="138"/>
        <v>0</v>
      </c>
      <c r="CO36" s="523"/>
      <c r="CP36" s="524">
        <f t="shared" si="29"/>
        <v>0</v>
      </c>
      <c r="CQ36" s="525">
        <f t="shared" si="139"/>
        <v>0</v>
      </c>
      <c r="CR36" s="523"/>
      <c r="CS36" s="524">
        <f t="shared" si="30"/>
        <v>0</v>
      </c>
      <c r="CT36" s="525">
        <f t="shared" si="140"/>
        <v>0</v>
      </c>
      <c r="CU36" s="523"/>
      <c r="CV36" s="524">
        <f t="shared" si="31"/>
        <v>0</v>
      </c>
      <c r="CW36" s="525">
        <f t="shared" si="141"/>
        <v>0</v>
      </c>
      <c r="CX36" s="523"/>
      <c r="CY36" s="524">
        <f t="shared" si="32"/>
        <v>0</v>
      </c>
      <c r="CZ36" s="525">
        <f t="shared" si="142"/>
        <v>0</v>
      </c>
      <c r="DA36" s="523">
        <v>72.674418604651123</v>
      </c>
      <c r="DB36" s="524">
        <f t="shared" si="33"/>
        <v>1.3171143520787851</v>
      </c>
      <c r="DC36" s="525">
        <f t="shared" si="143"/>
        <v>0</v>
      </c>
      <c r="DD36" s="523"/>
      <c r="DE36" s="524">
        <f t="shared" si="34"/>
        <v>0</v>
      </c>
      <c r="DF36" s="525">
        <f t="shared" si="144"/>
        <v>0</v>
      </c>
      <c r="DG36" s="523"/>
      <c r="DH36" s="524">
        <f t="shared" si="35"/>
        <v>0</v>
      </c>
      <c r="DI36" s="525">
        <f t="shared" si="203"/>
        <v>0</v>
      </c>
      <c r="DJ36" s="523"/>
      <c r="DK36" s="524">
        <f t="shared" si="36"/>
        <v>0</v>
      </c>
      <c r="DL36" s="525">
        <f t="shared" si="145"/>
        <v>0</v>
      </c>
      <c r="DM36" s="523"/>
      <c r="DN36" s="524">
        <f t="shared" si="37"/>
        <v>0</v>
      </c>
      <c r="DO36" s="525">
        <f t="shared" si="146"/>
        <v>0</v>
      </c>
      <c r="DP36" s="523"/>
      <c r="DQ36" s="524">
        <f t="shared" si="38"/>
        <v>0</v>
      </c>
      <c r="DR36" s="525">
        <f t="shared" si="147"/>
        <v>0</v>
      </c>
      <c r="DS36" s="523"/>
      <c r="DT36" s="524">
        <f t="shared" si="39"/>
        <v>0</v>
      </c>
      <c r="DU36" s="525">
        <f t="shared" si="148"/>
        <v>0</v>
      </c>
      <c r="DV36" s="523"/>
      <c r="DW36" s="524">
        <f t="shared" si="40"/>
        <v>0</v>
      </c>
      <c r="DX36" s="525">
        <f t="shared" si="149"/>
        <v>0</v>
      </c>
      <c r="DY36" s="523"/>
      <c r="DZ36" s="524">
        <f t="shared" si="41"/>
        <v>0</v>
      </c>
      <c r="EA36" s="525">
        <f t="shared" si="150"/>
        <v>0</v>
      </c>
      <c r="EB36" s="523"/>
      <c r="EC36" s="524">
        <f t="shared" si="42"/>
        <v>0</v>
      </c>
      <c r="ED36" s="525">
        <f t="shared" si="151"/>
        <v>0</v>
      </c>
      <c r="EE36" s="523">
        <v>199.59999999999991</v>
      </c>
      <c r="EF36" s="524">
        <f t="shared" si="43"/>
        <v>3.6174492995269754</v>
      </c>
      <c r="EG36" s="525">
        <f t="shared" si="152"/>
        <v>0</v>
      </c>
      <c r="EH36" s="523">
        <v>1</v>
      </c>
      <c r="EI36" s="524">
        <f t="shared" si="44"/>
        <v>1.8123493484604094E-2</v>
      </c>
      <c r="EJ36" s="525">
        <f t="shared" si="153"/>
        <v>0</v>
      </c>
      <c r="EK36" s="523">
        <v>48.780487804878021</v>
      </c>
      <c r="EL36" s="524">
        <f t="shared" si="45"/>
        <v>0.88407285290751625</v>
      </c>
      <c r="EM36" s="525">
        <f t="shared" si="154"/>
        <v>0</v>
      </c>
      <c r="EN36" s="523">
        <v>49.418604651162809</v>
      </c>
      <c r="EO36" s="524">
        <f t="shared" si="46"/>
        <v>0.89563775941357471</v>
      </c>
      <c r="EP36" s="525">
        <f t="shared" si="155"/>
        <v>0</v>
      </c>
      <c r="EQ36" s="523"/>
      <c r="ER36" s="524">
        <f t="shared" si="47"/>
        <v>0</v>
      </c>
      <c r="ES36" s="525">
        <f t="shared" si="156"/>
        <v>0</v>
      </c>
      <c r="ET36" s="523"/>
      <c r="EU36" s="524">
        <f t="shared" si="48"/>
        <v>0</v>
      </c>
      <c r="EV36" s="525">
        <f t="shared" si="157"/>
        <v>0</v>
      </c>
      <c r="EW36" s="523"/>
      <c r="EX36" s="524">
        <f t="shared" si="49"/>
        <v>0</v>
      </c>
      <c r="EY36" s="525">
        <f t="shared" si="158"/>
        <v>0</v>
      </c>
      <c r="EZ36" s="523"/>
      <c r="FA36" s="524">
        <f t="shared" si="50"/>
        <v>0</v>
      </c>
      <c r="FB36" s="525">
        <f t="shared" si="159"/>
        <v>0</v>
      </c>
      <c r="FC36" s="523"/>
      <c r="FD36" s="524">
        <f t="shared" si="51"/>
        <v>0</v>
      </c>
      <c r="FE36" s="525">
        <f t="shared" si="160"/>
        <v>0</v>
      </c>
      <c r="FF36" s="523"/>
      <c r="FG36" s="524">
        <f t="shared" si="52"/>
        <v>0</v>
      </c>
      <c r="FH36" s="525">
        <f t="shared" si="161"/>
        <v>0</v>
      </c>
      <c r="FI36" s="523"/>
      <c r="FJ36" s="524">
        <f t="shared" si="53"/>
        <v>0</v>
      </c>
      <c r="FK36" s="525">
        <f t="shared" si="162"/>
        <v>0</v>
      </c>
      <c r="FL36" s="523"/>
      <c r="FM36" s="524">
        <f t="shared" si="54"/>
        <v>0</v>
      </c>
      <c r="FN36" s="525">
        <f t="shared" si="163"/>
        <v>0</v>
      </c>
      <c r="FO36" s="523"/>
      <c r="FP36" s="524">
        <f t="shared" si="55"/>
        <v>0</v>
      </c>
      <c r="FQ36" s="525">
        <f t="shared" si="164"/>
        <v>0</v>
      </c>
      <c r="FR36" s="523"/>
      <c r="FS36" s="524">
        <f t="shared" si="56"/>
        <v>0</v>
      </c>
      <c r="FT36" s="525">
        <f t="shared" si="165"/>
        <v>0</v>
      </c>
      <c r="FU36" s="523"/>
      <c r="FV36" s="524">
        <f t="shared" si="57"/>
        <v>0</v>
      </c>
      <c r="FW36" s="525">
        <f t="shared" si="166"/>
        <v>0</v>
      </c>
      <c r="FX36" s="523"/>
      <c r="FY36" s="524">
        <f t="shared" si="58"/>
        <v>0</v>
      </c>
      <c r="FZ36" s="525">
        <f t="shared" si="167"/>
        <v>0</v>
      </c>
      <c r="GA36" s="523"/>
      <c r="GB36" s="524">
        <f t="shared" si="168"/>
        <v>0</v>
      </c>
      <c r="GC36" s="525">
        <f t="shared" si="169"/>
        <v>0</v>
      </c>
      <c r="GD36" s="523"/>
      <c r="GE36" s="524">
        <f t="shared" si="59"/>
        <v>0</v>
      </c>
      <c r="GF36" s="525">
        <f t="shared" si="170"/>
        <v>0</v>
      </c>
      <c r="GG36" s="523">
        <v>14.752950569641634</v>
      </c>
      <c r="GH36" s="524">
        <f t="shared" si="171"/>
        <v>0.26737500352758636</v>
      </c>
      <c r="GI36" s="525">
        <f t="shared" si="172"/>
        <v>0</v>
      </c>
      <c r="GJ36" s="523">
        <v>14.752950569641634</v>
      </c>
      <c r="GK36" s="524">
        <f t="shared" si="252"/>
        <v>0.26737500352758636</v>
      </c>
      <c r="GL36" s="525">
        <f t="shared" si="253"/>
        <v>0</v>
      </c>
      <c r="GM36" s="523"/>
      <c r="GN36" s="524">
        <f t="shared" si="254"/>
        <v>0</v>
      </c>
      <c r="GO36" s="525">
        <f t="shared" si="255"/>
        <v>0</v>
      </c>
      <c r="GP36" s="523">
        <v>29.505901139283267</v>
      </c>
      <c r="GQ36" s="524">
        <f t="shared" si="256"/>
        <v>0.53475000705517273</v>
      </c>
      <c r="GR36" s="525">
        <f t="shared" si="257"/>
        <v>0</v>
      </c>
      <c r="GS36" s="523">
        <v>147.52950569641635</v>
      </c>
      <c r="GT36" s="524">
        <f t="shared" si="258"/>
        <v>2.6737500352758641</v>
      </c>
      <c r="GU36" s="525">
        <f t="shared" si="259"/>
        <v>0</v>
      </c>
      <c r="GV36" s="523">
        <v>24.588250949402724</v>
      </c>
      <c r="GW36" s="524">
        <f t="shared" si="260"/>
        <v>0.44562500587931064</v>
      </c>
      <c r="GX36" s="525">
        <f t="shared" si="261"/>
        <v>0</v>
      </c>
      <c r="GY36" s="523"/>
      <c r="GZ36" s="524">
        <f t="shared" si="65"/>
        <v>0</v>
      </c>
      <c r="HA36" s="525">
        <f t="shared" si="178"/>
        <v>0</v>
      </c>
      <c r="HB36" s="523"/>
      <c r="HC36" s="524">
        <f t="shared" si="66"/>
        <v>0</v>
      </c>
      <c r="HD36" s="525">
        <f t="shared" si="179"/>
        <v>0</v>
      </c>
      <c r="HE36" s="523"/>
      <c r="HF36" s="524">
        <f t="shared" si="67"/>
        <v>0</v>
      </c>
      <c r="HG36" s="525">
        <f t="shared" si="180"/>
        <v>0</v>
      </c>
      <c r="HH36" s="523"/>
      <c r="HI36" s="524">
        <f t="shared" si="68"/>
        <v>0</v>
      </c>
      <c r="HJ36" s="525">
        <f t="shared" si="181"/>
        <v>0</v>
      </c>
      <c r="HK36" s="523"/>
      <c r="HL36" s="524">
        <f t="shared" si="69"/>
        <v>0</v>
      </c>
      <c r="HM36" s="525">
        <f t="shared" si="182"/>
        <v>0</v>
      </c>
      <c r="HN36" s="523">
        <v>793.21697562773181</v>
      </c>
      <c r="HO36" s="524">
        <f t="shared" si="70"/>
        <v>14.37586268966656</v>
      </c>
      <c r="HP36" s="525">
        <f t="shared" si="183"/>
        <v>0</v>
      </c>
      <c r="HQ36" s="523"/>
      <c r="HR36" s="524">
        <f t="shared" si="71"/>
        <v>0</v>
      </c>
      <c r="HS36" s="525">
        <f t="shared" si="184"/>
        <v>0</v>
      </c>
      <c r="HT36" s="523"/>
      <c r="HU36" s="524">
        <f t="shared" si="72"/>
        <v>0</v>
      </c>
      <c r="HV36" s="525">
        <f t="shared" si="185"/>
        <v>0</v>
      </c>
      <c r="HW36" s="523"/>
      <c r="HX36" s="524">
        <f t="shared" si="73"/>
        <v>0</v>
      </c>
      <c r="HY36" s="525">
        <f t="shared" si="186"/>
        <v>0</v>
      </c>
      <c r="HZ36" s="523"/>
      <c r="IA36" s="524">
        <f t="shared" si="74"/>
        <v>0</v>
      </c>
      <c r="IB36" s="525">
        <f t="shared" si="200"/>
        <v>0</v>
      </c>
      <c r="IC36" s="523"/>
      <c r="ID36" s="524">
        <f t="shared" si="75"/>
        <v>0</v>
      </c>
      <c r="IE36" s="525">
        <f t="shared" si="187"/>
        <v>0</v>
      </c>
      <c r="IF36" s="523"/>
      <c r="IG36" s="524">
        <f t="shared" si="76"/>
        <v>0</v>
      </c>
      <c r="IH36" s="525">
        <f t="shared" si="188"/>
        <v>0</v>
      </c>
      <c r="II36" s="523">
        <v>22.12942585446245</v>
      </c>
      <c r="IJ36" s="524">
        <f t="shared" si="77"/>
        <v>0.40106250529137955</v>
      </c>
      <c r="IK36" s="525">
        <f t="shared" si="189"/>
        <v>0</v>
      </c>
      <c r="IL36" s="523"/>
      <c r="IM36" s="524">
        <f t="shared" si="78"/>
        <v>0</v>
      </c>
      <c r="IN36" s="525">
        <f t="shared" si="190"/>
        <v>0</v>
      </c>
      <c r="IO36" s="523"/>
      <c r="IP36" s="524">
        <f t="shared" si="79"/>
        <v>0</v>
      </c>
      <c r="IQ36" s="525">
        <f t="shared" si="191"/>
        <v>0</v>
      </c>
      <c r="IR36" s="523">
        <v>49.176501898805448</v>
      </c>
      <c r="IS36" s="524">
        <f t="shared" si="80"/>
        <v>0.89125001175862129</v>
      </c>
      <c r="IT36" s="525">
        <f t="shared" si="192"/>
        <v>0</v>
      </c>
      <c r="IU36" s="523"/>
      <c r="IV36" s="524">
        <f t="shared" si="81"/>
        <v>0</v>
      </c>
      <c r="IW36" s="525">
        <f t="shared" si="193"/>
        <v>0</v>
      </c>
      <c r="IX36" s="523"/>
      <c r="IY36" s="524">
        <f t="shared" si="82"/>
        <v>0</v>
      </c>
      <c r="IZ36" s="525">
        <f t="shared" si="194"/>
        <v>0</v>
      </c>
      <c r="JA36" s="523"/>
      <c r="JB36" s="524">
        <f t="shared" si="83"/>
        <v>0</v>
      </c>
      <c r="JC36" s="525">
        <f t="shared" si="195"/>
        <v>0</v>
      </c>
      <c r="JD36" s="523"/>
      <c r="JE36" s="524">
        <f t="shared" si="84"/>
        <v>0</v>
      </c>
      <c r="JF36" s="525">
        <f t="shared" si="196"/>
        <v>0</v>
      </c>
      <c r="JG36" s="523"/>
      <c r="JH36" s="524">
        <f t="shared" si="85"/>
        <v>0</v>
      </c>
      <c r="JI36" s="525">
        <f t="shared" si="197"/>
        <v>0</v>
      </c>
      <c r="JJ36" s="523">
        <v>24.588250949402724</v>
      </c>
      <c r="JK36" s="524">
        <f t="shared" si="86"/>
        <v>0.44562500587931064</v>
      </c>
      <c r="JL36" s="525" t="str">
        <f t="shared" si="87"/>
        <v>0</v>
      </c>
      <c r="JM36" s="523"/>
      <c r="JN36" s="524">
        <f t="shared" si="88"/>
        <v>0</v>
      </c>
      <c r="JO36" s="525" t="str">
        <f t="shared" si="89"/>
        <v>0</v>
      </c>
      <c r="JP36" s="523"/>
      <c r="JQ36" s="525" t="str">
        <f t="shared" si="90"/>
        <v>0</v>
      </c>
      <c r="JR36" s="525" t="str">
        <f t="shared" si="91"/>
        <v>0</v>
      </c>
      <c r="JS36" s="523"/>
      <c r="JT36" s="525" t="str">
        <f t="shared" si="92"/>
        <v>0</v>
      </c>
      <c r="JU36" s="525" t="str">
        <f t="shared" si="93"/>
        <v>0</v>
      </c>
      <c r="JV36" s="523"/>
      <c r="JW36" s="525" t="str">
        <f t="shared" si="94"/>
        <v>0</v>
      </c>
      <c r="JX36" s="525" t="str">
        <f t="shared" si="95"/>
        <v>0</v>
      </c>
      <c r="JY36" s="523"/>
      <c r="JZ36" s="525" t="str">
        <f t="shared" si="96"/>
        <v>0</v>
      </c>
      <c r="KA36" s="525" t="str">
        <f t="shared" si="97"/>
        <v>0</v>
      </c>
      <c r="KB36" s="523"/>
      <c r="KC36" s="525" t="str">
        <f t="shared" si="98"/>
        <v>0</v>
      </c>
      <c r="KD36" s="525" t="str">
        <f t="shared" si="99"/>
        <v>0</v>
      </c>
      <c r="KE36" s="523"/>
      <c r="KF36" s="525" t="str">
        <f t="shared" si="100"/>
        <v>0</v>
      </c>
      <c r="KG36" s="525" t="str">
        <f t="shared" si="101"/>
        <v>0</v>
      </c>
      <c r="KH36" s="523"/>
      <c r="KI36" s="525" t="str">
        <f t="shared" si="102"/>
        <v>0</v>
      </c>
      <c r="KJ36" s="525" t="str">
        <f t="shared" si="103"/>
        <v>0</v>
      </c>
      <c r="KK36" s="523"/>
      <c r="KL36" s="525" t="str">
        <f t="shared" si="104"/>
        <v>0</v>
      </c>
      <c r="KM36" s="525" t="str">
        <f t="shared" si="105"/>
        <v>0</v>
      </c>
      <c r="KN36" s="523"/>
      <c r="KO36" s="525" t="str">
        <f t="shared" si="106"/>
        <v>0</v>
      </c>
      <c r="KP36" s="525" t="str">
        <f t="shared" si="107"/>
        <v>0</v>
      </c>
      <c r="KQ36" s="523"/>
      <c r="KR36" s="525" t="str">
        <f t="shared" si="108"/>
        <v>0</v>
      </c>
      <c r="KS36" s="525" t="str">
        <f t="shared" si="109"/>
        <v>0</v>
      </c>
      <c r="KT36" s="525">
        <f t="shared" si="201"/>
        <v>0</v>
      </c>
      <c r="KU36" s="525">
        <f t="shared" si="202"/>
        <v>0</v>
      </c>
      <c r="KV36" s="264">
        <f t="shared" si="198"/>
        <v>1515.2892243154799</v>
      </c>
    </row>
    <row r="37" spans="1:16384" ht="15" customHeight="1">
      <c r="A37" s="266">
        <f t="shared" si="199"/>
        <v>45990</v>
      </c>
      <c r="B37" s="267" t="str">
        <f>+Report1!B37</f>
        <v>Toilet</v>
      </c>
      <c r="C37" s="267" t="str">
        <f>+Report1!C37</f>
        <v>13,5</v>
      </c>
      <c r="D37" s="268">
        <f>+Report1!P37</f>
        <v>53.959000000000003</v>
      </c>
      <c r="E37" s="269">
        <f>+Report1!R37</f>
        <v>50.954999999999998</v>
      </c>
      <c r="F37" s="523"/>
      <c r="G37" s="524">
        <f t="shared" si="0"/>
        <v>0</v>
      </c>
      <c r="H37" s="525">
        <f t="shared" si="110"/>
        <v>0</v>
      </c>
      <c r="I37" s="523"/>
      <c r="J37" s="524">
        <f t="shared" si="1"/>
        <v>0</v>
      </c>
      <c r="K37" s="525">
        <f t="shared" si="111"/>
        <v>0</v>
      </c>
      <c r="L37" s="523"/>
      <c r="M37" s="524">
        <f t="shared" si="2"/>
        <v>0</v>
      </c>
      <c r="N37" s="525">
        <f t="shared" si="112"/>
        <v>0</v>
      </c>
      <c r="O37" s="523">
        <v>1.5375999999999976</v>
      </c>
      <c r="P37" s="524">
        <f t="shared" si="3"/>
        <v>3.017564517711702E-2</v>
      </c>
      <c r="Q37" s="525">
        <f t="shared" si="113"/>
        <v>0</v>
      </c>
      <c r="R37" s="523"/>
      <c r="S37" s="524">
        <f t="shared" si="4"/>
        <v>0</v>
      </c>
      <c r="T37" s="525">
        <f t="shared" si="114"/>
        <v>0</v>
      </c>
      <c r="U37" s="523">
        <v>2.6306000000000154</v>
      </c>
      <c r="V37" s="524">
        <f t="shared" si="5"/>
        <v>5.1625944460799045E-2</v>
      </c>
      <c r="W37" s="525">
        <f t="shared" si="115"/>
        <v>0</v>
      </c>
      <c r="X37" s="523"/>
      <c r="Y37" s="524">
        <f t="shared" si="6"/>
        <v>0</v>
      </c>
      <c r="Z37" s="525">
        <f t="shared" si="116"/>
        <v>0</v>
      </c>
      <c r="AA37" s="523"/>
      <c r="AB37" s="524">
        <f t="shared" si="7"/>
        <v>0</v>
      </c>
      <c r="AC37" s="525">
        <f t="shared" si="117"/>
        <v>0</v>
      </c>
      <c r="AD37" s="523"/>
      <c r="AE37" s="524">
        <f t="shared" si="8"/>
        <v>0</v>
      </c>
      <c r="AF37" s="525">
        <f t="shared" si="118"/>
        <v>0</v>
      </c>
      <c r="AG37" s="523"/>
      <c r="AH37" s="524">
        <f t="shared" si="9"/>
        <v>0</v>
      </c>
      <c r="AI37" s="525">
        <f t="shared" si="119"/>
        <v>0</v>
      </c>
      <c r="AJ37" s="523">
        <v>30.217300000000023</v>
      </c>
      <c r="AK37" s="524">
        <f t="shared" si="10"/>
        <v>0.59301933078206304</v>
      </c>
      <c r="AL37" s="525">
        <f t="shared" si="120"/>
        <v>0</v>
      </c>
      <c r="AM37" s="523"/>
      <c r="AN37" s="524">
        <f t="shared" si="11"/>
        <v>0</v>
      </c>
      <c r="AO37" s="525">
        <f t="shared" si="121"/>
        <v>0</v>
      </c>
      <c r="AP37" s="523"/>
      <c r="AQ37" s="524">
        <f t="shared" si="12"/>
        <v>0</v>
      </c>
      <c r="AR37" s="525">
        <f t="shared" si="122"/>
        <v>0</v>
      </c>
      <c r="AS37" s="523"/>
      <c r="AT37" s="524">
        <f t="shared" si="13"/>
        <v>0</v>
      </c>
      <c r="AU37" s="525">
        <f t="shared" si="123"/>
        <v>0</v>
      </c>
      <c r="AV37" s="523"/>
      <c r="AW37" s="524">
        <f t="shared" si="14"/>
        <v>0</v>
      </c>
      <c r="AX37" s="525">
        <f t="shared" si="124"/>
        <v>0</v>
      </c>
      <c r="AY37" s="523"/>
      <c r="AZ37" s="524">
        <f t="shared" si="15"/>
        <v>0</v>
      </c>
      <c r="BA37" s="525">
        <f t="shared" si="125"/>
        <v>0</v>
      </c>
      <c r="BB37" s="523"/>
      <c r="BC37" s="524">
        <f t="shared" si="16"/>
        <v>0</v>
      </c>
      <c r="BD37" s="525">
        <f t="shared" si="126"/>
        <v>0</v>
      </c>
      <c r="BE37" s="523"/>
      <c r="BF37" s="524">
        <f t="shared" si="17"/>
        <v>0</v>
      </c>
      <c r="BG37" s="525">
        <f t="shared" si="127"/>
        <v>0</v>
      </c>
      <c r="BH37" s="523"/>
      <c r="BI37" s="524">
        <f t="shared" si="18"/>
        <v>0</v>
      </c>
      <c r="BJ37" s="525">
        <f t="shared" si="128"/>
        <v>0</v>
      </c>
      <c r="BK37" s="523"/>
      <c r="BL37" s="524">
        <f t="shared" si="19"/>
        <v>0</v>
      </c>
      <c r="BM37" s="525">
        <f t="shared" si="129"/>
        <v>0</v>
      </c>
      <c r="BN37" s="523"/>
      <c r="BO37" s="524">
        <f t="shared" si="20"/>
        <v>0</v>
      </c>
      <c r="BP37" s="525">
        <f t="shared" si="130"/>
        <v>0</v>
      </c>
      <c r="BQ37" s="523"/>
      <c r="BR37" s="524">
        <f t="shared" si="21"/>
        <v>0</v>
      </c>
      <c r="BS37" s="525">
        <f t="shared" si="131"/>
        <v>0</v>
      </c>
      <c r="BT37" s="523"/>
      <c r="BU37" s="524">
        <f t="shared" si="22"/>
        <v>0</v>
      </c>
      <c r="BV37" s="525">
        <f t="shared" si="132"/>
        <v>0</v>
      </c>
      <c r="BW37" s="523"/>
      <c r="BX37" s="524">
        <f t="shared" si="23"/>
        <v>0</v>
      </c>
      <c r="BY37" s="525">
        <f t="shared" si="133"/>
        <v>0</v>
      </c>
      <c r="BZ37" s="523"/>
      <c r="CA37" s="524">
        <f t="shared" si="24"/>
        <v>0</v>
      </c>
      <c r="CB37" s="525">
        <f t="shared" si="134"/>
        <v>0</v>
      </c>
      <c r="CC37" s="523"/>
      <c r="CD37" s="524">
        <f t="shared" si="25"/>
        <v>0</v>
      </c>
      <c r="CE37" s="525">
        <f t="shared" si="135"/>
        <v>0</v>
      </c>
      <c r="CF37" s="523">
        <v>7.5</v>
      </c>
      <c r="CG37" s="524">
        <f t="shared" si="26"/>
        <v>0.14718869590815425</v>
      </c>
      <c r="CH37" s="525">
        <f t="shared" si="136"/>
        <v>0</v>
      </c>
      <c r="CI37" s="523"/>
      <c r="CJ37" s="524">
        <f t="shared" si="27"/>
        <v>0</v>
      </c>
      <c r="CK37" s="525">
        <f t="shared" si="137"/>
        <v>0</v>
      </c>
      <c r="CL37" s="523"/>
      <c r="CM37" s="524">
        <f t="shared" si="28"/>
        <v>0</v>
      </c>
      <c r="CN37" s="525">
        <f t="shared" si="138"/>
        <v>0</v>
      </c>
      <c r="CO37" s="523"/>
      <c r="CP37" s="524">
        <f t="shared" si="29"/>
        <v>0</v>
      </c>
      <c r="CQ37" s="525">
        <f t="shared" si="139"/>
        <v>0</v>
      </c>
      <c r="CR37" s="523"/>
      <c r="CS37" s="524">
        <f t="shared" si="30"/>
        <v>0</v>
      </c>
      <c r="CT37" s="525">
        <f t="shared" si="140"/>
        <v>0</v>
      </c>
      <c r="CU37" s="523"/>
      <c r="CV37" s="524">
        <f t="shared" si="31"/>
        <v>0</v>
      </c>
      <c r="CW37" s="525">
        <f t="shared" si="141"/>
        <v>0</v>
      </c>
      <c r="CX37" s="523"/>
      <c r="CY37" s="524">
        <f t="shared" si="32"/>
        <v>0</v>
      </c>
      <c r="CZ37" s="525">
        <f t="shared" si="142"/>
        <v>0</v>
      </c>
      <c r="DA37" s="523">
        <v>171.96548837209309</v>
      </c>
      <c r="DB37" s="524">
        <f t="shared" si="33"/>
        <v>3.3748501299596327</v>
      </c>
      <c r="DC37" s="525">
        <f t="shared" si="143"/>
        <v>0</v>
      </c>
      <c r="DD37" s="523"/>
      <c r="DE37" s="524">
        <f t="shared" si="34"/>
        <v>0</v>
      </c>
      <c r="DF37" s="525">
        <f t="shared" si="144"/>
        <v>0</v>
      </c>
      <c r="DG37" s="523"/>
      <c r="DH37" s="524">
        <f t="shared" si="35"/>
        <v>0</v>
      </c>
      <c r="DI37" s="525">
        <f t="shared" si="203"/>
        <v>0</v>
      </c>
      <c r="DJ37" s="523"/>
      <c r="DK37" s="524">
        <f t="shared" si="36"/>
        <v>0</v>
      </c>
      <c r="DL37" s="525">
        <f t="shared" si="145"/>
        <v>0</v>
      </c>
      <c r="DM37" s="523"/>
      <c r="DN37" s="524">
        <f t="shared" si="37"/>
        <v>0</v>
      </c>
      <c r="DO37" s="525">
        <f t="shared" si="146"/>
        <v>0</v>
      </c>
      <c r="DP37" s="523"/>
      <c r="DQ37" s="524">
        <f t="shared" si="38"/>
        <v>0</v>
      </c>
      <c r="DR37" s="525">
        <f t="shared" si="147"/>
        <v>0</v>
      </c>
      <c r="DS37" s="523"/>
      <c r="DT37" s="524">
        <f t="shared" si="39"/>
        <v>0</v>
      </c>
      <c r="DU37" s="525">
        <f t="shared" si="148"/>
        <v>0</v>
      </c>
      <c r="DV37" s="523"/>
      <c r="DW37" s="524">
        <f t="shared" si="40"/>
        <v>0</v>
      </c>
      <c r="DX37" s="525">
        <f t="shared" si="149"/>
        <v>0</v>
      </c>
      <c r="DY37" s="523"/>
      <c r="DZ37" s="524">
        <f t="shared" si="41"/>
        <v>0</v>
      </c>
      <c r="EA37" s="525">
        <f t="shared" si="150"/>
        <v>0</v>
      </c>
      <c r="EB37" s="523"/>
      <c r="EC37" s="524">
        <f t="shared" si="42"/>
        <v>0</v>
      </c>
      <c r="ED37" s="525">
        <f t="shared" si="151"/>
        <v>0</v>
      </c>
      <c r="EE37" s="523">
        <v>217.43705882352924</v>
      </c>
      <c r="EF37" s="524">
        <f t="shared" si="43"/>
        <v>4.2672369507119861</v>
      </c>
      <c r="EG37" s="525">
        <f t="shared" si="152"/>
        <v>0</v>
      </c>
      <c r="EH37" s="523">
        <v>1</v>
      </c>
      <c r="EI37" s="524">
        <f t="shared" si="44"/>
        <v>1.9625159454420567E-2</v>
      </c>
      <c r="EJ37" s="525">
        <f t="shared" si="153"/>
        <v>0</v>
      </c>
      <c r="EK37" s="523">
        <v>37.636857682926802</v>
      </c>
      <c r="EL37" s="524">
        <f t="shared" si="45"/>
        <v>0.7386293333907723</v>
      </c>
      <c r="EM37" s="525">
        <f t="shared" si="154"/>
        <v>0</v>
      </c>
      <c r="EN37" s="523">
        <v>66.099162790697619</v>
      </c>
      <c r="EO37" s="524">
        <f t="shared" si="46"/>
        <v>1.2972066095711436</v>
      </c>
      <c r="EP37" s="525">
        <f t="shared" si="155"/>
        <v>0</v>
      </c>
      <c r="EQ37" s="523"/>
      <c r="ER37" s="524">
        <f t="shared" si="47"/>
        <v>0</v>
      </c>
      <c r="ES37" s="525">
        <f t="shared" si="156"/>
        <v>0</v>
      </c>
      <c r="ET37" s="523"/>
      <c r="EU37" s="524">
        <f t="shared" si="48"/>
        <v>0</v>
      </c>
      <c r="EV37" s="525">
        <f t="shared" si="157"/>
        <v>0</v>
      </c>
      <c r="EW37" s="523"/>
      <c r="EX37" s="524">
        <f t="shared" si="49"/>
        <v>0</v>
      </c>
      <c r="EY37" s="525">
        <f t="shared" si="158"/>
        <v>0</v>
      </c>
      <c r="EZ37" s="523"/>
      <c r="FA37" s="524">
        <f t="shared" si="50"/>
        <v>0</v>
      </c>
      <c r="FB37" s="525">
        <f t="shared" si="159"/>
        <v>0</v>
      </c>
      <c r="FC37" s="523"/>
      <c r="FD37" s="524">
        <f t="shared" si="51"/>
        <v>0</v>
      </c>
      <c r="FE37" s="525">
        <f t="shared" si="160"/>
        <v>0</v>
      </c>
      <c r="FF37" s="523"/>
      <c r="FG37" s="524">
        <f t="shared" si="52"/>
        <v>0</v>
      </c>
      <c r="FH37" s="525">
        <f t="shared" si="161"/>
        <v>0</v>
      </c>
      <c r="FI37" s="523"/>
      <c r="FJ37" s="524">
        <f t="shared" si="53"/>
        <v>0</v>
      </c>
      <c r="FK37" s="525">
        <f t="shared" si="162"/>
        <v>0</v>
      </c>
      <c r="FL37" s="523"/>
      <c r="FM37" s="524">
        <f t="shared" si="54"/>
        <v>0</v>
      </c>
      <c r="FN37" s="525">
        <f t="shared" si="163"/>
        <v>0</v>
      </c>
      <c r="FO37" s="523"/>
      <c r="FP37" s="524">
        <f t="shared" si="55"/>
        <v>0</v>
      </c>
      <c r="FQ37" s="525">
        <f t="shared" si="164"/>
        <v>0</v>
      </c>
      <c r="FR37" s="523"/>
      <c r="FS37" s="524">
        <f t="shared" si="56"/>
        <v>0</v>
      </c>
      <c r="FT37" s="525">
        <f t="shared" si="165"/>
        <v>0</v>
      </c>
      <c r="FU37" s="523"/>
      <c r="FV37" s="524">
        <f t="shared" si="57"/>
        <v>0</v>
      </c>
      <c r="FW37" s="525">
        <f t="shared" si="166"/>
        <v>0</v>
      </c>
      <c r="FX37" s="523"/>
      <c r="FY37" s="524">
        <f t="shared" si="58"/>
        <v>0</v>
      </c>
      <c r="FZ37" s="525">
        <f t="shared" si="167"/>
        <v>0</v>
      </c>
      <c r="GA37" s="523"/>
      <c r="GB37" s="524">
        <f t="shared" si="168"/>
        <v>0</v>
      </c>
      <c r="GC37" s="525">
        <f t="shared" si="169"/>
        <v>0</v>
      </c>
      <c r="GD37" s="523"/>
      <c r="GE37" s="524">
        <f t="shared" si="59"/>
        <v>0</v>
      </c>
      <c r="GF37" s="525">
        <f t="shared" si="170"/>
        <v>0</v>
      </c>
      <c r="GG37" s="523">
        <v>12.854849007518654</v>
      </c>
      <c r="GH37" s="524">
        <f t="shared" si="171"/>
        <v>0.25227846153505357</v>
      </c>
      <c r="GI37" s="525">
        <f t="shared" si="172"/>
        <v>0</v>
      </c>
      <c r="GJ37" s="523">
        <v>10.283879206014923</v>
      </c>
      <c r="GK37" s="524">
        <f t="shared" si="252"/>
        <v>0.20182276922804285</v>
      </c>
      <c r="GL37" s="525">
        <f t="shared" si="253"/>
        <v>0</v>
      </c>
      <c r="GM37" s="523"/>
      <c r="GN37" s="524">
        <f t="shared" si="254"/>
        <v>0</v>
      </c>
      <c r="GO37" s="525">
        <f t="shared" si="255"/>
        <v>0</v>
      </c>
      <c r="GP37" s="523">
        <v>28.28066781654104</v>
      </c>
      <c r="GQ37" s="524">
        <f t="shared" si="256"/>
        <v>0.55501261537711788</v>
      </c>
      <c r="GR37" s="525">
        <f t="shared" si="257"/>
        <v>0</v>
      </c>
      <c r="GS37" s="523">
        <v>159.4001276932313</v>
      </c>
      <c r="GT37" s="524">
        <f t="shared" si="258"/>
        <v>3.1282529230346641</v>
      </c>
      <c r="GU37" s="525">
        <f t="shared" si="259"/>
        <v>0</v>
      </c>
      <c r="GV37" s="523">
        <v>25.709698015037308</v>
      </c>
      <c r="GW37" s="524">
        <f t="shared" si="260"/>
        <v>0.50455692307010713</v>
      </c>
      <c r="GX37" s="525">
        <f t="shared" si="261"/>
        <v>0</v>
      </c>
      <c r="GY37" s="523"/>
      <c r="GZ37" s="524">
        <f t="shared" si="65"/>
        <v>0</v>
      </c>
      <c r="HA37" s="525">
        <f t="shared" si="178"/>
        <v>0</v>
      </c>
      <c r="HB37" s="523"/>
      <c r="HC37" s="524">
        <f t="shared" si="66"/>
        <v>0</v>
      </c>
      <c r="HD37" s="525">
        <f t="shared" si="179"/>
        <v>0</v>
      </c>
      <c r="HE37" s="523"/>
      <c r="HF37" s="524">
        <f t="shared" si="67"/>
        <v>0</v>
      </c>
      <c r="HG37" s="525">
        <f t="shared" si="180"/>
        <v>0</v>
      </c>
      <c r="HH37" s="523"/>
      <c r="HI37" s="524">
        <f t="shared" si="68"/>
        <v>0</v>
      </c>
      <c r="HJ37" s="525">
        <f t="shared" si="181"/>
        <v>0</v>
      </c>
      <c r="HK37" s="523"/>
      <c r="HL37" s="524">
        <f t="shared" si="69"/>
        <v>0</v>
      </c>
      <c r="HM37" s="525">
        <f t="shared" si="182"/>
        <v>0</v>
      </c>
      <c r="HN37" s="523">
        <v>726.55606590495427</v>
      </c>
      <c r="HO37" s="524">
        <f t="shared" si="70"/>
        <v>14.258778645961227</v>
      </c>
      <c r="HP37" s="525">
        <f t="shared" si="183"/>
        <v>0</v>
      </c>
      <c r="HQ37" s="523"/>
      <c r="HR37" s="524">
        <f t="shared" si="71"/>
        <v>0</v>
      </c>
      <c r="HS37" s="525">
        <f t="shared" si="184"/>
        <v>0</v>
      </c>
      <c r="HT37" s="523"/>
      <c r="HU37" s="524">
        <f t="shared" si="72"/>
        <v>0</v>
      </c>
      <c r="HV37" s="525">
        <f t="shared" si="185"/>
        <v>0</v>
      </c>
      <c r="HW37" s="523"/>
      <c r="HX37" s="524">
        <f t="shared" si="73"/>
        <v>0</v>
      </c>
      <c r="HY37" s="525">
        <f t="shared" si="186"/>
        <v>0</v>
      </c>
      <c r="HZ37" s="523"/>
      <c r="IA37" s="524">
        <f t="shared" si="74"/>
        <v>0</v>
      </c>
      <c r="IB37" s="525">
        <f t="shared" si="200"/>
        <v>0</v>
      </c>
      <c r="IC37" s="523"/>
      <c r="ID37" s="524">
        <f t="shared" si="75"/>
        <v>0</v>
      </c>
      <c r="IE37" s="525">
        <f t="shared" si="187"/>
        <v>0</v>
      </c>
      <c r="IF37" s="523"/>
      <c r="IG37" s="524">
        <f t="shared" si="76"/>
        <v>0</v>
      </c>
      <c r="IH37" s="525">
        <f t="shared" si="188"/>
        <v>0</v>
      </c>
      <c r="II37" s="523">
        <v>43.706486625563421</v>
      </c>
      <c r="IJ37" s="524">
        <f t="shared" si="77"/>
        <v>0.85774676921918203</v>
      </c>
      <c r="IK37" s="525">
        <f t="shared" si="189"/>
        <v>0</v>
      </c>
      <c r="IL37" s="523"/>
      <c r="IM37" s="524">
        <f t="shared" si="78"/>
        <v>0</v>
      </c>
      <c r="IN37" s="525">
        <f t="shared" si="190"/>
        <v>0</v>
      </c>
      <c r="IO37" s="523"/>
      <c r="IP37" s="524">
        <f t="shared" si="79"/>
        <v>0</v>
      </c>
      <c r="IQ37" s="525">
        <f t="shared" si="191"/>
        <v>0</v>
      </c>
      <c r="IR37" s="523">
        <v>51.419396030074616</v>
      </c>
      <c r="IS37" s="524">
        <f t="shared" si="80"/>
        <v>1.0091138461402143</v>
      </c>
      <c r="IT37" s="525">
        <f t="shared" si="192"/>
        <v>0</v>
      </c>
      <c r="IU37" s="523"/>
      <c r="IV37" s="524">
        <f t="shared" si="81"/>
        <v>0</v>
      </c>
      <c r="IW37" s="525">
        <f t="shared" si="193"/>
        <v>0</v>
      </c>
      <c r="IX37" s="523"/>
      <c r="IY37" s="524">
        <f t="shared" si="82"/>
        <v>0</v>
      </c>
      <c r="IZ37" s="525">
        <f t="shared" si="194"/>
        <v>0</v>
      </c>
      <c r="JA37" s="523"/>
      <c r="JB37" s="524">
        <f t="shared" si="83"/>
        <v>0</v>
      </c>
      <c r="JC37" s="525">
        <f t="shared" si="195"/>
        <v>0</v>
      </c>
      <c r="JD37" s="523"/>
      <c r="JE37" s="524">
        <f t="shared" si="84"/>
        <v>0</v>
      </c>
      <c r="JF37" s="525">
        <f t="shared" si="196"/>
        <v>0</v>
      </c>
      <c r="JG37" s="523"/>
      <c r="JH37" s="524">
        <f t="shared" si="85"/>
        <v>0</v>
      </c>
      <c r="JI37" s="525">
        <f t="shared" si="197"/>
        <v>0</v>
      </c>
      <c r="JJ37" s="523">
        <v>23.138728213533575</v>
      </c>
      <c r="JK37" s="524">
        <f t="shared" si="86"/>
        <v>0.45410123076309639</v>
      </c>
      <c r="JL37" s="525" t="str">
        <f t="shared" si="87"/>
        <v>0</v>
      </c>
      <c r="JM37" s="523"/>
      <c r="JN37" s="524">
        <f t="shared" si="88"/>
        <v>0</v>
      </c>
      <c r="JO37" s="525" t="str">
        <f t="shared" si="89"/>
        <v>0</v>
      </c>
      <c r="JP37" s="523"/>
      <c r="JQ37" s="525" t="str">
        <f t="shared" si="90"/>
        <v>0</v>
      </c>
      <c r="JR37" s="525" t="str">
        <f t="shared" si="91"/>
        <v>0</v>
      </c>
      <c r="JS37" s="523"/>
      <c r="JT37" s="525" t="str">
        <f t="shared" si="92"/>
        <v>0</v>
      </c>
      <c r="JU37" s="525" t="str">
        <f t="shared" si="93"/>
        <v>0</v>
      </c>
      <c r="JV37" s="523"/>
      <c r="JW37" s="525" t="str">
        <f t="shared" si="94"/>
        <v>0</v>
      </c>
      <c r="JX37" s="525" t="str">
        <f t="shared" si="95"/>
        <v>0</v>
      </c>
      <c r="JY37" s="523"/>
      <c r="JZ37" s="525" t="str">
        <f t="shared" si="96"/>
        <v>0</v>
      </c>
      <c r="KA37" s="525" t="str">
        <f t="shared" si="97"/>
        <v>0</v>
      </c>
      <c r="KB37" s="523"/>
      <c r="KC37" s="525" t="str">
        <f t="shared" si="98"/>
        <v>0</v>
      </c>
      <c r="KD37" s="525" t="str">
        <f t="shared" si="99"/>
        <v>0</v>
      </c>
      <c r="KE37" s="523"/>
      <c r="KF37" s="525" t="str">
        <f t="shared" si="100"/>
        <v>0</v>
      </c>
      <c r="KG37" s="525" t="str">
        <f t="shared" si="101"/>
        <v>0</v>
      </c>
      <c r="KH37" s="523"/>
      <c r="KI37" s="525" t="str">
        <f t="shared" si="102"/>
        <v>0</v>
      </c>
      <c r="KJ37" s="525" t="str">
        <f t="shared" si="103"/>
        <v>0</v>
      </c>
      <c r="KK37" s="523"/>
      <c r="KL37" s="525" t="str">
        <f t="shared" si="104"/>
        <v>0</v>
      </c>
      <c r="KM37" s="525" t="str">
        <f t="shared" si="105"/>
        <v>0</v>
      </c>
      <c r="KN37" s="523"/>
      <c r="KO37" s="525" t="str">
        <f t="shared" si="106"/>
        <v>0</v>
      </c>
      <c r="KP37" s="525" t="str">
        <f t="shared" si="107"/>
        <v>0</v>
      </c>
      <c r="KQ37" s="523"/>
      <c r="KR37" s="525" t="str">
        <f t="shared" si="108"/>
        <v>0</v>
      </c>
      <c r="KS37" s="525" t="str">
        <f t="shared" si="109"/>
        <v>0</v>
      </c>
      <c r="KT37" s="525">
        <f t="shared" si="201"/>
        <v>0</v>
      </c>
      <c r="KU37" s="525">
        <f t="shared" si="202"/>
        <v>0</v>
      </c>
      <c r="KV37" s="264">
        <f t="shared" si="198"/>
        <v>1617.373966181716</v>
      </c>
    </row>
    <row r="38" spans="1:16384" ht="15" customHeight="1">
      <c r="A38" s="266">
        <f t="shared" si="199"/>
        <v>45991</v>
      </c>
      <c r="B38" s="267" t="str">
        <f>+Report1!B38</f>
        <v>Toilet</v>
      </c>
      <c r="C38" s="267" t="str">
        <f>+Report1!C38</f>
        <v>13,5/14</v>
      </c>
      <c r="D38" s="268">
        <f>+Report1!P38</f>
        <v>50.936999999999998</v>
      </c>
      <c r="E38" s="269">
        <f>+Report1!R38</f>
        <v>49.741</v>
      </c>
      <c r="F38" s="523"/>
      <c r="G38" s="524">
        <f t="shared" si="0"/>
        <v>0</v>
      </c>
      <c r="H38" s="525">
        <f t="shared" si="110"/>
        <v>0</v>
      </c>
      <c r="I38" s="523"/>
      <c r="J38" s="524">
        <f t="shared" si="1"/>
        <v>0</v>
      </c>
      <c r="K38" s="525">
        <f t="shared" si="111"/>
        <v>0</v>
      </c>
      <c r="L38" s="523"/>
      <c r="M38" s="524">
        <f t="shared" si="2"/>
        <v>0</v>
      </c>
      <c r="N38" s="525">
        <f t="shared" si="112"/>
        <v>0</v>
      </c>
      <c r="O38" s="523">
        <v>1.4616000000000042</v>
      </c>
      <c r="P38" s="524">
        <f t="shared" si="3"/>
        <v>2.9384210208882093E-2</v>
      </c>
      <c r="Q38" s="525">
        <f t="shared" si="113"/>
        <v>0</v>
      </c>
      <c r="R38" s="523"/>
      <c r="S38" s="524">
        <f t="shared" si="4"/>
        <v>0</v>
      </c>
      <c r="T38" s="525">
        <f t="shared" si="114"/>
        <v>0</v>
      </c>
      <c r="U38" s="523">
        <v>2.4925999999999817</v>
      </c>
      <c r="V38" s="524">
        <f t="shared" si="5"/>
        <v>5.0111577973904461E-2</v>
      </c>
      <c r="W38" s="525">
        <f t="shared" si="115"/>
        <v>0</v>
      </c>
      <c r="X38" s="523"/>
      <c r="Y38" s="524">
        <f t="shared" si="6"/>
        <v>0</v>
      </c>
      <c r="Z38" s="525">
        <f t="shared" si="116"/>
        <v>0</v>
      </c>
      <c r="AA38" s="523"/>
      <c r="AB38" s="524">
        <f t="shared" si="7"/>
        <v>0</v>
      </c>
      <c r="AC38" s="525">
        <f t="shared" si="117"/>
        <v>0</v>
      </c>
      <c r="AD38" s="523"/>
      <c r="AE38" s="524">
        <f t="shared" si="8"/>
        <v>0</v>
      </c>
      <c r="AF38" s="525">
        <f t="shared" si="118"/>
        <v>0</v>
      </c>
      <c r="AG38" s="523"/>
      <c r="AH38" s="524">
        <f t="shared" si="9"/>
        <v>0</v>
      </c>
      <c r="AI38" s="525">
        <f t="shared" si="119"/>
        <v>0</v>
      </c>
      <c r="AJ38" s="523">
        <v>28.536000000000001</v>
      </c>
      <c r="AK38" s="524">
        <f t="shared" si="10"/>
        <v>0.57369172312579164</v>
      </c>
      <c r="AL38" s="525">
        <f t="shared" si="120"/>
        <v>0</v>
      </c>
      <c r="AM38" s="523"/>
      <c r="AN38" s="524">
        <f t="shared" si="11"/>
        <v>0</v>
      </c>
      <c r="AO38" s="525">
        <f t="shared" si="121"/>
        <v>0</v>
      </c>
      <c r="AP38" s="523"/>
      <c r="AQ38" s="524">
        <f t="shared" si="12"/>
        <v>0</v>
      </c>
      <c r="AR38" s="525">
        <f t="shared" si="122"/>
        <v>0</v>
      </c>
      <c r="AS38" s="523"/>
      <c r="AT38" s="524">
        <f t="shared" si="13"/>
        <v>0</v>
      </c>
      <c r="AU38" s="525">
        <f t="shared" si="123"/>
        <v>0</v>
      </c>
      <c r="AV38" s="523"/>
      <c r="AW38" s="524">
        <f t="shared" si="14"/>
        <v>0</v>
      </c>
      <c r="AX38" s="525">
        <f t="shared" si="124"/>
        <v>0</v>
      </c>
      <c r="AY38" s="523"/>
      <c r="AZ38" s="524">
        <f t="shared" si="15"/>
        <v>0</v>
      </c>
      <c r="BA38" s="525">
        <f t="shared" si="125"/>
        <v>0</v>
      </c>
      <c r="BB38" s="523"/>
      <c r="BC38" s="524">
        <f t="shared" si="16"/>
        <v>0</v>
      </c>
      <c r="BD38" s="525">
        <f t="shared" si="126"/>
        <v>0</v>
      </c>
      <c r="BE38" s="523"/>
      <c r="BF38" s="524">
        <f t="shared" si="17"/>
        <v>0</v>
      </c>
      <c r="BG38" s="525">
        <f t="shared" si="127"/>
        <v>0</v>
      </c>
      <c r="BH38" s="523"/>
      <c r="BI38" s="524">
        <f t="shared" si="18"/>
        <v>0</v>
      </c>
      <c r="BJ38" s="525">
        <f t="shared" si="128"/>
        <v>0</v>
      </c>
      <c r="BK38" s="523"/>
      <c r="BL38" s="524">
        <f t="shared" si="19"/>
        <v>0</v>
      </c>
      <c r="BM38" s="525">
        <f t="shared" si="129"/>
        <v>0</v>
      </c>
      <c r="BN38" s="523"/>
      <c r="BO38" s="524">
        <f t="shared" si="20"/>
        <v>0</v>
      </c>
      <c r="BP38" s="525">
        <f t="shared" si="130"/>
        <v>0</v>
      </c>
      <c r="BQ38" s="523"/>
      <c r="BR38" s="524">
        <f t="shared" si="21"/>
        <v>0</v>
      </c>
      <c r="BS38" s="525">
        <f t="shared" si="131"/>
        <v>0</v>
      </c>
      <c r="BT38" s="523"/>
      <c r="BU38" s="524">
        <f t="shared" si="22"/>
        <v>0</v>
      </c>
      <c r="BV38" s="525">
        <f t="shared" si="132"/>
        <v>0</v>
      </c>
      <c r="BW38" s="523"/>
      <c r="BX38" s="524">
        <f t="shared" si="23"/>
        <v>0</v>
      </c>
      <c r="BY38" s="525">
        <f t="shared" si="133"/>
        <v>0</v>
      </c>
      <c r="BZ38" s="523"/>
      <c r="CA38" s="524">
        <f t="shared" si="24"/>
        <v>0</v>
      </c>
      <c r="CB38" s="525">
        <f t="shared" si="134"/>
        <v>0</v>
      </c>
      <c r="CC38" s="523"/>
      <c r="CD38" s="524">
        <f t="shared" si="25"/>
        <v>0</v>
      </c>
      <c r="CE38" s="525">
        <f t="shared" si="135"/>
        <v>0</v>
      </c>
      <c r="CF38" s="523">
        <v>7.5</v>
      </c>
      <c r="CG38" s="524">
        <f t="shared" si="26"/>
        <v>0.15078104581733379</v>
      </c>
      <c r="CH38" s="525">
        <f t="shared" si="136"/>
        <v>0</v>
      </c>
      <c r="CI38" s="523"/>
      <c r="CJ38" s="524">
        <f t="shared" si="27"/>
        <v>0</v>
      </c>
      <c r="CK38" s="525">
        <f t="shared" si="137"/>
        <v>0</v>
      </c>
      <c r="CL38" s="523"/>
      <c r="CM38" s="524">
        <f t="shared" si="28"/>
        <v>0</v>
      </c>
      <c r="CN38" s="525">
        <f t="shared" si="138"/>
        <v>0</v>
      </c>
      <c r="CO38" s="523"/>
      <c r="CP38" s="524">
        <f t="shared" si="29"/>
        <v>0</v>
      </c>
      <c r="CQ38" s="525">
        <f t="shared" si="139"/>
        <v>0</v>
      </c>
      <c r="CR38" s="523"/>
      <c r="CS38" s="524">
        <f t="shared" si="30"/>
        <v>0</v>
      </c>
      <c r="CT38" s="525">
        <f t="shared" si="140"/>
        <v>0</v>
      </c>
      <c r="CU38" s="523"/>
      <c r="CV38" s="524">
        <f t="shared" si="31"/>
        <v>0</v>
      </c>
      <c r="CW38" s="525">
        <f t="shared" si="141"/>
        <v>0</v>
      </c>
      <c r="CX38" s="523"/>
      <c r="CY38" s="524">
        <f t="shared" si="32"/>
        <v>0</v>
      </c>
      <c r="CZ38" s="525">
        <f t="shared" si="142"/>
        <v>0</v>
      </c>
      <c r="DA38" s="523">
        <v>162.33600000000001</v>
      </c>
      <c r="DB38" s="524">
        <f t="shared" si="33"/>
        <v>3.2636255805070267</v>
      </c>
      <c r="DC38" s="525">
        <f t="shared" si="143"/>
        <v>0</v>
      </c>
      <c r="DD38" s="523"/>
      <c r="DE38" s="524">
        <f t="shared" si="34"/>
        <v>0</v>
      </c>
      <c r="DF38" s="525">
        <f t="shared" si="144"/>
        <v>0</v>
      </c>
      <c r="DG38" s="523"/>
      <c r="DH38" s="524">
        <f t="shared" si="35"/>
        <v>0</v>
      </c>
      <c r="DI38" s="525">
        <f t="shared" si="203"/>
        <v>0</v>
      </c>
      <c r="DJ38" s="523"/>
      <c r="DK38" s="524">
        <f t="shared" si="36"/>
        <v>0</v>
      </c>
      <c r="DL38" s="525">
        <f t="shared" si="145"/>
        <v>0</v>
      </c>
      <c r="DM38" s="523"/>
      <c r="DN38" s="524">
        <f t="shared" si="37"/>
        <v>0</v>
      </c>
      <c r="DO38" s="525">
        <f t="shared" si="146"/>
        <v>0</v>
      </c>
      <c r="DP38" s="523"/>
      <c r="DQ38" s="524">
        <f t="shared" si="38"/>
        <v>0</v>
      </c>
      <c r="DR38" s="525">
        <f t="shared" si="147"/>
        <v>0</v>
      </c>
      <c r="DS38" s="523"/>
      <c r="DT38" s="524">
        <f t="shared" si="39"/>
        <v>0</v>
      </c>
      <c r="DU38" s="525">
        <f t="shared" si="148"/>
        <v>0</v>
      </c>
      <c r="DV38" s="523"/>
      <c r="DW38" s="524">
        <f t="shared" si="40"/>
        <v>0</v>
      </c>
      <c r="DX38" s="525">
        <f t="shared" si="149"/>
        <v>0</v>
      </c>
      <c r="DY38" s="523"/>
      <c r="DZ38" s="524">
        <f t="shared" si="41"/>
        <v>0</v>
      </c>
      <c r="EA38" s="525">
        <f t="shared" si="150"/>
        <v>0</v>
      </c>
      <c r="EB38" s="523"/>
      <c r="EC38" s="524">
        <f t="shared" si="42"/>
        <v>0</v>
      </c>
      <c r="ED38" s="525">
        <f t="shared" si="151"/>
        <v>0</v>
      </c>
      <c r="EE38" s="523">
        <v>205.25000000000006</v>
      </c>
      <c r="EF38" s="524">
        <f t="shared" si="43"/>
        <v>4.126374620534369</v>
      </c>
      <c r="EG38" s="525">
        <f t="shared" si="152"/>
        <v>0</v>
      </c>
      <c r="EH38" s="523">
        <v>1</v>
      </c>
      <c r="EI38" s="524">
        <f t="shared" si="44"/>
        <v>2.010413944231117E-2</v>
      </c>
      <c r="EJ38" s="525">
        <f t="shared" si="153"/>
        <v>0</v>
      </c>
      <c r="EK38" s="523">
        <v>35.537354999999934</v>
      </c>
      <c r="EL38" s="524">
        <f t="shared" si="45"/>
        <v>0.71444794033091286</v>
      </c>
      <c r="EM38" s="525">
        <f t="shared" si="154"/>
        <v>0</v>
      </c>
      <c r="EN38" s="523">
        <v>62.389999999999986</v>
      </c>
      <c r="EO38" s="524">
        <f t="shared" si="46"/>
        <v>1.2542972598057938</v>
      </c>
      <c r="EP38" s="525">
        <f t="shared" si="155"/>
        <v>0</v>
      </c>
      <c r="EQ38" s="523"/>
      <c r="ER38" s="524">
        <f t="shared" si="47"/>
        <v>0</v>
      </c>
      <c r="ES38" s="525">
        <f t="shared" si="156"/>
        <v>0</v>
      </c>
      <c r="ET38" s="523"/>
      <c r="EU38" s="524">
        <f t="shared" si="48"/>
        <v>0</v>
      </c>
      <c r="EV38" s="525">
        <f t="shared" si="157"/>
        <v>0</v>
      </c>
      <c r="EW38" s="523"/>
      <c r="EX38" s="524">
        <f t="shared" si="49"/>
        <v>0</v>
      </c>
      <c r="EY38" s="525">
        <f t="shared" si="158"/>
        <v>0</v>
      </c>
      <c r="EZ38" s="523"/>
      <c r="FA38" s="524">
        <f t="shared" si="50"/>
        <v>0</v>
      </c>
      <c r="FB38" s="525">
        <f t="shared" si="159"/>
        <v>0</v>
      </c>
      <c r="FC38" s="523"/>
      <c r="FD38" s="524">
        <f t="shared" si="51"/>
        <v>0</v>
      </c>
      <c r="FE38" s="525">
        <f t="shared" si="160"/>
        <v>0</v>
      </c>
      <c r="FF38" s="523"/>
      <c r="FG38" s="524">
        <f t="shared" si="52"/>
        <v>0</v>
      </c>
      <c r="FH38" s="525">
        <f t="shared" si="161"/>
        <v>0</v>
      </c>
      <c r="FI38" s="523"/>
      <c r="FJ38" s="524">
        <f t="shared" si="53"/>
        <v>0</v>
      </c>
      <c r="FK38" s="525">
        <f t="shared" si="162"/>
        <v>0</v>
      </c>
      <c r="FL38" s="523"/>
      <c r="FM38" s="524">
        <f t="shared" si="54"/>
        <v>0</v>
      </c>
      <c r="FN38" s="525">
        <f t="shared" si="163"/>
        <v>0</v>
      </c>
      <c r="FO38" s="523"/>
      <c r="FP38" s="524">
        <f t="shared" si="55"/>
        <v>0</v>
      </c>
      <c r="FQ38" s="525">
        <f t="shared" si="164"/>
        <v>0</v>
      </c>
      <c r="FR38" s="523"/>
      <c r="FS38" s="524">
        <f t="shared" si="56"/>
        <v>0</v>
      </c>
      <c r="FT38" s="525">
        <f t="shared" si="165"/>
        <v>0</v>
      </c>
      <c r="FU38" s="523"/>
      <c r="FV38" s="524">
        <f t="shared" si="57"/>
        <v>0</v>
      </c>
      <c r="FW38" s="525">
        <f t="shared" si="166"/>
        <v>0</v>
      </c>
      <c r="FX38" s="523"/>
      <c r="FY38" s="524">
        <f t="shared" si="58"/>
        <v>0</v>
      </c>
      <c r="FZ38" s="525">
        <f t="shared" si="167"/>
        <v>0</v>
      </c>
      <c r="GA38" s="523"/>
      <c r="GB38" s="524">
        <f t="shared" si="168"/>
        <v>0</v>
      </c>
      <c r="GC38" s="525">
        <f t="shared" si="169"/>
        <v>0</v>
      </c>
      <c r="GD38" s="523"/>
      <c r="GE38" s="524">
        <f t="shared" si="59"/>
        <v>0</v>
      </c>
      <c r="GF38" s="525">
        <f t="shared" si="170"/>
        <v>0</v>
      </c>
      <c r="GG38" s="523">
        <v>12.324103824713532</v>
      </c>
      <c r="GH38" s="524">
        <f t="shared" si="171"/>
        <v>0.2477655017935613</v>
      </c>
      <c r="GI38" s="525">
        <f t="shared" si="172"/>
        <v>0</v>
      </c>
      <c r="GJ38" s="523">
        <v>12.324103824713532</v>
      </c>
      <c r="GK38" s="524">
        <f t="shared" si="252"/>
        <v>0.2477655017935613</v>
      </c>
      <c r="GL38" s="525">
        <f t="shared" si="253"/>
        <v>0</v>
      </c>
      <c r="GM38" s="523"/>
      <c r="GN38" s="524">
        <f t="shared" si="254"/>
        <v>0</v>
      </c>
      <c r="GO38" s="525">
        <f t="shared" si="255"/>
        <v>0</v>
      </c>
      <c r="GP38" s="523">
        <v>32.042669944255181</v>
      </c>
      <c r="GQ38" s="524">
        <f t="shared" si="256"/>
        <v>0.64419030466325933</v>
      </c>
      <c r="GR38" s="525">
        <f t="shared" si="257"/>
        <v>0</v>
      </c>
      <c r="GS38" s="523">
        <v>187.32637813564568</v>
      </c>
      <c r="GT38" s="524">
        <f t="shared" si="258"/>
        <v>3.7660356272621316</v>
      </c>
      <c r="GU38" s="525">
        <f t="shared" si="259"/>
        <v>0</v>
      </c>
      <c r="GV38" s="523">
        <v>24.648207649427064</v>
      </c>
      <c r="GW38" s="524">
        <f t="shared" si="260"/>
        <v>0.4955310035871226</v>
      </c>
      <c r="GX38" s="525">
        <f t="shared" si="261"/>
        <v>0</v>
      </c>
      <c r="GY38" s="523"/>
      <c r="GZ38" s="524">
        <f t="shared" si="65"/>
        <v>0</v>
      </c>
      <c r="HA38" s="525">
        <f t="shared" si="178"/>
        <v>0</v>
      </c>
      <c r="HB38" s="523"/>
      <c r="HC38" s="524">
        <f t="shared" si="66"/>
        <v>0</v>
      </c>
      <c r="HD38" s="525">
        <f t="shared" si="179"/>
        <v>0</v>
      </c>
      <c r="HE38" s="523"/>
      <c r="HF38" s="524">
        <f t="shared" si="67"/>
        <v>0</v>
      </c>
      <c r="HG38" s="525">
        <f t="shared" si="180"/>
        <v>0</v>
      </c>
      <c r="HH38" s="523"/>
      <c r="HI38" s="524">
        <f t="shared" si="68"/>
        <v>0</v>
      </c>
      <c r="HJ38" s="525">
        <f t="shared" si="181"/>
        <v>0</v>
      </c>
      <c r="HK38" s="523"/>
      <c r="HL38" s="524">
        <f t="shared" si="69"/>
        <v>0</v>
      </c>
      <c r="HM38" s="525">
        <f t="shared" si="182"/>
        <v>0</v>
      </c>
      <c r="HN38" s="523">
        <v>844.44759406937123</v>
      </c>
      <c r="HO38" s="524">
        <f t="shared" si="70"/>
        <v>16.976892182894819</v>
      </c>
      <c r="HP38" s="525">
        <f t="shared" si="183"/>
        <v>0</v>
      </c>
      <c r="HQ38" s="523"/>
      <c r="HR38" s="524">
        <f t="shared" si="71"/>
        <v>0</v>
      </c>
      <c r="HS38" s="525">
        <f t="shared" si="184"/>
        <v>0</v>
      </c>
      <c r="HT38" s="523"/>
      <c r="HU38" s="524">
        <f t="shared" si="72"/>
        <v>0</v>
      </c>
      <c r="HV38" s="525">
        <f t="shared" si="185"/>
        <v>0</v>
      </c>
      <c r="HW38" s="523"/>
      <c r="HX38" s="524">
        <f t="shared" si="73"/>
        <v>0</v>
      </c>
      <c r="HY38" s="525">
        <f t="shared" si="186"/>
        <v>0</v>
      </c>
      <c r="HZ38" s="523"/>
      <c r="IA38" s="524">
        <f t="shared" si="74"/>
        <v>0</v>
      </c>
      <c r="IB38" s="525">
        <f t="shared" si="200"/>
        <v>0</v>
      </c>
      <c r="IC38" s="523"/>
      <c r="ID38" s="524">
        <f t="shared" si="75"/>
        <v>0</v>
      </c>
      <c r="IE38" s="525">
        <f t="shared" si="187"/>
        <v>0</v>
      </c>
      <c r="IF38" s="523"/>
      <c r="IG38" s="524">
        <f t="shared" si="76"/>
        <v>0</v>
      </c>
      <c r="IH38" s="525">
        <f t="shared" si="188"/>
        <v>0</v>
      </c>
      <c r="II38" s="523">
        <v>19.718566119541652</v>
      </c>
      <c r="IJ38" s="524">
        <f t="shared" si="77"/>
        <v>0.39642480286969806</v>
      </c>
      <c r="IK38" s="525">
        <f t="shared" si="189"/>
        <v>0</v>
      </c>
      <c r="IL38" s="523"/>
      <c r="IM38" s="524">
        <f t="shared" si="78"/>
        <v>0</v>
      </c>
      <c r="IN38" s="525">
        <f t="shared" si="190"/>
        <v>0</v>
      </c>
      <c r="IO38" s="523"/>
      <c r="IP38" s="524">
        <f t="shared" si="79"/>
        <v>0</v>
      </c>
      <c r="IQ38" s="525">
        <f t="shared" si="191"/>
        <v>0</v>
      </c>
      <c r="IR38" s="523">
        <v>44.366773768968713</v>
      </c>
      <c r="IS38" s="524">
        <f t="shared" si="80"/>
        <v>0.8919558064568206</v>
      </c>
      <c r="IT38" s="525">
        <f t="shared" si="192"/>
        <v>0</v>
      </c>
      <c r="IU38" s="523"/>
      <c r="IV38" s="524">
        <f t="shared" si="81"/>
        <v>0</v>
      </c>
      <c r="IW38" s="525">
        <f t="shared" si="193"/>
        <v>0</v>
      </c>
      <c r="IX38" s="523"/>
      <c r="IY38" s="524">
        <f t="shared" si="82"/>
        <v>0</v>
      </c>
      <c r="IZ38" s="525">
        <f t="shared" si="194"/>
        <v>0</v>
      </c>
      <c r="JA38" s="523"/>
      <c r="JB38" s="524">
        <f t="shared" si="83"/>
        <v>0</v>
      </c>
      <c r="JC38" s="525">
        <f t="shared" si="195"/>
        <v>0</v>
      </c>
      <c r="JD38" s="523"/>
      <c r="JE38" s="524">
        <f t="shared" si="84"/>
        <v>0</v>
      </c>
      <c r="JF38" s="525">
        <f t="shared" si="196"/>
        <v>0</v>
      </c>
      <c r="JG38" s="523"/>
      <c r="JH38" s="524">
        <f t="shared" si="85"/>
        <v>0</v>
      </c>
      <c r="JI38" s="525">
        <f t="shared" si="197"/>
        <v>0</v>
      </c>
      <c r="JJ38" s="523">
        <v>22.183386884484356</v>
      </c>
      <c r="JK38" s="524">
        <f t="shared" si="86"/>
        <v>0.4459779032284103</v>
      </c>
      <c r="JL38" s="525" t="str">
        <f t="shared" si="87"/>
        <v>0</v>
      </c>
      <c r="JM38" s="523"/>
      <c r="JN38" s="524">
        <f t="shared" si="88"/>
        <v>0</v>
      </c>
      <c r="JO38" s="525" t="str">
        <f t="shared" si="89"/>
        <v>0</v>
      </c>
      <c r="JP38" s="523"/>
      <c r="JQ38" s="525" t="str">
        <f t="shared" si="90"/>
        <v>0</v>
      </c>
      <c r="JR38" s="525" t="str">
        <f t="shared" si="91"/>
        <v>0</v>
      </c>
      <c r="JS38" s="523"/>
      <c r="JT38" s="525" t="str">
        <f t="shared" si="92"/>
        <v>0</v>
      </c>
      <c r="JU38" s="525" t="str">
        <f t="shared" si="93"/>
        <v>0</v>
      </c>
      <c r="JV38" s="523"/>
      <c r="JW38" s="525" t="str">
        <f t="shared" si="94"/>
        <v>0</v>
      </c>
      <c r="JX38" s="525" t="str">
        <f t="shared" si="95"/>
        <v>0</v>
      </c>
      <c r="JY38" s="523"/>
      <c r="JZ38" s="525" t="str">
        <f t="shared" si="96"/>
        <v>0</v>
      </c>
      <c r="KA38" s="525" t="str">
        <f t="shared" si="97"/>
        <v>0</v>
      </c>
      <c r="KB38" s="523"/>
      <c r="KC38" s="525" t="str">
        <f t="shared" si="98"/>
        <v>0</v>
      </c>
      <c r="KD38" s="525" t="str">
        <f t="shared" si="99"/>
        <v>0</v>
      </c>
      <c r="KE38" s="523"/>
      <c r="KF38" s="525" t="str">
        <f t="shared" si="100"/>
        <v>0</v>
      </c>
      <c r="KG38" s="525" t="str">
        <f t="shared" si="101"/>
        <v>0</v>
      </c>
      <c r="KH38" s="523"/>
      <c r="KI38" s="525" t="str">
        <f t="shared" si="102"/>
        <v>0</v>
      </c>
      <c r="KJ38" s="525" t="str">
        <f t="shared" si="103"/>
        <v>0</v>
      </c>
      <c r="KK38" s="523"/>
      <c r="KL38" s="525" t="str">
        <f t="shared" si="104"/>
        <v>0</v>
      </c>
      <c r="KM38" s="525" t="str">
        <f t="shared" si="105"/>
        <v>0</v>
      </c>
      <c r="KN38" s="523"/>
      <c r="KO38" s="525" t="str">
        <f t="shared" si="106"/>
        <v>0</v>
      </c>
      <c r="KP38" s="525" t="str">
        <f t="shared" si="107"/>
        <v>0</v>
      </c>
      <c r="KQ38" s="523"/>
      <c r="KR38" s="525" t="str">
        <f t="shared" si="108"/>
        <v>0</v>
      </c>
      <c r="KS38" s="525" t="str">
        <f t="shared" si="109"/>
        <v>0</v>
      </c>
      <c r="KT38" s="525">
        <f t="shared" si="201"/>
        <v>0</v>
      </c>
      <c r="KU38" s="525">
        <f t="shared" si="202"/>
        <v>0</v>
      </c>
      <c r="KV38" s="264">
        <f t="shared" si="198"/>
        <v>1705.8853392211208</v>
      </c>
    </row>
    <row r="39" spans="1:16384" ht="15" customHeight="1">
      <c r="A39" s="266">
        <f t="shared" si="199"/>
        <v>45992</v>
      </c>
      <c r="B39" s="267">
        <f>+Report1!B39</f>
        <v>0</v>
      </c>
      <c r="C39" s="267">
        <f>+Report1!C39</f>
        <v>0</v>
      </c>
      <c r="D39" s="268">
        <f>+Report1!P39</f>
        <v>0</v>
      </c>
      <c r="E39" s="269">
        <f>+Report1!R39</f>
        <v>0</v>
      </c>
      <c r="F39" s="523"/>
      <c r="G39" s="524" t="e">
        <f t="shared" si="0"/>
        <v>#DIV/0!</v>
      </c>
      <c r="H39" s="525">
        <f t="shared" si="110"/>
        <v>0</v>
      </c>
      <c r="I39" s="523"/>
      <c r="J39" s="524" t="e">
        <f t="shared" si="1"/>
        <v>#DIV/0!</v>
      </c>
      <c r="K39" s="525">
        <f t="shared" si="111"/>
        <v>0</v>
      </c>
      <c r="L39" s="523"/>
      <c r="M39" s="524" t="e">
        <f t="shared" si="2"/>
        <v>#DIV/0!</v>
      </c>
      <c r="N39" s="525">
        <f t="shared" si="112"/>
        <v>0</v>
      </c>
      <c r="O39" s="523"/>
      <c r="P39" s="524" t="e">
        <f t="shared" si="3"/>
        <v>#DIV/0!</v>
      </c>
      <c r="Q39" s="525">
        <f t="shared" si="113"/>
        <v>0</v>
      </c>
      <c r="R39" s="523"/>
      <c r="S39" s="524" t="e">
        <f t="shared" si="4"/>
        <v>#DIV/0!</v>
      </c>
      <c r="T39" s="525">
        <f t="shared" si="114"/>
        <v>0</v>
      </c>
      <c r="U39" s="523"/>
      <c r="V39" s="524" t="e">
        <f t="shared" si="5"/>
        <v>#DIV/0!</v>
      </c>
      <c r="W39" s="525">
        <f t="shared" si="115"/>
        <v>0</v>
      </c>
      <c r="X39" s="523"/>
      <c r="Y39" s="524" t="e">
        <f t="shared" si="6"/>
        <v>#DIV/0!</v>
      </c>
      <c r="Z39" s="525">
        <f t="shared" si="116"/>
        <v>0</v>
      </c>
      <c r="AA39" s="523"/>
      <c r="AB39" s="524" t="e">
        <f t="shared" si="7"/>
        <v>#DIV/0!</v>
      </c>
      <c r="AC39" s="525">
        <f t="shared" si="117"/>
        <v>0</v>
      </c>
      <c r="AD39" s="523"/>
      <c r="AE39" s="524" t="e">
        <f t="shared" si="8"/>
        <v>#DIV/0!</v>
      </c>
      <c r="AF39" s="525">
        <f t="shared" si="118"/>
        <v>0</v>
      </c>
      <c r="AG39" s="523"/>
      <c r="AH39" s="524" t="e">
        <f t="shared" si="9"/>
        <v>#DIV/0!</v>
      </c>
      <c r="AI39" s="525">
        <f t="shared" si="119"/>
        <v>0</v>
      </c>
      <c r="AJ39" s="523"/>
      <c r="AK39" s="524" t="e">
        <f t="shared" si="10"/>
        <v>#DIV/0!</v>
      </c>
      <c r="AL39" s="525">
        <f t="shared" si="120"/>
        <v>0</v>
      </c>
      <c r="AM39" s="523"/>
      <c r="AN39" s="524" t="e">
        <f t="shared" si="11"/>
        <v>#DIV/0!</v>
      </c>
      <c r="AO39" s="525">
        <f t="shared" si="121"/>
        <v>0</v>
      </c>
      <c r="AP39" s="523"/>
      <c r="AQ39" s="524" t="e">
        <f t="shared" si="12"/>
        <v>#DIV/0!</v>
      </c>
      <c r="AR39" s="525">
        <f t="shared" si="122"/>
        <v>0</v>
      </c>
      <c r="AS39" s="523"/>
      <c r="AT39" s="524" t="e">
        <f t="shared" si="13"/>
        <v>#DIV/0!</v>
      </c>
      <c r="AU39" s="525">
        <f t="shared" si="123"/>
        <v>0</v>
      </c>
      <c r="AV39" s="523"/>
      <c r="AW39" s="524" t="e">
        <f t="shared" si="14"/>
        <v>#DIV/0!</v>
      </c>
      <c r="AX39" s="525">
        <f t="shared" si="124"/>
        <v>0</v>
      </c>
      <c r="AY39" s="523"/>
      <c r="AZ39" s="524" t="e">
        <f t="shared" si="15"/>
        <v>#DIV/0!</v>
      </c>
      <c r="BA39" s="525">
        <f t="shared" si="125"/>
        <v>0</v>
      </c>
      <c r="BB39" s="523"/>
      <c r="BC39" s="524" t="e">
        <f t="shared" si="16"/>
        <v>#DIV/0!</v>
      </c>
      <c r="BD39" s="525">
        <f t="shared" si="126"/>
        <v>0</v>
      </c>
      <c r="BE39" s="523"/>
      <c r="BF39" s="524" t="e">
        <f t="shared" si="17"/>
        <v>#DIV/0!</v>
      </c>
      <c r="BG39" s="525">
        <f t="shared" si="127"/>
        <v>0</v>
      </c>
      <c r="BH39" s="523"/>
      <c r="BI39" s="524" t="e">
        <f t="shared" si="18"/>
        <v>#DIV/0!</v>
      </c>
      <c r="BJ39" s="525">
        <f t="shared" si="128"/>
        <v>0</v>
      </c>
      <c r="BK39" s="523"/>
      <c r="BL39" s="524" t="e">
        <f t="shared" si="19"/>
        <v>#DIV/0!</v>
      </c>
      <c r="BM39" s="525">
        <f t="shared" si="129"/>
        <v>0</v>
      </c>
      <c r="BN39" s="523"/>
      <c r="BO39" s="524" t="e">
        <f t="shared" si="20"/>
        <v>#DIV/0!</v>
      </c>
      <c r="BP39" s="525">
        <f t="shared" si="130"/>
        <v>0</v>
      </c>
      <c r="BQ39" s="523"/>
      <c r="BR39" s="524" t="e">
        <f t="shared" si="21"/>
        <v>#DIV/0!</v>
      </c>
      <c r="BS39" s="525">
        <f t="shared" si="131"/>
        <v>0</v>
      </c>
      <c r="BT39" s="523"/>
      <c r="BU39" s="524" t="e">
        <f t="shared" si="22"/>
        <v>#DIV/0!</v>
      </c>
      <c r="BV39" s="525">
        <f t="shared" si="132"/>
        <v>0</v>
      </c>
      <c r="BW39" s="523"/>
      <c r="BX39" s="524" t="e">
        <f t="shared" si="23"/>
        <v>#DIV/0!</v>
      </c>
      <c r="BY39" s="525">
        <f t="shared" si="133"/>
        <v>0</v>
      </c>
      <c r="BZ39" s="523"/>
      <c r="CA39" s="524" t="e">
        <f t="shared" si="24"/>
        <v>#DIV/0!</v>
      </c>
      <c r="CB39" s="525">
        <f t="shared" si="134"/>
        <v>0</v>
      </c>
      <c r="CC39" s="523"/>
      <c r="CD39" s="524" t="e">
        <f t="shared" si="25"/>
        <v>#DIV/0!</v>
      </c>
      <c r="CE39" s="525">
        <f t="shared" si="135"/>
        <v>0</v>
      </c>
      <c r="CF39" s="523"/>
      <c r="CG39" s="524" t="e">
        <f t="shared" si="26"/>
        <v>#DIV/0!</v>
      </c>
      <c r="CH39" s="525">
        <f t="shared" si="136"/>
        <v>0</v>
      </c>
      <c r="CI39" s="523"/>
      <c r="CJ39" s="524" t="e">
        <f t="shared" si="27"/>
        <v>#DIV/0!</v>
      </c>
      <c r="CK39" s="525">
        <f t="shared" si="137"/>
        <v>0</v>
      </c>
      <c r="CL39" s="523"/>
      <c r="CM39" s="524" t="e">
        <f t="shared" si="28"/>
        <v>#DIV/0!</v>
      </c>
      <c r="CN39" s="525">
        <f t="shared" si="138"/>
        <v>0</v>
      </c>
      <c r="CO39" s="523"/>
      <c r="CP39" s="524" t="e">
        <f t="shared" si="29"/>
        <v>#DIV/0!</v>
      </c>
      <c r="CQ39" s="525">
        <f t="shared" si="139"/>
        <v>0</v>
      </c>
      <c r="CR39" s="523"/>
      <c r="CS39" s="524" t="e">
        <f t="shared" si="30"/>
        <v>#DIV/0!</v>
      </c>
      <c r="CT39" s="525">
        <f t="shared" si="140"/>
        <v>0</v>
      </c>
      <c r="CU39" s="523"/>
      <c r="CV39" s="524" t="e">
        <f t="shared" si="31"/>
        <v>#DIV/0!</v>
      </c>
      <c r="CW39" s="525">
        <f t="shared" si="141"/>
        <v>0</v>
      </c>
      <c r="CX39" s="523"/>
      <c r="CY39" s="524" t="e">
        <f t="shared" si="32"/>
        <v>#DIV/0!</v>
      </c>
      <c r="CZ39" s="525">
        <f t="shared" si="142"/>
        <v>0</v>
      </c>
      <c r="DA39" s="523"/>
      <c r="DB39" s="524" t="e">
        <f t="shared" si="33"/>
        <v>#DIV/0!</v>
      </c>
      <c r="DC39" s="525">
        <f t="shared" si="143"/>
        <v>0</v>
      </c>
      <c r="DD39" s="523"/>
      <c r="DE39" s="524" t="e">
        <f t="shared" si="34"/>
        <v>#DIV/0!</v>
      </c>
      <c r="DF39" s="525">
        <f t="shared" si="144"/>
        <v>0</v>
      </c>
      <c r="DG39" s="523"/>
      <c r="DH39" s="524" t="e">
        <f t="shared" si="35"/>
        <v>#DIV/0!</v>
      </c>
      <c r="DI39" s="525">
        <f t="shared" si="203"/>
        <v>0</v>
      </c>
      <c r="DJ39" s="523"/>
      <c r="DK39" s="524" t="e">
        <f t="shared" si="36"/>
        <v>#DIV/0!</v>
      </c>
      <c r="DL39" s="525">
        <f t="shared" si="145"/>
        <v>0</v>
      </c>
      <c r="DM39" s="523"/>
      <c r="DN39" s="524" t="e">
        <f t="shared" si="37"/>
        <v>#DIV/0!</v>
      </c>
      <c r="DO39" s="525">
        <f t="shared" si="146"/>
        <v>0</v>
      </c>
      <c r="DP39" s="523"/>
      <c r="DQ39" s="524" t="e">
        <f t="shared" si="38"/>
        <v>#DIV/0!</v>
      </c>
      <c r="DR39" s="525">
        <f t="shared" si="147"/>
        <v>0</v>
      </c>
      <c r="DS39" s="523"/>
      <c r="DT39" s="524" t="e">
        <f t="shared" si="39"/>
        <v>#DIV/0!</v>
      </c>
      <c r="DU39" s="525">
        <f t="shared" si="148"/>
        <v>0</v>
      </c>
      <c r="DV39" s="523"/>
      <c r="DW39" s="524" t="e">
        <f t="shared" si="40"/>
        <v>#DIV/0!</v>
      </c>
      <c r="DX39" s="525">
        <f t="shared" si="149"/>
        <v>0</v>
      </c>
      <c r="DY39" s="523"/>
      <c r="DZ39" s="524" t="e">
        <f t="shared" si="41"/>
        <v>#DIV/0!</v>
      </c>
      <c r="EA39" s="525">
        <f t="shared" si="150"/>
        <v>0</v>
      </c>
      <c r="EB39" s="523"/>
      <c r="EC39" s="524" t="e">
        <f t="shared" si="42"/>
        <v>#DIV/0!</v>
      </c>
      <c r="ED39" s="525">
        <f t="shared" si="151"/>
        <v>0</v>
      </c>
      <c r="EE39" s="523"/>
      <c r="EF39" s="524" t="e">
        <f t="shared" si="43"/>
        <v>#DIV/0!</v>
      </c>
      <c r="EG39" s="525">
        <f t="shared" si="152"/>
        <v>0</v>
      </c>
      <c r="EH39" s="523"/>
      <c r="EI39" s="524" t="e">
        <f t="shared" si="44"/>
        <v>#DIV/0!</v>
      </c>
      <c r="EJ39" s="525">
        <f t="shared" si="153"/>
        <v>0</v>
      </c>
      <c r="EK39" s="523"/>
      <c r="EL39" s="524" t="e">
        <f t="shared" si="45"/>
        <v>#DIV/0!</v>
      </c>
      <c r="EM39" s="525">
        <f t="shared" si="154"/>
        <v>0</v>
      </c>
      <c r="EN39" s="523"/>
      <c r="EO39" s="524" t="e">
        <f t="shared" si="46"/>
        <v>#DIV/0!</v>
      </c>
      <c r="EP39" s="525">
        <f t="shared" si="155"/>
        <v>0</v>
      </c>
      <c r="EQ39" s="523"/>
      <c r="ER39" s="524" t="e">
        <f t="shared" si="47"/>
        <v>#DIV/0!</v>
      </c>
      <c r="ES39" s="525">
        <f t="shared" si="156"/>
        <v>0</v>
      </c>
      <c r="ET39" s="523"/>
      <c r="EU39" s="524" t="e">
        <f t="shared" si="48"/>
        <v>#DIV/0!</v>
      </c>
      <c r="EV39" s="525">
        <f t="shared" si="157"/>
        <v>0</v>
      </c>
      <c r="EW39" s="523"/>
      <c r="EX39" s="524" t="e">
        <f t="shared" si="49"/>
        <v>#DIV/0!</v>
      </c>
      <c r="EY39" s="525">
        <f t="shared" si="158"/>
        <v>0</v>
      </c>
      <c r="EZ39" s="523"/>
      <c r="FA39" s="524" t="e">
        <f t="shared" si="50"/>
        <v>#DIV/0!</v>
      </c>
      <c r="FB39" s="525">
        <f t="shared" si="159"/>
        <v>0</v>
      </c>
      <c r="FC39" s="523"/>
      <c r="FD39" s="524" t="e">
        <f t="shared" si="51"/>
        <v>#DIV/0!</v>
      </c>
      <c r="FE39" s="525">
        <f t="shared" si="160"/>
        <v>0</v>
      </c>
      <c r="FF39" s="523"/>
      <c r="FG39" s="524" t="e">
        <f t="shared" si="52"/>
        <v>#DIV/0!</v>
      </c>
      <c r="FH39" s="525">
        <f t="shared" si="161"/>
        <v>0</v>
      </c>
      <c r="FI39" s="523"/>
      <c r="FJ39" s="524" t="e">
        <f t="shared" si="53"/>
        <v>#DIV/0!</v>
      </c>
      <c r="FK39" s="525">
        <f t="shared" si="162"/>
        <v>0</v>
      </c>
      <c r="FL39" s="523"/>
      <c r="FM39" s="524" t="e">
        <f t="shared" si="54"/>
        <v>#DIV/0!</v>
      </c>
      <c r="FN39" s="525">
        <f t="shared" si="163"/>
        <v>0</v>
      </c>
      <c r="FO39" s="523"/>
      <c r="FP39" s="524" t="e">
        <f t="shared" si="55"/>
        <v>#DIV/0!</v>
      </c>
      <c r="FQ39" s="525">
        <f t="shared" si="164"/>
        <v>0</v>
      </c>
      <c r="FR39" s="523"/>
      <c r="FS39" s="524" t="e">
        <f t="shared" si="56"/>
        <v>#DIV/0!</v>
      </c>
      <c r="FT39" s="525">
        <f t="shared" si="165"/>
        <v>0</v>
      </c>
      <c r="FU39" s="523"/>
      <c r="FV39" s="524" t="e">
        <f t="shared" si="57"/>
        <v>#DIV/0!</v>
      </c>
      <c r="FW39" s="525">
        <f t="shared" si="166"/>
        <v>0</v>
      </c>
      <c r="FX39" s="523"/>
      <c r="FY39" s="524" t="e">
        <f t="shared" si="58"/>
        <v>#DIV/0!</v>
      </c>
      <c r="FZ39" s="525">
        <f t="shared" si="167"/>
        <v>0</v>
      </c>
      <c r="GA39" s="523"/>
      <c r="GB39" s="524" t="e">
        <f t="shared" si="168"/>
        <v>#DIV/0!</v>
      </c>
      <c r="GC39" s="525">
        <f t="shared" si="169"/>
        <v>0</v>
      </c>
      <c r="GD39" s="523"/>
      <c r="GE39" s="524" t="e">
        <f t="shared" si="59"/>
        <v>#DIV/0!</v>
      </c>
      <c r="GF39" s="525">
        <f t="shared" si="170"/>
        <v>0</v>
      </c>
      <c r="GG39" s="523"/>
      <c r="GH39" s="524" t="e">
        <f t="shared" si="171"/>
        <v>#DIV/0!</v>
      </c>
      <c r="GI39" s="525">
        <f t="shared" si="172"/>
        <v>0</v>
      </c>
      <c r="GJ39" s="523"/>
      <c r="GK39" s="524" t="e">
        <f t="shared" si="252"/>
        <v>#DIV/0!</v>
      </c>
      <c r="GL39" s="525">
        <f t="shared" si="253"/>
        <v>0</v>
      </c>
      <c r="GM39" s="523"/>
      <c r="GN39" s="524" t="e">
        <f t="shared" si="254"/>
        <v>#DIV/0!</v>
      </c>
      <c r="GO39" s="525">
        <f t="shared" si="255"/>
        <v>0</v>
      </c>
      <c r="GP39" s="523"/>
      <c r="GQ39" s="524" t="e">
        <f t="shared" si="256"/>
        <v>#DIV/0!</v>
      </c>
      <c r="GR39" s="525">
        <f t="shared" si="257"/>
        <v>0</v>
      </c>
      <c r="GS39" s="523"/>
      <c r="GT39" s="524" t="e">
        <f t="shared" si="258"/>
        <v>#DIV/0!</v>
      </c>
      <c r="GU39" s="525">
        <f t="shared" si="259"/>
        <v>0</v>
      </c>
      <c r="GV39" s="523"/>
      <c r="GW39" s="524" t="e">
        <f t="shared" si="260"/>
        <v>#DIV/0!</v>
      </c>
      <c r="GX39" s="525">
        <f t="shared" si="261"/>
        <v>0</v>
      </c>
      <c r="GY39" s="523"/>
      <c r="GZ39" s="524" t="e">
        <f t="shared" si="65"/>
        <v>#DIV/0!</v>
      </c>
      <c r="HA39" s="525">
        <f t="shared" si="178"/>
        <v>0</v>
      </c>
      <c r="HB39" s="523"/>
      <c r="HC39" s="524" t="e">
        <f t="shared" si="66"/>
        <v>#DIV/0!</v>
      </c>
      <c r="HD39" s="525">
        <f t="shared" si="179"/>
        <v>0</v>
      </c>
      <c r="HE39" s="523"/>
      <c r="HF39" s="524" t="e">
        <f t="shared" si="67"/>
        <v>#DIV/0!</v>
      </c>
      <c r="HG39" s="525">
        <f t="shared" si="180"/>
        <v>0</v>
      </c>
      <c r="HH39" s="523"/>
      <c r="HI39" s="524" t="e">
        <f t="shared" si="68"/>
        <v>#DIV/0!</v>
      </c>
      <c r="HJ39" s="525">
        <f t="shared" si="181"/>
        <v>0</v>
      </c>
      <c r="HK39" s="523"/>
      <c r="HL39" s="524" t="e">
        <f t="shared" si="69"/>
        <v>#DIV/0!</v>
      </c>
      <c r="HM39" s="525">
        <f t="shared" si="182"/>
        <v>0</v>
      </c>
      <c r="HN39" s="523"/>
      <c r="HO39" s="524" t="e">
        <f t="shared" si="70"/>
        <v>#DIV/0!</v>
      </c>
      <c r="HP39" s="525">
        <f t="shared" si="183"/>
        <v>0</v>
      </c>
      <c r="HQ39" s="523"/>
      <c r="HR39" s="524" t="e">
        <f t="shared" si="71"/>
        <v>#DIV/0!</v>
      </c>
      <c r="HS39" s="525">
        <f t="shared" si="184"/>
        <v>0</v>
      </c>
      <c r="HT39" s="523"/>
      <c r="HU39" s="524" t="e">
        <f t="shared" si="72"/>
        <v>#DIV/0!</v>
      </c>
      <c r="HV39" s="525">
        <f t="shared" si="185"/>
        <v>0</v>
      </c>
      <c r="HW39" s="523"/>
      <c r="HX39" s="524" t="e">
        <f t="shared" si="73"/>
        <v>#DIV/0!</v>
      </c>
      <c r="HY39" s="525">
        <f t="shared" si="186"/>
        <v>0</v>
      </c>
      <c r="HZ39" s="523"/>
      <c r="IA39" s="524" t="e">
        <f t="shared" si="74"/>
        <v>#DIV/0!</v>
      </c>
      <c r="IB39" s="525">
        <f t="shared" si="200"/>
        <v>0</v>
      </c>
      <c r="IC39" s="523"/>
      <c r="ID39" s="524" t="e">
        <f t="shared" si="75"/>
        <v>#DIV/0!</v>
      </c>
      <c r="IE39" s="525">
        <f t="shared" si="187"/>
        <v>0</v>
      </c>
      <c r="IF39" s="523"/>
      <c r="IG39" s="524" t="e">
        <f t="shared" si="76"/>
        <v>#DIV/0!</v>
      </c>
      <c r="IH39" s="525">
        <f t="shared" si="188"/>
        <v>0</v>
      </c>
      <c r="II39" s="523"/>
      <c r="IJ39" s="524" t="e">
        <f t="shared" si="77"/>
        <v>#DIV/0!</v>
      </c>
      <c r="IK39" s="525">
        <f t="shared" si="189"/>
        <v>0</v>
      </c>
      <c r="IL39" s="523"/>
      <c r="IM39" s="524" t="e">
        <f t="shared" si="78"/>
        <v>#DIV/0!</v>
      </c>
      <c r="IN39" s="525">
        <f t="shared" si="190"/>
        <v>0</v>
      </c>
      <c r="IO39" s="523"/>
      <c r="IP39" s="524" t="e">
        <f t="shared" si="79"/>
        <v>#DIV/0!</v>
      </c>
      <c r="IQ39" s="525">
        <f t="shared" si="191"/>
        <v>0</v>
      </c>
      <c r="IR39" s="523"/>
      <c r="IS39" s="524" t="e">
        <f t="shared" si="80"/>
        <v>#DIV/0!</v>
      </c>
      <c r="IT39" s="525">
        <f t="shared" si="192"/>
        <v>0</v>
      </c>
      <c r="IU39" s="523"/>
      <c r="IV39" s="524" t="e">
        <f t="shared" si="81"/>
        <v>#DIV/0!</v>
      </c>
      <c r="IW39" s="525">
        <f t="shared" si="193"/>
        <v>0</v>
      </c>
      <c r="IX39" s="523"/>
      <c r="IY39" s="524" t="e">
        <f t="shared" si="82"/>
        <v>#DIV/0!</v>
      </c>
      <c r="IZ39" s="525">
        <f t="shared" si="194"/>
        <v>0</v>
      </c>
      <c r="JA39" s="523"/>
      <c r="JB39" s="524" t="e">
        <f t="shared" si="83"/>
        <v>#DIV/0!</v>
      </c>
      <c r="JC39" s="525">
        <f t="shared" si="195"/>
        <v>0</v>
      </c>
      <c r="JD39" s="523"/>
      <c r="JE39" s="524" t="e">
        <f t="shared" si="84"/>
        <v>#DIV/0!</v>
      </c>
      <c r="JF39" s="525">
        <f t="shared" si="196"/>
        <v>0</v>
      </c>
      <c r="JG39" s="523"/>
      <c r="JH39" s="524" t="e">
        <f t="shared" si="85"/>
        <v>#DIV/0!</v>
      </c>
      <c r="JI39" s="525">
        <f t="shared" si="197"/>
        <v>0</v>
      </c>
      <c r="JJ39" s="523"/>
      <c r="JK39" s="524" t="e">
        <f t="shared" si="86"/>
        <v>#DIV/0!</v>
      </c>
      <c r="JL39" s="525" t="str">
        <f t="shared" si="87"/>
        <v>0</v>
      </c>
      <c r="JM39" s="523"/>
      <c r="JN39" s="524" t="e">
        <f t="shared" si="88"/>
        <v>#DIV/0!</v>
      </c>
      <c r="JO39" s="525" t="str">
        <f t="shared" si="89"/>
        <v>0</v>
      </c>
      <c r="JP39" s="523"/>
      <c r="JQ39" s="525" t="str">
        <f t="shared" si="90"/>
        <v>0</v>
      </c>
      <c r="JR39" s="525" t="str">
        <f t="shared" si="91"/>
        <v>0</v>
      </c>
      <c r="JS39" s="523"/>
      <c r="JT39" s="525" t="str">
        <f t="shared" si="92"/>
        <v>0</v>
      </c>
      <c r="JU39" s="525" t="str">
        <f t="shared" si="93"/>
        <v>0</v>
      </c>
      <c r="JV39" s="523"/>
      <c r="JW39" s="525" t="str">
        <f t="shared" si="94"/>
        <v>0</v>
      </c>
      <c r="JX39" s="525" t="str">
        <f t="shared" si="95"/>
        <v>0</v>
      </c>
      <c r="JY39" s="523"/>
      <c r="JZ39" s="525" t="str">
        <f t="shared" si="96"/>
        <v>0</v>
      </c>
      <c r="KA39" s="525" t="str">
        <f t="shared" si="97"/>
        <v>0</v>
      </c>
      <c r="KB39" s="523"/>
      <c r="KC39" s="525" t="str">
        <f t="shared" si="98"/>
        <v>0</v>
      </c>
      <c r="KD39" s="525" t="str">
        <f t="shared" si="99"/>
        <v>0</v>
      </c>
      <c r="KE39" s="523"/>
      <c r="KF39" s="525" t="str">
        <f t="shared" si="100"/>
        <v>0</v>
      </c>
      <c r="KG39" s="525" t="str">
        <f t="shared" si="101"/>
        <v>0</v>
      </c>
      <c r="KH39" s="523"/>
      <c r="KI39" s="525" t="str">
        <f t="shared" si="102"/>
        <v>0</v>
      </c>
      <c r="KJ39" s="525" t="str">
        <f t="shared" si="103"/>
        <v>0</v>
      </c>
      <c r="KK39" s="523"/>
      <c r="KL39" s="525" t="str">
        <f t="shared" si="104"/>
        <v>0</v>
      </c>
      <c r="KM39" s="525" t="str">
        <f t="shared" si="105"/>
        <v>0</v>
      </c>
      <c r="KN39" s="523"/>
      <c r="KO39" s="525" t="str">
        <f t="shared" si="106"/>
        <v>0</v>
      </c>
      <c r="KP39" s="525" t="str">
        <f t="shared" si="107"/>
        <v>0</v>
      </c>
      <c r="KQ39" s="523"/>
      <c r="KR39" s="525" t="str">
        <f t="shared" si="108"/>
        <v>0</v>
      </c>
      <c r="KS39" s="525" t="str">
        <f t="shared" si="109"/>
        <v>0</v>
      </c>
      <c r="KT39" s="525">
        <f t="shared" si="201"/>
        <v>0</v>
      </c>
      <c r="KU39" s="525">
        <f t="shared" si="202"/>
        <v>0</v>
      </c>
      <c r="KV39" s="264">
        <f t="shared" si="198"/>
        <v>0</v>
      </c>
    </row>
    <row r="40" spans="1:16384" ht="15" customHeight="1" thickBot="1">
      <c r="A40" s="271"/>
      <c r="B40" s="272"/>
      <c r="C40" s="273"/>
      <c r="D40" s="273"/>
      <c r="E40" s="269"/>
      <c r="F40" s="523"/>
      <c r="G40" s="524"/>
      <c r="H40" s="525"/>
      <c r="I40" s="523"/>
      <c r="J40" s="524"/>
      <c r="K40" s="525"/>
      <c r="L40" s="523"/>
      <c r="M40" s="524"/>
      <c r="N40" s="525"/>
      <c r="O40" s="523"/>
      <c r="P40" s="524"/>
      <c r="Q40" s="525"/>
      <c r="R40" s="523"/>
      <c r="S40" s="524"/>
      <c r="T40" s="525"/>
      <c r="U40" s="523"/>
      <c r="V40" s="524"/>
      <c r="W40" s="525"/>
      <c r="X40" s="523"/>
      <c r="Y40" s="524"/>
      <c r="Z40" s="525"/>
      <c r="AA40" s="523"/>
      <c r="AB40" s="524"/>
      <c r="AC40" s="525"/>
      <c r="AD40" s="523"/>
      <c r="AE40" s="524"/>
      <c r="AF40" s="525"/>
      <c r="AG40" s="523"/>
      <c r="AH40" s="524"/>
      <c r="AI40" s="525"/>
      <c r="AJ40" s="523"/>
      <c r="AK40" s="524"/>
      <c r="AL40" s="525"/>
      <c r="AM40" s="523"/>
      <c r="AN40" s="524"/>
      <c r="AO40" s="525"/>
      <c r="AP40" s="523"/>
      <c r="AQ40" s="524"/>
      <c r="AR40" s="525"/>
      <c r="AS40" s="523"/>
      <c r="AT40" s="524"/>
      <c r="AU40" s="525"/>
      <c r="AV40" s="523"/>
      <c r="AW40" s="524"/>
      <c r="AX40" s="525"/>
      <c r="AY40" s="523"/>
      <c r="AZ40" s="524"/>
      <c r="BA40" s="525"/>
      <c r="BB40" s="523"/>
      <c r="BC40" s="524"/>
      <c r="BD40" s="525"/>
      <c r="BE40" s="523"/>
      <c r="BF40" s="524"/>
      <c r="BG40" s="525"/>
      <c r="BH40" s="523"/>
      <c r="BI40" s="524"/>
      <c r="BJ40" s="525"/>
      <c r="BK40" s="523"/>
      <c r="BL40" s="524"/>
      <c r="BM40" s="525"/>
      <c r="BN40" s="523"/>
      <c r="BO40" s="524"/>
      <c r="BP40" s="525"/>
      <c r="BQ40" s="523"/>
      <c r="BR40" s="524"/>
      <c r="BS40" s="525"/>
      <c r="BT40" s="523"/>
      <c r="BU40" s="524"/>
      <c r="BV40" s="525"/>
      <c r="BW40" s="523"/>
      <c r="BX40" s="524"/>
      <c r="BY40" s="525"/>
      <c r="BZ40" s="523"/>
      <c r="CA40" s="524"/>
      <c r="CB40" s="525"/>
      <c r="CC40" s="523"/>
      <c r="CD40" s="524"/>
      <c r="CE40" s="525"/>
      <c r="CF40" s="523"/>
      <c r="CG40" s="524"/>
      <c r="CH40" s="525"/>
      <c r="CI40" s="523"/>
      <c r="CJ40" s="524"/>
      <c r="CK40" s="525"/>
      <c r="CL40" s="523"/>
      <c r="CM40" s="524"/>
      <c r="CN40" s="525"/>
      <c r="CO40" s="523"/>
      <c r="CP40" s="524"/>
      <c r="CQ40" s="525"/>
      <c r="CR40" s="523"/>
      <c r="CS40" s="524"/>
      <c r="CT40" s="525"/>
      <c r="CU40" s="523"/>
      <c r="CV40" s="524"/>
      <c r="CW40" s="525"/>
      <c r="CX40" s="523"/>
      <c r="CY40" s="524"/>
      <c r="CZ40" s="525"/>
      <c r="DA40" s="523"/>
      <c r="DB40" s="524"/>
      <c r="DC40" s="525"/>
      <c r="DD40" s="523"/>
      <c r="DE40" s="524"/>
      <c r="DF40" s="525"/>
      <c r="DG40" s="523"/>
      <c r="DH40" s="524"/>
      <c r="DI40" s="525"/>
      <c r="DJ40" s="523"/>
      <c r="DK40" s="524"/>
      <c r="DL40" s="525"/>
      <c r="DM40" s="523"/>
      <c r="DN40" s="524"/>
      <c r="DO40" s="525"/>
      <c r="DP40" s="523"/>
      <c r="DQ40" s="524"/>
      <c r="DR40" s="525"/>
      <c r="DS40" s="523"/>
      <c r="DT40" s="524"/>
      <c r="DU40" s="525"/>
      <c r="DV40" s="523"/>
      <c r="DW40" s="524"/>
      <c r="DX40" s="525"/>
      <c r="DY40" s="523"/>
      <c r="DZ40" s="524"/>
      <c r="EA40" s="525"/>
      <c r="EB40" s="523"/>
      <c r="EC40" s="524"/>
      <c r="ED40" s="525"/>
      <c r="EE40" s="523"/>
      <c r="EF40" s="524"/>
      <c r="EG40" s="525"/>
      <c r="EH40" s="523"/>
      <c r="EI40" s="524"/>
      <c r="EJ40" s="525"/>
      <c r="EK40" s="523"/>
      <c r="EL40" s="524"/>
      <c r="EM40" s="525"/>
      <c r="EN40" s="523"/>
      <c r="EO40" s="524"/>
      <c r="EP40" s="525"/>
      <c r="EQ40" s="523"/>
      <c r="ER40" s="524"/>
      <c r="ES40" s="525"/>
      <c r="ET40" s="523"/>
      <c r="EU40" s="524"/>
      <c r="EV40" s="525"/>
      <c r="EW40" s="523"/>
      <c r="EX40" s="524"/>
      <c r="EY40" s="525"/>
      <c r="EZ40" s="523"/>
      <c r="FA40" s="524"/>
      <c r="FB40" s="525"/>
      <c r="FC40" s="523"/>
      <c r="FD40" s="524"/>
      <c r="FE40" s="525"/>
      <c r="FF40" s="523"/>
      <c r="FG40" s="524"/>
      <c r="FH40" s="525"/>
      <c r="FI40" s="523"/>
      <c r="FJ40" s="524"/>
      <c r="FK40" s="525"/>
      <c r="FL40" s="523"/>
      <c r="FM40" s="524"/>
      <c r="FN40" s="525"/>
      <c r="FO40" s="523"/>
      <c r="FP40" s="524"/>
      <c r="FQ40" s="525"/>
      <c r="FR40" s="523"/>
      <c r="FS40" s="524"/>
      <c r="FT40" s="525"/>
      <c r="FU40" s="523"/>
      <c r="FV40" s="524"/>
      <c r="FW40" s="525"/>
      <c r="FX40" s="523"/>
      <c r="FY40" s="524"/>
      <c r="FZ40" s="525"/>
      <c r="GA40" s="523"/>
      <c r="GB40" s="524"/>
      <c r="GC40" s="525"/>
      <c r="GD40" s="523"/>
      <c r="GE40" s="524"/>
      <c r="GF40" s="525"/>
      <c r="GG40" s="523"/>
      <c r="GH40" s="524"/>
      <c r="GI40" s="525"/>
      <c r="GJ40" s="523"/>
      <c r="GK40" s="524"/>
      <c r="GL40" s="525"/>
      <c r="GM40" s="523"/>
      <c r="GN40" s="524"/>
      <c r="GO40" s="525"/>
      <c r="GP40" s="523"/>
      <c r="GQ40" s="524"/>
      <c r="GR40" s="525"/>
      <c r="GS40" s="523"/>
      <c r="GT40" s="524"/>
      <c r="GU40" s="525"/>
      <c r="GV40" s="523"/>
      <c r="GW40" s="524"/>
      <c r="GX40" s="525"/>
      <c r="GY40" s="523"/>
      <c r="GZ40" s="524"/>
      <c r="HA40" s="525"/>
      <c r="HB40" s="523"/>
      <c r="HC40" s="524"/>
      <c r="HD40" s="525"/>
      <c r="HE40" s="523"/>
      <c r="HF40" s="524"/>
      <c r="HG40" s="525"/>
      <c r="HH40" s="523"/>
      <c r="HI40" s="524"/>
      <c r="HJ40" s="525"/>
      <c r="HK40" s="523"/>
      <c r="HL40" s="524"/>
      <c r="HM40" s="525"/>
      <c r="HN40" s="523"/>
      <c r="HO40" s="524"/>
      <c r="HP40" s="525"/>
      <c r="HQ40" s="523"/>
      <c r="HR40" s="524"/>
      <c r="HS40" s="525"/>
      <c r="HT40" s="523"/>
      <c r="HU40" s="524"/>
      <c r="HV40" s="525"/>
      <c r="HW40" s="523"/>
      <c r="HX40" s="524"/>
      <c r="HY40" s="525"/>
      <c r="HZ40" s="523"/>
      <c r="IA40" s="524"/>
      <c r="IB40" s="525"/>
      <c r="IC40" s="523"/>
      <c r="ID40" s="524"/>
      <c r="IE40" s="525"/>
      <c r="IF40" s="523"/>
      <c r="IG40" s="524"/>
      <c r="IH40" s="525"/>
      <c r="II40" s="523"/>
      <c r="IJ40" s="524"/>
      <c r="IK40" s="525"/>
      <c r="IL40" s="523"/>
      <c r="IM40" s="524"/>
      <c r="IN40" s="525"/>
      <c r="IO40" s="523"/>
      <c r="IP40" s="524"/>
      <c r="IQ40" s="525"/>
      <c r="IR40" s="523"/>
      <c r="IS40" s="524"/>
      <c r="IT40" s="525"/>
      <c r="IU40" s="523"/>
      <c r="IV40" s="524"/>
      <c r="IW40" s="525"/>
      <c r="IX40" s="523"/>
      <c r="IY40" s="524"/>
      <c r="IZ40" s="525"/>
      <c r="JA40" s="523"/>
      <c r="JB40" s="524"/>
      <c r="JC40" s="525"/>
      <c r="JD40" s="523"/>
      <c r="JE40" s="524"/>
      <c r="JF40" s="525"/>
      <c r="JG40" s="523"/>
      <c r="JH40" s="524"/>
      <c r="JI40" s="525"/>
      <c r="JJ40" s="523"/>
      <c r="JK40" s="525"/>
      <c r="JL40" s="525"/>
      <c r="JM40" s="523"/>
      <c r="JN40" s="525"/>
      <c r="JO40" s="525"/>
      <c r="JP40" s="523"/>
      <c r="JQ40" s="525"/>
      <c r="JR40" s="525"/>
      <c r="JS40" s="523"/>
      <c r="JT40" s="525"/>
      <c r="JU40" s="525"/>
      <c r="JV40" s="523"/>
      <c r="JW40" s="525"/>
      <c r="JX40" s="525"/>
      <c r="JY40" s="523"/>
      <c r="JZ40" s="525"/>
      <c r="KA40" s="525"/>
      <c r="KB40" s="523"/>
      <c r="KC40" s="525"/>
      <c r="KD40" s="525"/>
      <c r="KE40" s="523"/>
      <c r="KF40" s="525"/>
      <c r="KG40" s="525"/>
      <c r="KH40" s="523"/>
      <c r="KI40" s="525"/>
      <c r="KJ40" s="525"/>
      <c r="KK40" s="523"/>
      <c r="KL40" s="525"/>
      <c r="KM40" s="525"/>
      <c r="KN40" s="523"/>
      <c r="KO40" s="525"/>
      <c r="KP40" s="525"/>
      <c r="KQ40" s="523"/>
      <c r="KR40" s="525"/>
      <c r="KS40" s="525"/>
      <c r="KT40" s="525"/>
      <c r="KU40" s="525"/>
      <c r="KV40" s="264"/>
    </row>
    <row r="41" spans="1:16384" s="270" customFormat="1" ht="15" customHeight="1" thickTop="1" thickBot="1">
      <c r="A41" s="699" t="s">
        <v>29</v>
      </c>
      <c r="B41" s="700"/>
      <c r="C41" s="701"/>
      <c r="D41" s="274">
        <f>SUM(D9:D40)</f>
        <v>1506.0089999999998</v>
      </c>
      <c r="E41" s="269">
        <v>0</v>
      </c>
      <c r="F41" s="526">
        <f>SUM(F9:F39)</f>
        <v>0</v>
      </c>
      <c r="G41" s="526">
        <f>IFERROR((F41/$L$41),0)</f>
        <v>0</v>
      </c>
      <c r="H41" s="526">
        <f>IFERROR(((F41*H$8)/$L$41),0)</f>
        <v>0</v>
      </c>
      <c r="I41" s="526">
        <f>SUM(I9:I39)</f>
        <v>0</v>
      </c>
      <c r="J41" s="526">
        <f>IFERROR((I41/$L$41),0)</f>
        <v>0</v>
      </c>
      <c r="K41" s="526">
        <f>IFERROR(((I41*K$8)/$L$41),0)</f>
        <v>0</v>
      </c>
      <c r="L41" s="526">
        <f>SUM(L9:L39)</f>
        <v>0</v>
      </c>
      <c r="M41" s="526">
        <f>IFERROR((L41/$L$41),0)</f>
        <v>0</v>
      </c>
      <c r="N41" s="526">
        <f>IFERROR(((L41*N$8)/$L$41),0)</f>
        <v>0</v>
      </c>
      <c r="O41" s="526">
        <f>SUM(O9:O39)</f>
        <v>83.999200000000044</v>
      </c>
      <c r="P41" s="526">
        <f>IFERROR((O41/$L$41),0)</f>
        <v>0</v>
      </c>
      <c r="Q41" s="526">
        <f>IFERROR(((O41*Q$8)/$L$41),0)</f>
        <v>0</v>
      </c>
      <c r="R41" s="526">
        <f>SUM(R9:R39)</f>
        <v>0</v>
      </c>
      <c r="S41" s="526">
        <f>IFERROR((R41/$L$41),0)</f>
        <v>0</v>
      </c>
      <c r="T41" s="526">
        <f>IFERROR(((R41*T$8)/$L$41),0)</f>
        <v>0</v>
      </c>
      <c r="U41" s="526">
        <f>SUM(U9:U39)</f>
        <v>138.37320000000003</v>
      </c>
      <c r="V41" s="526">
        <f>IFERROR((U41/$L$41),0)</f>
        <v>0</v>
      </c>
      <c r="W41" s="526">
        <f>IFERROR(((U41*W$8)/$L$41),0)</f>
        <v>0</v>
      </c>
      <c r="X41" s="526">
        <f>SUM(X9:X39)</f>
        <v>0</v>
      </c>
      <c r="Y41" s="526">
        <f>IFERROR((X41/$L$41),0)</f>
        <v>0</v>
      </c>
      <c r="Z41" s="526">
        <f>IFERROR(((X41*Z$8)/$L$41),0)</f>
        <v>0</v>
      </c>
      <c r="AA41" s="526">
        <f>SUM(AA9:AA39)</f>
        <v>0</v>
      </c>
      <c r="AB41" s="526">
        <f>IFERROR((AA41/$L$41),0)</f>
        <v>0</v>
      </c>
      <c r="AC41" s="526">
        <f>IFERROR(((AA41*AC$8)/$L$41),0)</f>
        <v>0</v>
      </c>
      <c r="AD41" s="526">
        <f>SUM(AD9:AD39)</f>
        <v>0</v>
      </c>
      <c r="AE41" s="526">
        <f>IFERROR((AD41/$L$41),0)</f>
        <v>0</v>
      </c>
      <c r="AF41" s="526">
        <f>IFERROR(((AD41*AF$8)/$L$41),0)</f>
        <v>0</v>
      </c>
      <c r="AG41" s="526">
        <f>SUM(AG9:AG39)</f>
        <v>0</v>
      </c>
      <c r="AH41" s="526">
        <f>IFERROR((AG41/$L$41),0)</f>
        <v>0</v>
      </c>
      <c r="AI41" s="526">
        <f>IFERROR(((AG41*AI$8)/$L$41),0)</f>
        <v>0</v>
      </c>
      <c r="AJ41" s="526">
        <f>SUM(AJ9:AJ39)</f>
        <v>270.25329999999997</v>
      </c>
      <c r="AK41" s="526">
        <f>IFERROR((AJ41/$L$41),0)</f>
        <v>0</v>
      </c>
      <c r="AL41" s="526">
        <f>IFERROR(((AJ41*AL$8)/$L$41),0)</f>
        <v>0</v>
      </c>
      <c r="AM41" s="526">
        <f>SUM(AM9:AM39)</f>
        <v>0</v>
      </c>
      <c r="AN41" s="526">
        <f>IFERROR((AM41/$L$41),0)</f>
        <v>0</v>
      </c>
      <c r="AO41" s="526">
        <f>IFERROR(((AM41*AO$8)/$L$41),0)</f>
        <v>0</v>
      </c>
      <c r="AP41" s="526">
        <f>SUM(AP9:AP39)</f>
        <v>0</v>
      </c>
      <c r="AQ41" s="526">
        <f>IFERROR((AP41/$L$41),0)</f>
        <v>0</v>
      </c>
      <c r="AR41" s="526">
        <f>IFERROR(((AP41*AR$8)/$L$41),0)</f>
        <v>0</v>
      </c>
      <c r="AS41" s="526">
        <f>SUM(AS9:AS39)</f>
        <v>0</v>
      </c>
      <c r="AT41" s="526">
        <f>IFERROR((AS41/$L$41),0)</f>
        <v>0</v>
      </c>
      <c r="AU41" s="526">
        <f>IFERROR(((AS41*AU$8)/$L$41),0)</f>
        <v>0</v>
      </c>
      <c r="AV41" s="526">
        <f>SUM(AV9:AV39)</f>
        <v>0</v>
      </c>
      <c r="AW41" s="526">
        <f>IFERROR((AV41/$L$41),0)</f>
        <v>0</v>
      </c>
      <c r="AX41" s="526">
        <f>IFERROR(((AV41*AX$8)/$L$41),0)</f>
        <v>0</v>
      </c>
      <c r="AY41" s="526">
        <f>SUM(AY9:AY39)</f>
        <v>0</v>
      </c>
      <c r="AZ41" s="526">
        <f>IFERROR((AY41/$L$41),0)</f>
        <v>0</v>
      </c>
      <c r="BA41" s="526">
        <f>IFERROR(((AY41*BA$8)/$L$41),0)</f>
        <v>0</v>
      </c>
      <c r="BB41" s="526">
        <f>SUM(BB9:BB39)</f>
        <v>0</v>
      </c>
      <c r="BC41" s="526">
        <f>IFERROR((BB41/$L$41),0)</f>
        <v>0</v>
      </c>
      <c r="BD41" s="526">
        <f>IFERROR(((BB41*BD$8)/$L$41),0)</f>
        <v>0</v>
      </c>
      <c r="BE41" s="526">
        <f>SUM(BE9:BE39)</f>
        <v>0</v>
      </c>
      <c r="BF41" s="526">
        <f>IFERROR((BE41/$L$41),0)</f>
        <v>0</v>
      </c>
      <c r="BG41" s="526">
        <f>IFERROR(((BE41*BG$8)/$L$41),0)</f>
        <v>0</v>
      </c>
      <c r="BH41" s="526">
        <f>SUM(BH9:BH39)</f>
        <v>0</v>
      </c>
      <c r="BI41" s="526">
        <f>IFERROR((BH41/$L$41),0)</f>
        <v>0</v>
      </c>
      <c r="BJ41" s="526">
        <f>IFERROR(((BH41*BJ$8)/$L$41),0)</f>
        <v>0</v>
      </c>
      <c r="BK41" s="526">
        <f>SUM(BK9:BK39)</f>
        <v>0</v>
      </c>
      <c r="BL41" s="526">
        <f>IFERROR((BK41/$L$41),0)</f>
        <v>0</v>
      </c>
      <c r="BM41" s="526">
        <f>IFERROR(((BK41*BM$8)/$L$41),0)</f>
        <v>0</v>
      </c>
      <c r="BN41" s="526">
        <f>SUM(BN9:BN39)</f>
        <v>0</v>
      </c>
      <c r="BO41" s="526">
        <f>IFERROR((BN41/$L$41),0)</f>
        <v>0</v>
      </c>
      <c r="BP41" s="526">
        <f>IFERROR(((BN41*BP$8)/$L$41),0)</f>
        <v>0</v>
      </c>
      <c r="BQ41" s="526">
        <f>SUM(BQ9:BQ39)</f>
        <v>0</v>
      </c>
      <c r="BR41" s="526">
        <f>IFERROR((BQ41/$L$41),0)</f>
        <v>0</v>
      </c>
      <c r="BS41" s="526">
        <f>IFERROR(((BQ41*BS$8)/$L$41),0)</f>
        <v>0</v>
      </c>
      <c r="BT41" s="526">
        <f>SUM(BT9:BT39)</f>
        <v>0</v>
      </c>
      <c r="BU41" s="526">
        <f>IFERROR((BT41/$L$41),0)</f>
        <v>0</v>
      </c>
      <c r="BV41" s="526">
        <f>IFERROR(((BT41*BV$8)/$L$41),0)</f>
        <v>0</v>
      </c>
      <c r="BW41" s="526">
        <f>SUM(BW9:BW39)</f>
        <v>0</v>
      </c>
      <c r="BX41" s="526">
        <f>IFERROR((BW41/$L$41),0)</f>
        <v>0</v>
      </c>
      <c r="BY41" s="526">
        <f>IFERROR(((BW41*BY$8)/$L$41),0)</f>
        <v>0</v>
      </c>
      <c r="BZ41" s="526">
        <f>SUM(BZ9:BZ39)</f>
        <v>0</v>
      </c>
      <c r="CA41" s="526">
        <f>IFERROR((BZ41/$L$41),0)</f>
        <v>0</v>
      </c>
      <c r="CB41" s="526">
        <f>IFERROR(((BZ41*CB$8)/$L$41),0)</f>
        <v>0</v>
      </c>
      <c r="CC41" s="526">
        <f>SUM(CC9:CC39)</f>
        <v>0</v>
      </c>
      <c r="CD41" s="526">
        <f>IFERROR((CC41/$L$41),0)</f>
        <v>0</v>
      </c>
      <c r="CE41" s="526">
        <f>IFERROR(((CC41*CE$8)/$L$41),0)</f>
        <v>0</v>
      </c>
      <c r="CF41" s="526">
        <f>SUM(CF9:CF39)</f>
        <v>94.700000000000031</v>
      </c>
      <c r="CG41" s="526">
        <f>IFERROR((CF41/$L$41),0)</f>
        <v>0</v>
      </c>
      <c r="CH41" s="526">
        <f>IFERROR(((CF41*CH$8)/$L$41),0)</f>
        <v>0</v>
      </c>
      <c r="CI41" s="526">
        <f>SUM(CI9:CI39)</f>
        <v>0</v>
      </c>
      <c r="CJ41" s="526">
        <f>IFERROR((CI41/$L$41),0)</f>
        <v>0</v>
      </c>
      <c r="CK41" s="526">
        <f>IFERROR(((CI41*CK$8)/$L$41),0)</f>
        <v>0</v>
      </c>
      <c r="CL41" s="526">
        <f>SUM(CL9:CL39)</f>
        <v>0</v>
      </c>
      <c r="CM41" s="526">
        <f>IFERROR((CL41/$L$41),0)</f>
        <v>0</v>
      </c>
      <c r="CN41" s="526">
        <f>IFERROR(((CL41*CN$8)/$L$41),0)</f>
        <v>0</v>
      </c>
      <c r="CO41" s="526">
        <f>SUM(CO9:CO39)</f>
        <v>0</v>
      </c>
      <c r="CP41" s="526">
        <f>IFERROR((CO41/$L$41),0)</f>
        <v>0</v>
      </c>
      <c r="CQ41" s="526">
        <f>IFERROR(((CO41*CQ$8)/$L$41),0)</f>
        <v>0</v>
      </c>
      <c r="CR41" s="526">
        <f>SUM(CR9:CR39)</f>
        <v>0</v>
      </c>
      <c r="CS41" s="526">
        <f>IFERROR((CR41/$L$41),0)</f>
        <v>0</v>
      </c>
      <c r="CT41" s="526">
        <f>IFERROR(((CR41*CT$8)/$L$41),0)</f>
        <v>0</v>
      </c>
      <c r="CU41" s="526">
        <f>SUM(CU9:CU39)</f>
        <v>0</v>
      </c>
      <c r="CV41" s="526">
        <f>IFERROR((CU41/$L$41),0)</f>
        <v>0</v>
      </c>
      <c r="CW41" s="526">
        <f>IFERROR(((CU41*CW$8)/$L$41),0)</f>
        <v>0</v>
      </c>
      <c r="CX41" s="526">
        <f>SUM(CX9:CX39)</f>
        <v>0</v>
      </c>
      <c r="CY41" s="526">
        <f>IFERROR((CX41/$L$41),0)</f>
        <v>0</v>
      </c>
      <c r="CZ41" s="526">
        <f>IFERROR(((CX41*CZ$8)/$L$41),0)</f>
        <v>0</v>
      </c>
      <c r="DA41" s="526">
        <f>SUM(DA9:DA39)</f>
        <v>5944.7647441860436</v>
      </c>
      <c r="DB41" s="526">
        <f>IFERROR((DA41/$L$41),0)</f>
        <v>0</v>
      </c>
      <c r="DC41" s="526">
        <f>IFERROR(((DA41*DC$8)/$L$41),0)</f>
        <v>0</v>
      </c>
      <c r="DD41" s="526">
        <f>SUM(DD9:DD39)</f>
        <v>0</v>
      </c>
      <c r="DE41" s="526">
        <f>IFERROR((DD41/$L$41),0)</f>
        <v>0</v>
      </c>
      <c r="DF41" s="526">
        <f>IFERROR(((DD41*DF$8)/$L$41),0)</f>
        <v>0</v>
      </c>
      <c r="DG41" s="526">
        <f>SUM(DG14:DG39)</f>
        <v>0</v>
      </c>
      <c r="DH41" s="526">
        <f>IFERROR((DG41/$L$41),0)</f>
        <v>0</v>
      </c>
      <c r="DI41" s="526">
        <f>IFERROR(((DG41*DI$8)/$L$41),0)</f>
        <v>0</v>
      </c>
      <c r="DJ41" s="526">
        <f>SUM(DJ9:DJ39)</f>
        <v>0</v>
      </c>
      <c r="DK41" s="526">
        <f>IFERROR((DJ41/$L$41),0)</f>
        <v>0</v>
      </c>
      <c r="DL41" s="526">
        <f>IFERROR(((DJ41*DL$8)/$L$41),0)</f>
        <v>0</v>
      </c>
      <c r="DM41" s="526">
        <f>SUM(DM9:DM39)</f>
        <v>0</v>
      </c>
      <c r="DN41" s="526">
        <f>IFERROR((DM41/$L$41),0)</f>
        <v>0</v>
      </c>
      <c r="DO41" s="526">
        <f>IFERROR(((DM41*DO$8)/$L$41),0)</f>
        <v>0</v>
      </c>
      <c r="DP41" s="526">
        <f>SUM(DP9:DP39)</f>
        <v>0</v>
      </c>
      <c r="DQ41" s="526">
        <f>IFERROR((DP41/$L$41),0)</f>
        <v>0</v>
      </c>
      <c r="DR41" s="526">
        <f>IFERROR(((DP41*DR$8)/$L$41),0)</f>
        <v>0</v>
      </c>
      <c r="DS41" s="526">
        <f>SUM(DS9:DS39)</f>
        <v>0</v>
      </c>
      <c r="DT41" s="526">
        <f>IFERROR((DS41/$L$41),0)</f>
        <v>0</v>
      </c>
      <c r="DU41" s="526">
        <f>IFERROR(((DS41*DU$8)/$L$41),0)</f>
        <v>0</v>
      </c>
      <c r="DV41" s="526">
        <f>SUM(DV9:DV39)</f>
        <v>0</v>
      </c>
      <c r="DW41" s="526">
        <f>IFERROR((DV41/$L$41),0)</f>
        <v>0</v>
      </c>
      <c r="DX41" s="526">
        <f>IFERROR(((DV41*DX$8)/$L$41),0)</f>
        <v>0</v>
      </c>
      <c r="DY41" s="526">
        <f>SUM(DY9:DY39)</f>
        <v>17.253012048192772</v>
      </c>
      <c r="DZ41" s="526">
        <f>IFERROR((DY41/$L$41),0)</f>
        <v>0</v>
      </c>
      <c r="EA41" s="526">
        <f>IFERROR(((DY41*EA$8)/$L$41),0)</f>
        <v>0</v>
      </c>
      <c r="EB41" s="526">
        <f>SUM(EB9:EB39)</f>
        <v>2872.3284279069767</v>
      </c>
      <c r="EC41" s="526">
        <f>IFERROR((EB41/$L$41),0)</f>
        <v>0</v>
      </c>
      <c r="ED41" s="526">
        <f>IFERROR(((EB41*ED$8)/$L$41),0)</f>
        <v>0</v>
      </c>
      <c r="EE41" s="526">
        <f>SUM(EE9:EE39)</f>
        <v>6434.1694117647057</v>
      </c>
      <c r="EF41" s="526">
        <f>IFERROR((EE41/$L$41),0)</f>
        <v>0</v>
      </c>
      <c r="EG41" s="526">
        <f>IFERROR(((EE41*EG$8)/$L$41),0)</f>
        <v>0</v>
      </c>
      <c r="EH41" s="526">
        <f>SUM(EH9:EH39)</f>
        <v>20</v>
      </c>
      <c r="EI41" s="526">
        <f>IFERROR((EH41/$L$41),0)</f>
        <v>0</v>
      </c>
      <c r="EJ41" s="526">
        <f>IFERROR(((EH41*EJ$8)/$L$41),0)</f>
        <v>0</v>
      </c>
      <c r="EK41" s="526">
        <f>SUM(EK9:EK39)</f>
        <v>1195.1254321951219</v>
      </c>
      <c r="EL41" s="526">
        <f>IFERROR((EK41/$L$41),0)</f>
        <v>0</v>
      </c>
      <c r="EM41" s="526">
        <f>IFERROR(((EK41*EM$8)/$L$41),0)</f>
        <v>0</v>
      </c>
      <c r="EN41" s="526">
        <f>SUM(EN9:EN39)</f>
        <v>1601.1635813953485</v>
      </c>
      <c r="EO41" s="526">
        <f>IFERROR((EN41/$L$41),0)</f>
        <v>0</v>
      </c>
      <c r="EP41" s="526">
        <f>IFERROR(((EN41*EP$8)/$L$41),0)</f>
        <v>0</v>
      </c>
      <c r="EQ41" s="526">
        <f>SUM(EQ9:EQ39)</f>
        <v>0</v>
      </c>
      <c r="ER41" s="526">
        <f>IFERROR((EQ41/$L$41),0)</f>
        <v>0</v>
      </c>
      <c r="ES41" s="526">
        <f>IFERROR(((EQ41*ES$8)/$L$41),0)</f>
        <v>0</v>
      </c>
      <c r="ET41" s="526">
        <f>SUM(ET9:ET39)</f>
        <v>0</v>
      </c>
      <c r="EU41" s="526">
        <f>IFERROR((ET41/$L$41),0)</f>
        <v>0</v>
      </c>
      <c r="EV41" s="526">
        <f>IFERROR(((ET41*EV$8)/$L$41),0)</f>
        <v>0</v>
      </c>
      <c r="EW41" s="526">
        <f>SUM(EW9:EW39)</f>
        <v>0</v>
      </c>
      <c r="EX41" s="526">
        <f>IFERROR((EW41/$L$41),0)</f>
        <v>0</v>
      </c>
      <c r="EY41" s="526">
        <f>IFERROR(((EW41*EY$8)/$L$41),0)</f>
        <v>0</v>
      </c>
      <c r="EZ41" s="526">
        <f>SUM(EZ9:EZ39)</f>
        <v>0</v>
      </c>
      <c r="FA41" s="526">
        <f>IFERROR((EZ41/$L$41),0)</f>
        <v>0</v>
      </c>
      <c r="FB41" s="526">
        <f>IFERROR(((EZ41*FB$8)/$L$41),0)</f>
        <v>0</v>
      </c>
      <c r="FC41" s="526">
        <f>SUM(FC9:FC39)</f>
        <v>0</v>
      </c>
      <c r="FD41" s="526">
        <f>IFERROR((FC41/$L$41),0)</f>
        <v>0</v>
      </c>
      <c r="FE41" s="526">
        <f>IFERROR(((FC41*FE$8)/$L$41),0)</f>
        <v>0</v>
      </c>
      <c r="FF41" s="526">
        <f>SUM(FF9:FF39)</f>
        <v>0</v>
      </c>
      <c r="FG41" s="526">
        <f>IFERROR((FF41/$L$41),0)</f>
        <v>0</v>
      </c>
      <c r="FH41" s="526">
        <f>IFERROR(((FF41*FH$8)/$L$41),0)</f>
        <v>0</v>
      </c>
      <c r="FI41" s="526">
        <f>SUM(FI9:FI39)</f>
        <v>0</v>
      </c>
      <c r="FJ41" s="526">
        <f>IFERROR((FI41/$L$41),0)</f>
        <v>0</v>
      </c>
      <c r="FK41" s="526">
        <f>IFERROR(((FI41*FK$8)/$L$41),0)</f>
        <v>0</v>
      </c>
      <c r="FL41" s="526">
        <f>SUM(FL9:FL39)</f>
        <v>0</v>
      </c>
      <c r="FM41" s="526">
        <f>IFERROR((FL41/$L$41),0)</f>
        <v>0</v>
      </c>
      <c r="FN41" s="526">
        <f>IFERROR(((FL41*FN$8)/$L$41),0)</f>
        <v>0</v>
      </c>
      <c r="FO41" s="526">
        <f>SUM(FO9:FO39)</f>
        <v>0</v>
      </c>
      <c r="FP41" s="526">
        <f>IFERROR((FO41/$L$41),0)</f>
        <v>0</v>
      </c>
      <c r="FQ41" s="526">
        <f>IFERROR(((FO41*FQ$8)/$L$41),0)</f>
        <v>0</v>
      </c>
      <c r="FR41" s="526">
        <f>SUM(FR9:FR39)</f>
        <v>0</v>
      </c>
      <c r="FS41" s="526">
        <f>IFERROR((FR41/$L$41),0)</f>
        <v>0</v>
      </c>
      <c r="FT41" s="526">
        <f>IFERROR(((FR41*FT$8)/$L$41),0)</f>
        <v>0</v>
      </c>
      <c r="FU41" s="526">
        <f>SUM(FU9:FU39)</f>
        <v>0</v>
      </c>
      <c r="FV41" s="526">
        <f>IFERROR((FU41/$L$41),0)</f>
        <v>0</v>
      </c>
      <c r="FW41" s="526">
        <f>IFERROR(((FU41*FW$8)/$L$41),0)</f>
        <v>0</v>
      </c>
      <c r="FX41" s="526">
        <f>SUM(FX9:FX39)</f>
        <v>0</v>
      </c>
      <c r="FY41" s="526">
        <f>IFERROR((FX41/$L$41),0)</f>
        <v>0</v>
      </c>
      <c r="FZ41" s="526">
        <f>IFERROR(((FX41*FZ$8)/$L$41),0)</f>
        <v>0</v>
      </c>
      <c r="GA41" s="526">
        <f>SUM(GA9:GA39)</f>
        <v>125.08033191319237</v>
      </c>
      <c r="GB41" s="526">
        <f>IFERROR((GA41/$L$41),0)</f>
        <v>0</v>
      </c>
      <c r="GC41" s="526">
        <f>IFERROR(((GA41*GC$8)/$L$41),0)</f>
        <v>0</v>
      </c>
      <c r="GD41" s="526">
        <f>SUM(GD9:GD39)</f>
        <v>0</v>
      </c>
      <c r="GE41" s="526">
        <f>IFERROR((GD41/$L$41),0)</f>
        <v>0</v>
      </c>
      <c r="GF41" s="526">
        <f>IFERROR(((GD41*GF$8)/$L$41),0)</f>
        <v>0</v>
      </c>
      <c r="GG41" s="526">
        <f>SUM(GG9:GG39)</f>
        <v>429.47754105637216</v>
      </c>
      <c r="GH41" s="526">
        <f>IFERROR((GG41/$L$41),0)</f>
        <v>0</v>
      </c>
      <c r="GI41" s="526">
        <f>IFERROR(((GG41*GI$8)/$L$41),0)</f>
        <v>0</v>
      </c>
      <c r="GJ41" s="526">
        <f>SUM(GJ9:GJ39)</f>
        <v>447.69129359409891</v>
      </c>
      <c r="GK41" s="526">
        <f>IFERROR((GJ41/$L$41),0)</f>
        <v>0</v>
      </c>
      <c r="GL41" s="526">
        <f>IFERROR(((GJ41*GL$8)/$L$41),0)</f>
        <v>0</v>
      </c>
      <c r="GM41" s="526">
        <f>SUM(GM9:GM39)</f>
        <v>22.841732026280393</v>
      </c>
      <c r="GN41" s="526">
        <f>IFERROR((GM41/$L$41),0)</f>
        <v>0</v>
      </c>
      <c r="GO41" s="526">
        <f>IFERROR(((GM41*GO$8)/$L$41),0)</f>
        <v>0</v>
      </c>
      <c r="GP41" s="526">
        <f>SUM(GP9:GP39)</f>
        <v>914.88290881506873</v>
      </c>
      <c r="GQ41" s="526">
        <f>IFERROR((GP41/$L$41),0)</f>
        <v>0</v>
      </c>
      <c r="GR41" s="526">
        <f>IFERROR(((GP41*GR$8)/$L$41),0)</f>
        <v>0</v>
      </c>
      <c r="GS41" s="526">
        <f>SUM(GS9:GS39)</f>
        <v>5311.3731771514977</v>
      </c>
      <c r="GT41" s="526">
        <f>IFERROR((GS41/$L$41),0)</f>
        <v>0</v>
      </c>
      <c r="GU41" s="526">
        <f>IFERROR(((GS41*GU$8)/$L$41),0)</f>
        <v>0</v>
      </c>
      <c r="GV41" s="526">
        <f>SUM(GV9:GV39)</f>
        <v>860.69553819962482</v>
      </c>
      <c r="GW41" s="526">
        <f>IFERROR((GV41/$L$41),0)</f>
        <v>0</v>
      </c>
      <c r="GX41" s="526">
        <f>IFERROR(((GV41*GX$8)/$L$41),0)</f>
        <v>0</v>
      </c>
      <c r="GY41" s="526">
        <f>SUM(GY9:GY39)</f>
        <v>0</v>
      </c>
      <c r="GZ41" s="526">
        <f>IFERROR((GY41/$L$41),0)</f>
        <v>0</v>
      </c>
      <c r="HA41" s="526">
        <f>IFERROR(((GY41*HA$8)/$L$41),0)</f>
        <v>0</v>
      </c>
      <c r="HB41" s="526">
        <f>SUM(HB9:HB39)</f>
        <v>0</v>
      </c>
      <c r="HC41" s="526">
        <f>IFERROR((HB41/$L$41),0)</f>
        <v>0</v>
      </c>
      <c r="HD41" s="526">
        <f>IFERROR(((HB41*HD$8)/$L$41),0)</f>
        <v>0</v>
      </c>
      <c r="HE41" s="526">
        <f>SUM(HE9:HE39)</f>
        <v>0</v>
      </c>
      <c r="HF41" s="526">
        <f>IFERROR((HE41/$L$41),0)</f>
        <v>0</v>
      </c>
      <c r="HG41" s="526">
        <f>IFERROR(((HE41*HG$8)/$L$41),0)</f>
        <v>0</v>
      </c>
      <c r="HH41" s="526">
        <f>SUM(HH9:HH39)</f>
        <v>0</v>
      </c>
      <c r="HI41" s="526">
        <f>IFERROR((HH41/$L$41),0)</f>
        <v>0</v>
      </c>
      <c r="HJ41" s="526">
        <f>IFERROR(((HH41*HJ$8)/$L$41),0)</f>
        <v>0</v>
      </c>
      <c r="HK41" s="526">
        <f>SUM(HK9:HK39)</f>
        <v>0</v>
      </c>
      <c r="HL41" s="526">
        <f>IFERROR((HK41/$L$41),0)</f>
        <v>0</v>
      </c>
      <c r="HM41" s="526">
        <f>IFERROR(((HK41*HM$8)/$L$41),0)</f>
        <v>0</v>
      </c>
      <c r="HN41" s="526">
        <f>SUM(HN9:HN39)</f>
        <v>25384.101682295302</v>
      </c>
      <c r="HO41" s="526">
        <f>IFERROR((HN41/$L$41),0)</f>
        <v>0</v>
      </c>
      <c r="HP41" s="526">
        <f>IFERROR(((HN41*HP$8)/$L$41),0)</f>
        <v>0</v>
      </c>
      <c r="HQ41" s="526">
        <f>SUM(HQ9:HQ39)</f>
        <v>0</v>
      </c>
      <c r="HR41" s="526">
        <f>IFERROR((HQ41/$L$41),0)</f>
        <v>0</v>
      </c>
      <c r="HS41" s="526">
        <f>IFERROR(((HQ41*HS$8)/$L$41),0)</f>
        <v>0</v>
      </c>
      <c r="HT41" s="526">
        <f>SUM(HT9:HT39)</f>
        <v>0</v>
      </c>
      <c r="HU41" s="526">
        <f>IFERROR((HT41/$L$41),0)</f>
        <v>0</v>
      </c>
      <c r="HV41" s="526">
        <f>IFERROR(((HT41*HV$8)/$L$41),0)</f>
        <v>0</v>
      </c>
      <c r="HW41" s="526">
        <f>SUM(HW9:HW39)</f>
        <v>0</v>
      </c>
      <c r="HX41" s="526">
        <f>IFERROR((HW41/$L$41),0)</f>
        <v>0</v>
      </c>
      <c r="HY41" s="526">
        <f>IFERROR(((HW41*HY$8)/$L$41),0)</f>
        <v>0</v>
      </c>
      <c r="HZ41" s="526">
        <f>SUM(HZ9:HZ39)</f>
        <v>0</v>
      </c>
      <c r="IA41" s="526">
        <f>IFERROR((HZ41/$L$41),0)</f>
        <v>0</v>
      </c>
      <c r="IB41" s="526">
        <f>IFERROR(((HZ41*IB$8)/$L$41),0)</f>
        <v>0</v>
      </c>
      <c r="IC41" s="526">
        <f>SUM(IC9:IC39)</f>
        <v>0</v>
      </c>
      <c r="ID41" s="526">
        <f>IFERROR((IC41/$L$41),0)</f>
        <v>0</v>
      </c>
      <c r="IE41" s="526">
        <f>IFERROR(((IC41*IE$8)/$L$41),0)</f>
        <v>0</v>
      </c>
      <c r="IF41" s="526">
        <f>SUM(IF9:IF39)</f>
        <v>0</v>
      </c>
      <c r="IG41" s="526">
        <f>IFERROR((IF41/$L$41),0)</f>
        <v>0</v>
      </c>
      <c r="IH41" s="526">
        <f>IFERROR(((IF41*IH$8)/$L$41),0)</f>
        <v>0</v>
      </c>
      <c r="II41" s="526">
        <f>SUM(II9:II39)</f>
        <v>664.63416689282167</v>
      </c>
      <c r="IJ41" s="526">
        <f>IFERROR((II41/$L$41),0)</f>
        <v>0</v>
      </c>
      <c r="IK41" s="526">
        <f>IFERROR(((II41*IK$8)/$L$41),0)</f>
        <v>0</v>
      </c>
      <c r="IL41" s="526">
        <f>SUM(IL9:IL39)</f>
        <v>0</v>
      </c>
      <c r="IM41" s="526">
        <f>IFERROR((IL41/$L$41),0)</f>
        <v>0</v>
      </c>
      <c r="IN41" s="526">
        <f>IFERROR(((IL41*IN$8)/$L$41),0)</f>
        <v>0</v>
      </c>
      <c r="IO41" s="526">
        <f>SUM(IO9:IO39)</f>
        <v>0</v>
      </c>
      <c r="IP41" s="526">
        <f>IFERROR((IO41/$L$41),0)</f>
        <v>0</v>
      </c>
      <c r="IQ41" s="526">
        <f>IFERROR(((IO41*IQ$8)/$L$41),0)</f>
        <v>0</v>
      </c>
      <c r="IR41" s="526">
        <f>SUM(IR9:IR39)</f>
        <v>1430.5467233258641</v>
      </c>
      <c r="IS41" s="526">
        <f>IFERROR((IR41/$L$41),0)</f>
        <v>0</v>
      </c>
      <c r="IT41" s="526">
        <f>IFERROR(((IR41*IT$8)/$L$41),0)</f>
        <v>0</v>
      </c>
      <c r="IU41" s="526">
        <f>SUM(IU9:IU39)</f>
        <v>0</v>
      </c>
      <c r="IV41" s="526">
        <f>IFERROR((IU41/$L$41),0)</f>
        <v>0</v>
      </c>
      <c r="IW41" s="526">
        <f>IFERROR(((IU41*IW$8)/$L$41),0)</f>
        <v>0</v>
      </c>
      <c r="IX41" s="526">
        <f>SUM(IX9:IX39)</f>
        <v>0</v>
      </c>
      <c r="IY41" s="526">
        <f>IFERROR((IX41/$L$41),0)</f>
        <v>0</v>
      </c>
      <c r="IZ41" s="526">
        <f>IFERROR(((IX41*IZ$8)/$L$41),0)</f>
        <v>0</v>
      </c>
      <c r="JA41" s="526">
        <f>SUM(JA9:JA39)</f>
        <v>0</v>
      </c>
      <c r="JB41" s="526">
        <f>IFERROR((JA41/$L$41),0)</f>
        <v>0</v>
      </c>
      <c r="JC41" s="526">
        <f>IFERROR(((JA41*JC$8)/$L$41),0)</f>
        <v>0</v>
      </c>
      <c r="JD41" s="526">
        <f>SUM(JD9:JD39)</f>
        <v>0</v>
      </c>
      <c r="JE41" s="526">
        <f>IFERROR((JD41/$L$41),0)</f>
        <v>0</v>
      </c>
      <c r="JF41" s="526">
        <f>IFERROR(((JD41*JF$8)/$L$41),0)</f>
        <v>0</v>
      </c>
      <c r="JG41" s="526">
        <f>SUM(JG9:JG39)</f>
        <v>0</v>
      </c>
      <c r="JH41" s="526">
        <f>IFERROR((JG41/$L$41),0)</f>
        <v>0</v>
      </c>
      <c r="JI41" s="526">
        <f>IFERROR(((JG41*JI$8)/$L$41),0)</f>
        <v>0</v>
      </c>
      <c r="JJ41" s="526">
        <f>SUM(JJ9:JJ39)</f>
        <v>684.6840090904011</v>
      </c>
      <c r="JK41" s="526">
        <f>IFERROR((JJ41/$L$41),0)</f>
        <v>0</v>
      </c>
      <c r="JL41" s="526">
        <f>IFERROR(((JJ41*JL$8)/$L$41),0)</f>
        <v>0</v>
      </c>
      <c r="JM41" s="526">
        <f>SUM(JM9:JM39)</f>
        <v>7.8132461521507546</v>
      </c>
      <c r="JN41" s="526">
        <f>IFERROR((JM41/$L$41),0)</f>
        <v>0</v>
      </c>
      <c r="JO41" s="526">
        <f>IFERROR(((JM41*JO$8)/$L$41),0)</f>
        <v>0</v>
      </c>
      <c r="JP41" s="526">
        <f>SUM(JP9:JP39)</f>
        <v>0</v>
      </c>
      <c r="JQ41" s="526">
        <f>IFERROR((JP41/$L$41),0)</f>
        <v>0</v>
      </c>
      <c r="JR41" s="526">
        <f>IFERROR(((JP41*JR$8)/$L$41),0)</f>
        <v>0</v>
      </c>
      <c r="JS41" s="526">
        <f>SUM(JS9:JS39)</f>
        <v>0</v>
      </c>
      <c r="JT41" s="526">
        <f>IFERROR((JS41/$L$41),0)</f>
        <v>0</v>
      </c>
      <c r="JU41" s="526">
        <f>IFERROR(((JS41*JU$8)/$L$41),0)</f>
        <v>0</v>
      </c>
      <c r="JV41" s="526">
        <f>SUM(JV9:JV39)</f>
        <v>0</v>
      </c>
      <c r="JW41" s="526">
        <f>IFERROR((JV41/$L$41),0)</f>
        <v>0</v>
      </c>
      <c r="JX41" s="526">
        <f>IFERROR(((JV41*JX$8)/$L$41),0)</f>
        <v>0</v>
      </c>
      <c r="JY41" s="526">
        <f>SUM(JY9:JY39)</f>
        <v>0</v>
      </c>
      <c r="JZ41" s="526">
        <f>IFERROR((JY41/$L$41),0)</f>
        <v>0</v>
      </c>
      <c r="KA41" s="526">
        <f>IFERROR(((JY41*KA$8)/$L$41),0)</f>
        <v>0</v>
      </c>
      <c r="KB41" s="526">
        <f>SUM(KB9:KB39)</f>
        <v>0</v>
      </c>
      <c r="KC41" s="526">
        <f>IFERROR((KB41/$L$41),0)</f>
        <v>0</v>
      </c>
      <c r="KD41" s="526">
        <f>IFERROR(((KB41*KD$8)/$L$41),0)</f>
        <v>0</v>
      </c>
      <c r="KE41" s="526">
        <f>SUM(KE9:KE39)</f>
        <v>0</v>
      </c>
      <c r="KF41" s="526">
        <f>IFERROR((KE41/$L$41),0)</f>
        <v>0</v>
      </c>
      <c r="KG41" s="526">
        <f>IFERROR(((KE41*KG$8)/$L$41),0)</f>
        <v>0</v>
      </c>
      <c r="KH41" s="526">
        <f>SUM(KH9:KH39)</f>
        <v>0</v>
      </c>
      <c r="KI41" s="526">
        <f>IFERROR((KH41/$L$41),0)</f>
        <v>0</v>
      </c>
      <c r="KJ41" s="526">
        <f>IFERROR(((KH41*KJ$8)/$L$41),0)</f>
        <v>0</v>
      </c>
      <c r="KK41" s="526">
        <f>SUM(KK9:KK39)</f>
        <v>0</v>
      </c>
      <c r="KL41" s="526">
        <f>IFERROR((KK41/$L$41),0)</f>
        <v>0</v>
      </c>
      <c r="KM41" s="526">
        <f>IFERROR(((KK41*KM$8)/$L$41),0)</f>
        <v>0</v>
      </c>
      <c r="KN41" s="526">
        <f>SUM(KN9:KN39)</f>
        <v>0</v>
      </c>
      <c r="KO41" s="526">
        <f>IFERROR((KN41/$L$41),0)</f>
        <v>0</v>
      </c>
      <c r="KP41" s="526">
        <f>IFERROR(((KN41*KP$8)/$L$41),0)</f>
        <v>0</v>
      </c>
      <c r="KQ41" s="526">
        <f>SUM(KQ9:KQ39)</f>
        <v>0</v>
      </c>
      <c r="KR41" s="526">
        <f>IFERROR((KQ41/$L$41),0)</f>
        <v>0</v>
      </c>
      <c r="KS41" s="526">
        <f>IFERROR(((KQ41*KS$8)/$L$41),0)</f>
        <v>0</v>
      </c>
      <c r="KT41" s="527">
        <f t="shared" si="201"/>
        <v>0</v>
      </c>
      <c r="KU41" s="527">
        <f t="shared" si="202"/>
        <v>0</v>
      </c>
      <c r="KV41" s="264">
        <f t="shared" si="198"/>
        <v>54955.952660009068</v>
      </c>
      <c r="KW41" s="528"/>
      <c r="KX41" s="528"/>
      <c r="KY41" s="528"/>
      <c r="KZ41" s="528"/>
      <c r="LA41" s="528"/>
      <c r="LB41" s="528"/>
      <c r="LC41" s="528"/>
      <c r="LD41" s="528"/>
      <c r="LE41" s="528"/>
      <c r="LF41" s="528"/>
      <c r="LG41" s="528"/>
      <c r="LH41" s="528"/>
      <c r="LI41" s="528"/>
      <c r="LJ41" s="528"/>
      <c r="LK41" s="528"/>
      <c r="LL41" s="528"/>
      <c r="LM41" s="528"/>
      <c r="LN41" s="528"/>
      <c r="LO41" s="528"/>
      <c r="LP41" s="528"/>
      <c r="LQ41" s="528"/>
      <c r="LR41" s="528"/>
      <c r="LS41" s="528"/>
      <c r="LT41" s="528"/>
      <c r="LU41" s="528"/>
      <c r="LV41" s="528"/>
      <c r="LW41" s="528"/>
      <c r="LX41" s="528"/>
      <c r="LY41" s="528"/>
      <c r="LZ41" s="528"/>
      <c r="MA41" s="528"/>
      <c r="MB41" s="528"/>
      <c r="MC41" s="528"/>
      <c r="MD41" s="528"/>
      <c r="ME41" s="528"/>
      <c r="MF41" s="528"/>
      <c r="MG41" s="528"/>
      <c r="MH41" s="528"/>
      <c r="MI41" s="528"/>
      <c r="MJ41" s="528"/>
      <c r="MK41" s="528"/>
      <c r="ML41" s="528"/>
      <c r="MM41" s="528"/>
      <c r="MN41" s="528"/>
      <c r="MO41" s="528"/>
      <c r="MP41" s="528"/>
      <c r="MQ41" s="528"/>
      <c r="MR41" s="528"/>
      <c r="MS41" s="528"/>
      <c r="MT41" s="528"/>
      <c r="MU41" s="528"/>
      <c r="MV41" s="528"/>
      <c r="MW41" s="528"/>
      <c r="MX41" s="528"/>
      <c r="MY41" s="528"/>
      <c r="MZ41" s="528"/>
      <c r="NA41" s="528"/>
      <c r="NB41" s="528"/>
      <c r="NC41" s="528"/>
      <c r="ND41" s="528"/>
      <c r="NE41" s="528"/>
      <c r="NF41" s="528"/>
      <c r="NG41" s="528"/>
      <c r="NH41" s="528"/>
      <c r="NI41" s="528"/>
      <c r="NJ41" s="528"/>
      <c r="NK41" s="528"/>
      <c r="NL41" s="528"/>
      <c r="NM41" s="528"/>
      <c r="NN41" s="528"/>
      <c r="NO41" s="528"/>
      <c r="NP41" s="528"/>
      <c r="NQ41" s="528"/>
      <c r="NR41" s="528"/>
      <c r="NS41" s="528"/>
      <c r="NT41" s="528"/>
      <c r="NU41" s="528"/>
      <c r="NV41" s="528"/>
      <c r="NW41" s="528"/>
      <c r="NX41" s="528"/>
      <c r="NY41" s="528"/>
      <c r="NZ41" s="528"/>
      <c r="OA41" s="528"/>
      <c r="OB41" s="528"/>
      <c r="OC41" s="528"/>
      <c r="OD41" s="528"/>
      <c r="OE41" s="528"/>
      <c r="OF41" s="528"/>
      <c r="OG41" s="528"/>
      <c r="OH41" s="528"/>
      <c r="OI41" s="528"/>
      <c r="OJ41" s="528"/>
      <c r="OK41" s="528"/>
      <c r="OL41" s="528"/>
      <c r="OM41" s="528"/>
      <c r="ON41" s="528"/>
      <c r="OO41" s="528"/>
      <c r="OP41" s="528"/>
      <c r="OQ41" s="528"/>
      <c r="OR41" s="528"/>
      <c r="OS41" s="528"/>
      <c r="OT41" s="528"/>
      <c r="OU41" s="528"/>
      <c r="OV41" s="528"/>
      <c r="OW41" s="528"/>
      <c r="OX41" s="528"/>
      <c r="OY41" s="528"/>
      <c r="OZ41" s="528"/>
      <c r="PA41" s="528"/>
      <c r="PB41" s="528"/>
      <c r="PC41" s="528"/>
      <c r="PD41" s="528"/>
      <c r="PE41" s="528"/>
      <c r="PF41" s="528"/>
      <c r="PG41" s="528"/>
      <c r="PH41" s="528"/>
      <c r="PI41" s="528"/>
      <c r="PJ41" s="528"/>
      <c r="PK41" s="528"/>
      <c r="PL41" s="528"/>
      <c r="PM41" s="528"/>
      <c r="PN41" s="528"/>
      <c r="PO41" s="528"/>
      <c r="PP41" s="528"/>
      <c r="PQ41" s="528"/>
      <c r="PR41" s="528"/>
      <c r="PS41" s="528"/>
      <c r="PT41" s="528"/>
      <c r="PU41" s="528"/>
      <c r="PV41" s="528"/>
      <c r="PW41" s="528"/>
      <c r="PX41" s="528"/>
      <c r="PY41" s="528"/>
      <c r="PZ41" s="528"/>
      <c r="QA41" s="528"/>
      <c r="QB41" s="528"/>
      <c r="QC41" s="528"/>
      <c r="QD41" s="528"/>
      <c r="QE41" s="528"/>
      <c r="QF41" s="528"/>
      <c r="QG41" s="528"/>
      <c r="QH41" s="528"/>
      <c r="QI41" s="528"/>
      <c r="QJ41" s="528"/>
      <c r="QK41" s="528"/>
      <c r="QL41" s="528"/>
      <c r="QM41" s="528"/>
      <c r="QN41" s="528"/>
      <c r="QO41" s="528"/>
      <c r="QP41" s="528"/>
      <c r="QQ41" s="528"/>
      <c r="QR41" s="528"/>
      <c r="QS41" s="528"/>
      <c r="QT41" s="528"/>
      <c r="QU41" s="528"/>
      <c r="QV41" s="528"/>
      <c r="QW41" s="528"/>
      <c r="QX41" s="528"/>
      <c r="QY41" s="528"/>
      <c r="QZ41" s="528"/>
      <c r="RA41" s="528"/>
      <c r="RB41" s="528"/>
      <c r="RC41" s="528"/>
      <c r="RD41" s="528"/>
      <c r="RE41" s="528"/>
      <c r="RF41" s="528"/>
      <c r="RG41" s="528"/>
      <c r="RH41" s="528"/>
      <c r="RI41" s="528"/>
      <c r="RJ41" s="528"/>
      <c r="RK41" s="528"/>
      <c r="RL41" s="528"/>
      <c r="RM41" s="528"/>
      <c r="RN41" s="528"/>
      <c r="RO41" s="528"/>
      <c r="RP41" s="528"/>
      <c r="RQ41" s="528"/>
      <c r="RR41" s="528"/>
      <c r="RS41" s="528"/>
      <c r="RT41" s="528"/>
      <c r="RU41" s="528"/>
      <c r="RV41" s="528"/>
      <c r="RW41" s="528"/>
      <c r="RX41" s="528"/>
      <c r="RY41" s="528"/>
      <c r="RZ41" s="528"/>
      <c r="SA41" s="528"/>
      <c r="SB41" s="528"/>
      <c r="SC41" s="528"/>
      <c r="SD41" s="528"/>
      <c r="SE41" s="528"/>
      <c r="SF41" s="528"/>
      <c r="SG41" s="528"/>
      <c r="SH41" s="528"/>
      <c r="SI41" s="528"/>
      <c r="SJ41" s="528"/>
      <c r="SK41" s="528"/>
      <c r="SL41" s="528"/>
      <c r="SM41" s="528"/>
      <c r="SN41" s="528"/>
      <c r="SO41" s="528"/>
      <c r="SP41" s="528"/>
      <c r="SQ41" s="528"/>
      <c r="SR41" s="528"/>
      <c r="SS41" s="528"/>
      <c r="ST41" s="528"/>
      <c r="SU41" s="528"/>
      <c r="SV41" s="528"/>
      <c r="SW41" s="528"/>
      <c r="SX41" s="528"/>
      <c r="SY41" s="528"/>
      <c r="SZ41" s="528"/>
      <c r="TA41" s="528"/>
      <c r="TB41" s="528"/>
      <c r="TC41" s="528"/>
      <c r="TD41" s="528"/>
      <c r="TE41" s="528"/>
      <c r="TF41" s="528"/>
      <c r="TG41" s="528"/>
      <c r="TH41" s="528"/>
      <c r="TI41" s="528"/>
      <c r="TJ41" s="528"/>
      <c r="TK41" s="528"/>
      <c r="TL41" s="528"/>
      <c r="TM41" s="528"/>
      <c r="TN41" s="528"/>
      <c r="TO41" s="528"/>
      <c r="TP41" s="528"/>
      <c r="TQ41" s="528"/>
      <c r="TR41" s="528"/>
      <c r="TS41" s="528"/>
      <c r="TT41" s="528"/>
      <c r="TU41" s="528"/>
      <c r="TV41" s="528"/>
      <c r="TW41" s="528"/>
      <c r="TX41" s="528"/>
      <c r="TY41" s="528"/>
      <c r="TZ41" s="528"/>
      <c r="UA41" s="528"/>
      <c r="UB41" s="528"/>
      <c r="UC41" s="528"/>
      <c r="UD41" s="528"/>
      <c r="UE41" s="528"/>
      <c r="UF41" s="528"/>
      <c r="UG41" s="528"/>
      <c r="UH41" s="528"/>
      <c r="UI41" s="528"/>
      <c r="UJ41" s="528"/>
      <c r="UK41" s="528"/>
      <c r="UL41" s="528"/>
      <c r="UM41" s="528"/>
      <c r="UN41" s="528"/>
      <c r="UO41" s="528"/>
      <c r="UP41" s="528"/>
      <c r="UQ41" s="528"/>
      <c r="UR41" s="528"/>
      <c r="US41" s="528"/>
      <c r="UT41" s="528"/>
      <c r="UU41" s="528"/>
      <c r="UV41" s="528"/>
      <c r="UW41" s="528"/>
      <c r="UX41" s="528"/>
      <c r="UY41" s="528"/>
      <c r="UZ41" s="528"/>
      <c r="VA41" s="528"/>
      <c r="VB41" s="528"/>
      <c r="VC41" s="528"/>
      <c r="VD41" s="528"/>
      <c r="VE41" s="528"/>
      <c r="VF41" s="528"/>
      <c r="VG41" s="528"/>
      <c r="VH41" s="528"/>
      <c r="VI41" s="528"/>
      <c r="VJ41" s="528"/>
      <c r="VK41" s="528"/>
      <c r="VL41" s="528"/>
      <c r="VM41" s="528"/>
      <c r="VN41" s="528"/>
      <c r="VO41" s="528"/>
      <c r="VP41" s="528"/>
      <c r="VQ41" s="528"/>
      <c r="VR41" s="528"/>
      <c r="VS41" s="528"/>
      <c r="VT41" s="528"/>
      <c r="VU41" s="528"/>
      <c r="VV41" s="528"/>
      <c r="VW41" s="528"/>
      <c r="VX41" s="528"/>
      <c r="VY41" s="528"/>
      <c r="VZ41" s="528"/>
      <c r="WA41" s="528"/>
      <c r="WB41" s="528"/>
      <c r="WC41" s="528"/>
      <c r="WD41" s="528"/>
      <c r="WE41" s="528"/>
      <c r="WF41" s="528"/>
      <c r="WG41" s="528"/>
      <c r="WH41" s="528"/>
      <c r="WI41" s="528"/>
      <c r="WJ41" s="528"/>
      <c r="WK41" s="528"/>
      <c r="WL41" s="528"/>
      <c r="WM41" s="528"/>
      <c r="WN41" s="528"/>
      <c r="WO41" s="528"/>
      <c r="WP41" s="528"/>
      <c r="WQ41" s="528"/>
      <c r="WR41" s="528"/>
      <c r="WS41" s="528"/>
      <c r="WT41" s="528"/>
      <c r="WU41" s="528"/>
      <c r="WV41" s="528"/>
      <c r="WW41" s="528"/>
      <c r="WX41" s="528"/>
      <c r="WY41" s="528"/>
      <c r="WZ41" s="528"/>
      <c r="XA41" s="528"/>
      <c r="XB41" s="528"/>
      <c r="XC41" s="528"/>
      <c r="XD41" s="528"/>
      <c r="XE41" s="528"/>
      <c r="XF41" s="528"/>
      <c r="XG41" s="528"/>
      <c r="XH41" s="528"/>
      <c r="XI41" s="528"/>
      <c r="XJ41" s="528"/>
      <c r="XK41" s="528"/>
      <c r="XL41" s="528"/>
      <c r="XM41" s="528"/>
      <c r="XN41" s="528"/>
      <c r="XO41" s="528"/>
      <c r="XP41" s="528"/>
      <c r="XQ41" s="528"/>
      <c r="XR41" s="528"/>
      <c r="XS41" s="528"/>
      <c r="XT41" s="528"/>
      <c r="XU41" s="528"/>
      <c r="XV41" s="528"/>
      <c r="XW41" s="528"/>
      <c r="XX41" s="528"/>
      <c r="XY41" s="528"/>
      <c r="XZ41" s="528"/>
      <c r="YA41" s="528"/>
      <c r="YB41" s="528"/>
      <c r="YC41" s="528"/>
      <c r="YD41" s="528"/>
      <c r="YE41" s="528"/>
      <c r="YF41" s="528"/>
      <c r="YG41" s="528"/>
      <c r="YH41" s="528"/>
      <c r="YI41" s="528"/>
      <c r="YJ41" s="528"/>
      <c r="YK41" s="528"/>
      <c r="YL41" s="528"/>
      <c r="YM41" s="528"/>
      <c r="YN41" s="528"/>
      <c r="YO41" s="528"/>
      <c r="YP41" s="528"/>
      <c r="YQ41" s="528"/>
      <c r="YR41" s="528"/>
      <c r="YS41" s="528"/>
      <c r="YT41" s="528"/>
      <c r="YU41" s="528"/>
      <c r="YV41" s="528"/>
      <c r="YW41" s="528"/>
      <c r="YX41" s="528"/>
      <c r="YY41" s="528"/>
      <c r="YZ41" s="528"/>
      <c r="ZA41" s="528"/>
      <c r="ZB41" s="528"/>
      <c r="ZC41" s="528"/>
      <c r="ZD41" s="528"/>
      <c r="ZE41" s="528"/>
      <c r="ZF41" s="528"/>
      <c r="ZG41" s="528"/>
      <c r="ZH41" s="528"/>
      <c r="ZI41" s="528"/>
      <c r="ZJ41" s="528"/>
      <c r="ZK41" s="528"/>
      <c r="ZL41" s="528"/>
      <c r="ZM41" s="528"/>
      <c r="ZN41" s="528"/>
      <c r="ZO41" s="528"/>
      <c r="ZP41" s="528"/>
      <c r="ZQ41" s="528"/>
      <c r="ZR41" s="528"/>
      <c r="ZS41" s="528"/>
      <c r="ZT41" s="528"/>
      <c r="ZU41" s="528"/>
      <c r="ZV41" s="528"/>
      <c r="ZW41" s="528"/>
      <c r="ZX41" s="528"/>
      <c r="ZY41" s="528"/>
      <c r="ZZ41" s="528"/>
      <c r="AAA41" s="528"/>
      <c r="AAB41" s="528"/>
      <c r="AAC41" s="528"/>
      <c r="AAD41" s="528"/>
      <c r="AAE41" s="528"/>
      <c r="AAF41" s="528"/>
      <c r="AAG41" s="528"/>
      <c r="AAH41" s="528"/>
      <c r="AAI41" s="528"/>
      <c r="AAJ41" s="528"/>
      <c r="AAK41" s="528"/>
      <c r="AAL41" s="528"/>
      <c r="AAM41" s="528"/>
      <c r="AAN41" s="528"/>
      <c r="AAO41" s="528"/>
      <c r="AAP41" s="528"/>
      <c r="AAQ41" s="528"/>
      <c r="AAR41" s="528"/>
      <c r="AAS41" s="528"/>
      <c r="AAT41" s="528"/>
      <c r="AAU41" s="528"/>
      <c r="AAV41" s="528"/>
      <c r="AAW41" s="528"/>
      <c r="AAX41" s="528"/>
      <c r="AAY41" s="528"/>
      <c r="AAZ41" s="528"/>
      <c r="ABA41" s="528"/>
      <c r="ABB41" s="528"/>
      <c r="ABC41" s="528"/>
      <c r="ABD41" s="528"/>
      <c r="ABE41" s="528"/>
      <c r="ABF41" s="528"/>
      <c r="ABG41" s="528"/>
      <c r="ABH41" s="528"/>
      <c r="ABI41" s="528"/>
      <c r="ABJ41" s="528"/>
      <c r="ABK41" s="528"/>
      <c r="ABL41" s="528"/>
      <c r="ABM41" s="528"/>
      <c r="ABN41" s="528"/>
      <c r="ABO41" s="528"/>
      <c r="ABP41" s="528"/>
      <c r="ABQ41" s="528"/>
      <c r="ABR41" s="528"/>
      <c r="ABS41" s="528"/>
      <c r="ABT41" s="528"/>
      <c r="ABU41" s="528"/>
      <c r="ABV41" s="528"/>
      <c r="ABW41" s="528"/>
      <c r="ABX41" s="528"/>
      <c r="ABY41" s="528"/>
      <c r="ABZ41" s="528"/>
      <c r="ACA41" s="528"/>
      <c r="ACB41" s="528"/>
      <c r="ACC41" s="528"/>
      <c r="ACD41" s="528"/>
      <c r="ACE41" s="528"/>
      <c r="ACF41" s="528"/>
      <c r="ACG41" s="528"/>
      <c r="ACH41" s="528"/>
      <c r="ACI41" s="528"/>
      <c r="ACJ41" s="528"/>
      <c r="ACK41" s="528"/>
      <c r="ACL41" s="528"/>
      <c r="ACM41" s="528"/>
      <c r="ACN41" s="528"/>
      <c r="ACO41" s="528"/>
      <c r="ACP41" s="528"/>
      <c r="ACQ41" s="528"/>
      <c r="ACR41" s="528"/>
      <c r="ACS41" s="528"/>
      <c r="ACT41" s="528"/>
      <c r="ACU41" s="528"/>
      <c r="ACV41" s="528"/>
      <c r="ACW41" s="528"/>
      <c r="ACX41" s="528"/>
      <c r="ACY41" s="528"/>
      <c r="ACZ41" s="528"/>
      <c r="ADA41" s="528"/>
      <c r="ADB41" s="528"/>
      <c r="ADC41" s="528"/>
      <c r="ADD41" s="528"/>
      <c r="ADE41" s="528"/>
      <c r="ADF41" s="528"/>
      <c r="ADG41" s="528"/>
      <c r="ADH41" s="528"/>
      <c r="ADI41" s="528"/>
      <c r="ADJ41" s="528"/>
      <c r="ADK41" s="528"/>
      <c r="ADL41" s="528"/>
      <c r="ADM41" s="528"/>
      <c r="ADN41" s="528"/>
      <c r="ADO41" s="528"/>
      <c r="ADP41" s="528"/>
      <c r="ADQ41" s="528"/>
      <c r="ADR41" s="528"/>
      <c r="ADS41" s="528"/>
      <c r="ADT41" s="528"/>
      <c r="ADU41" s="528"/>
      <c r="ADV41" s="528"/>
      <c r="ADW41" s="528"/>
      <c r="ADX41" s="528"/>
      <c r="ADY41" s="528"/>
      <c r="ADZ41" s="528"/>
      <c r="AEA41" s="528"/>
      <c r="AEB41" s="528"/>
      <c r="AEC41" s="528"/>
      <c r="AED41" s="528"/>
      <c r="AEE41" s="528"/>
      <c r="AEF41" s="528"/>
      <c r="AEG41" s="528"/>
      <c r="AEH41" s="528"/>
      <c r="AEI41" s="528"/>
      <c r="AEJ41" s="528"/>
      <c r="AEK41" s="528"/>
      <c r="AEL41" s="528"/>
      <c r="AEM41" s="528"/>
      <c r="AEN41" s="528"/>
      <c r="AEO41" s="528"/>
      <c r="AEP41" s="528"/>
      <c r="AEQ41" s="528"/>
      <c r="AER41" s="528"/>
      <c r="AES41" s="528"/>
      <c r="AET41" s="528"/>
      <c r="AEU41" s="528"/>
      <c r="AEV41" s="528"/>
      <c r="AEW41" s="528"/>
      <c r="AEX41" s="528"/>
      <c r="AEY41" s="528"/>
      <c r="AEZ41" s="528"/>
      <c r="AFA41" s="528"/>
      <c r="AFB41" s="528"/>
      <c r="AFC41" s="528"/>
      <c r="AFD41" s="528"/>
      <c r="AFE41" s="528"/>
      <c r="AFF41" s="528"/>
      <c r="AFG41" s="528"/>
      <c r="AFH41" s="528"/>
      <c r="AFI41" s="528"/>
      <c r="AFJ41" s="528"/>
      <c r="AFK41" s="528"/>
      <c r="AFL41" s="528"/>
      <c r="AFM41" s="528"/>
      <c r="AFN41" s="528"/>
      <c r="AFO41" s="528"/>
      <c r="AFP41" s="528"/>
      <c r="AFQ41" s="528"/>
      <c r="AFR41" s="528"/>
      <c r="AFS41" s="528"/>
      <c r="AFT41" s="528"/>
      <c r="AFU41" s="528"/>
      <c r="AFV41" s="528"/>
      <c r="AFW41" s="528"/>
      <c r="AFX41" s="528"/>
      <c r="AFY41" s="528"/>
      <c r="AFZ41" s="528"/>
      <c r="AGA41" s="528"/>
      <c r="AGB41" s="528"/>
      <c r="AGC41" s="528"/>
      <c r="AGD41" s="528"/>
      <c r="AGE41" s="528"/>
      <c r="AGF41" s="528"/>
      <c r="AGG41" s="528"/>
      <c r="AGH41" s="528"/>
      <c r="AGI41" s="528"/>
      <c r="AGJ41" s="528"/>
      <c r="AGK41" s="528"/>
      <c r="AGL41" s="528"/>
      <c r="AGM41" s="528"/>
      <c r="AGN41" s="528"/>
      <c r="AGO41" s="528"/>
      <c r="AGP41" s="528"/>
      <c r="AGQ41" s="528"/>
      <c r="AGR41" s="528"/>
      <c r="AGS41" s="528"/>
      <c r="AGT41" s="528"/>
      <c r="AGU41" s="528"/>
      <c r="AGV41" s="528"/>
      <c r="AGW41" s="528"/>
      <c r="AGX41" s="528"/>
      <c r="AGY41" s="528"/>
      <c r="AGZ41" s="528"/>
      <c r="AHA41" s="528"/>
      <c r="AHB41" s="528"/>
      <c r="AHC41" s="528"/>
      <c r="AHD41" s="528"/>
      <c r="AHE41" s="528"/>
      <c r="AHF41" s="528"/>
      <c r="AHG41" s="528"/>
      <c r="AHH41" s="528"/>
      <c r="AHI41" s="528"/>
      <c r="AHJ41" s="528"/>
      <c r="AHK41" s="528"/>
      <c r="AHL41" s="528"/>
      <c r="AHM41" s="528"/>
      <c r="AHN41" s="528"/>
      <c r="AHO41" s="528"/>
      <c r="AHP41" s="528"/>
      <c r="AHQ41" s="528"/>
      <c r="AHR41" s="528"/>
      <c r="AHS41" s="528"/>
      <c r="AHT41" s="528"/>
      <c r="AHU41" s="528"/>
      <c r="AHV41" s="528"/>
      <c r="AHW41" s="528"/>
      <c r="AHX41" s="528"/>
      <c r="AHY41" s="528"/>
      <c r="AHZ41" s="528"/>
      <c r="AIA41" s="528"/>
      <c r="AIB41" s="528"/>
      <c r="AIC41" s="528"/>
      <c r="AID41" s="528"/>
      <c r="AIE41" s="528"/>
      <c r="AIF41" s="528"/>
      <c r="AIG41" s="528"/>
      <c r="AIH41" s="528"/>
      <c r="AII41" s="528"/>
      <c r="AIJ41" s="528"/>
      <c r="AIK41" s="528"/>
      <c r="AIL41" s="528"/>
      <c r="AIM41" s="528"/>
      <c r="AIN41" s="528"/>
      <c r="AIO41" s="528"/>
      <c r="AIP41" s="528"/>
      <c r="AIQ41" s="528"/>
      <c r="AIR41" s="528"/>
      <c r="AIS41" s="528"/>
      <c r="AIT41" s="528"/>
      <c r="AIU41" s="528"/>
      <c r="AIV41" s="528"/>
      <c r="AIW41" s="528"/>
      <c r="AIX41" s="528"/>
      <c r="AIY41" s="528"/>
      <c r="AIZ41" s="528"/>
      <c r="AJA41" s="528"/>
      <c r="AJB41" s="528"/>
      <c r="AJC41" s="528"/>
      <c r="AJD41" s="528"/>
      <c r="AJE41" s="528"/>
      <c r="AJF41" s="528"/>
      <c r="AJG41" s="528"/>
      <c r="AJH41" s="528"/>
      <c r="AJI41" s="528"/>
      <c r="AJJ41" s="528"/>
      <c r="AJK41" s="528"/>
      <c r="AJL41" s="528"/>
      <c r="AJM41" s="528"/>
      <c r="AJN41" s="528"/>
      <c r="AJO41" s="528"/>
      <c r="AJP41" s="528"/>
      <c r="AJQ41" s="528"/>
      <c r="AJR41" s="528"/>
      <c r="AJS41" s="528"/>
      <c r="AJT41" s="528"/>
      <c r="AJU41" s="528"/>
      <c r="AJV41" s="528"/>
      <c r="AJW41" s="528"/>
      <c r="AJX41" s="528"/>
      <c r="AJY41" s="528"/>
      <c r="AJZ41" s="528"/>
      <c r="AKA41" s="528"/>
      <c r="AKB41" s="528"/>
      <c r="AKC41" s="528"/>
      <c r="AKD41" s="528"/>
      <c r="AKE41" s="528"/>
      <c r="AKF41" s="528"/>
      <c r="AKG41" s="528"/>
      <c r="AKH41" s="528"/>
      <c r="AKI41" s="528"/>
      <c r="AKJ41" s="528"/>
      <c r="AKK41" s="528"/>
      <c r="AKL41" s="528"/>
      <c r="AKM41" s="528"/>
      <c r="AKN41" s="528"/>
      <c r="AKO41" s="528"/>
      <c r="AKP41" s="528"/>
      <c r="AKQ41" s="528"/>
      <c r="AKR41" s="528"/>
      <c r="AKS41" s="528"/>
      <c r="AKT41" s="528"/>
      <c r="AKU41" s="528"/>
      <c r="AKV41" s="528"/>
      <c r="AKW41" s="528"/>
      <c r="AKX41" s="528"/>
      <c r="AKY41" s="528"/>
      <c r="AKZ41" s="528"/>
      <c r="ALA41" s="528"/>
      <c r="ALB41" s="528"/>
      <c r="ALC41" s="528"/>
      <c r="ALD41" s="528"/>
      <c r="ALE41" s="528"/>
      <c r="ALF41" s="528"/>
      <c r="ALG41" s="528"/>
      <c r="ALH41" s="528"/>
      <c r="ALI41" s="528"/>
      <c r="ALJ41" s="528"/>
      <c r="ALK41" s="528"/>
      <c r="ALL41" s="528"/>
      <c r="ALM41" s="528"/>
      <c r="ALN41" s="528"/>
      <c r="ALO41" s="528"/>
      <c r="ALP41" s="528"/>
      <c r="ALQ41" s="528"/>
      <c r="ALR41" s="528"/>
      <c r="ALS41" s="528"/>
      <c r="ALT41" s="528"/>
      <c r="ALU41" s="528"/>
      <c r="ALV41" s="528"/>
      <c r="ALW41" s="528"/>
      <c r="ALX41" s="528"/>
      <c r="ALY41" s="528"/>
      <c r="ALZ41" s="528"/>
      <c r="AMA41" s="528"/>
      <c r="AMB41" s="528"/>
      <c r="AMC41" s="528"/>
      <c r="AMD41" s="528"/>
      <c r="AME41" s="528"/>
      <c r="AMF41" s="528"/>
      <c r="AMG41" s="528"/>
      <c r="AMH41" s="528"/>
      <c r="AMI41" s="528"/>
      <c r="AMJ41" s="528"/>
      <c r="AMK41" s="528"/>
      <c r="AML41" s="528"/>
      <c r="AMM41" s="528"/>
      <c r="AMN41" s="528"/>
      <c r="AMO41" s="528"/>
      <c r="AMP41" s="528"/>
      <c r="AMQ41" s="528"/>
      <c r="AMR41" s="528"/>
      <c r="AMS41" s="528"/>
      <c r="AMT41" s="528"/>
      <c r="AMU41" s="528"/>
      <c r="AMV41" s="528"/>
      <c r="AMW41" s="528"/>
      <c r="AMX41" s="528"/>
      <c r="AMY41" s="528"/>
      <c r="AMZ41" s="528"/>
      <c r="ANA41" s="528"/>
      <c r="ANB41" s="528"/>
      <c r="ANC41" s="528"/>
      <c r="AND41" s="528"/>
      <c r="ANE41" s="528"/>
      <c r="ANF41" s="528"/>
      <c r="ANG41" s="528"/>
      <c r="ANH41" s="528"/>
      <c r="ANI41" s="528"/>
      <c r="ANJ41" s="528"/>
      <c r="ANK41" s="528"/>
      <c r="ANL41" s="528"/>
      <c r="ANM41" s="528"/>
      <c r="ANN41" s="528"/>
      <c r="ANO41" s="528"/>
      <c r="ANP41" s="528"/>
      <c r="ANQ41" s="528"/>
      <c r="ANR41" s="528"/>
      <c r="ANS41" s="528"/>
      <c r="ANT41" s="528"/>
      <c r="ANU41" s="528"/>
      <c r="ANV41" s="528"/>
      <c r="ANW41" s="528"/>
      <c r="ANX41" s="528"/>
      <c r="ANY41" s="528"/>
      <c r="ANZ41" s="528"/>
      <c r="AOA41" s="528"/>
      <c r="AOB41" s="528"/>
      <c r="AOC41" s="528"/>
      <c r="AOD41" s="528"/>
      <c r="AOE41" s="528"/>
      <c r="AOF41" s="528"/>
      <c r="AOG41" s="528"/>
      <c r="AOH41" s="528"/>
      <c r="AOI41" s="528"/>
      <c r="AOJ41" s="528"/>
      <c r="AOK41" s="528"/>
      <c r="AOL41" s="528"/>
      <c r="AOM41" s="528"/>
      <c r="AON41" s="528"/>
      <c r="AOO41" s="528"/>
      <c r="AOP41" s="528"/>
      <c r="AOQ41" s="528"/>
      <c r="AOR41" s="528"/>
      <c r="AOS41" s="528"/>
      <c r="AOT41" s="528"/>
      <c r="AOU41" s="528"/>
      <c r="AOV41" s="528"/>
      <c r="AOW41" s="528"/>
      <c r="AOX41" s="528"/>
      <c r="AOY41" s="528"/>
      <c r="AOZ41" s="528"/>
      <c r="APA41" s="528"/>
      <c r="APB41" s="528"/>
      <c r="APC41" s="528"/>
      <c r="APD41" s="528"/>
      <c r="APE41" s="528"/>
      <c r="APF41" s="528"/>
      <c r="APG41" s="528"/>
      <c r="APH41" s="528"/>
      <c r="API41" s="528"/>
      <c r="APJ41" s="528"/>
      <c r="APK41" s="528"/>
      <c r="APL41" s="528"/>
      <c r="APM41" s="528"/>
      <c r="APN41" s="528"/>
      <c r="APO41" s="528"/>
      <c r="APP41" s="528"/>
      <c r="APQ41" s="528"/>
      <c r="APR41" s="528"/>
      <c r="APS41" s="528"/>
      <c r="APT41" s="528"/>
      <c r="APU41" s="528"/>
      <c r="APV41" s="528"/>
      <c r="APW41" s="528"/>
      <c r="APX41" s="528"/>
      <c r="APY41" s="528"/>
      <c r="APZ41" s="528"/>
      <c r="AQA41" s="528"/>
      <c r="AQB41" s="528"/>
      <c r="AQC41" s="528"/>
      <c r="AQD41" s="528"/>
      <c r="AQE41" s="528"/>
      <c r="AQF41" s="528"/>
      <c r="AQG41" s="528"/>
      <c r="AQH41" s="528"/>
      <c r="AQI41" s="528"/>
      <c r="AQJ41" s="528"/>
      <c r="AQK41" s="528"/>
      <c r="AQL41" s="528"/>
      <c r="AQM41" s="528"/>
      <c r="AQN41" s="528"/>
      <c r="AQO41" s="528"/>
      <c r="AQP41" s="528"/>
      <c r="AQQ41" s="528"/>
      <c r="AQR41" s="528"/>
      <c r="AQS41" s="528"/>
      <c r="AQT41" s="528"/>
      <c r="AQU41" s="528"/>
      <c r="AQV41" s="528"/>
      <c r="AQW41" s="528"/>
      <c r="AQX41" s="528"/>
      <c r="AQY41" s="528"/>
      <c r="AQZ41" s="528"/>
      <c r="ARA41" s="528"/>
      <c r="ARB41" s="528"/>
      <c r="ARC41" s="528"/>
      <c r="ARD41" s="528"/>
      <c r="ARE41" s="528"/>
      <c r="ARF41" s="528"/>
      <c r="ARG41" s="528"/>
      <c r="ARH41" s="528"/>
      <c r="ARI41" s="528"/>
      <c r="ARJ41" s="528"/>
      <c r="ARK41" s="528"/>
      <c r="ARL41" s="528"/>
      <c r="ARM41" s="528"/>
      <c r="ARN41" s="528"/>
      <c r="ARO41" s="528"/>
      <c r="ARP41" s="528"/>
      <c r="ARQ41" s="528"/>
      <c r="ARR41" s="528"/>
      <c r="ARS41" s="528"/>
      <c r="ART41" s="528"/>
      <c r="ARU41" s="528"/>
      <c r="ARV41" s="528"/>
      <c r="ARW41" s="528"/>
      <c r="ARX41" s="528"/>
      <c r="ARY41" s="528"/>
      <c r="ARZ41" s="528"/>
      <c r="ASA41" s="528"/>
      <c r="ASB41" s="528"/>
      <c r="ASC41" s="528"/>
      <c r="ASD41" s="528"/>
      <c r="ASE41" s="528"/>
      <c r="ASF41" s="528"/>
      <c r="ASG41" s="528"/>
      <c r="ASH41" s="528"/>
      <c r="ASI41" s="528"/>
      <c r="ASJ41" s="528"/>
      <c r="ASK41" s="528"/>
      <c r="ASL41" s="528"/>
      <c r="ASM41" s="528"/>
      <c r="ASN41" s="528"/>
      <c r="ASO41" s="528"/>
      <c r="ASP41" s="528"/>
      <c r="ASQ41" s="528"/>
      <c r="ASR41" s="528"/>
      <c r="ASS41" s="528"/>
      <c r="AST41" s="528"/>
      <c r="ASU41" s="528"/>
      <c r="ASV41" s="528"/>
      <c r="ASW41" s="528"/>
      <c r="ASX41" s="528"/>
      <c r="ASY41" s="528"/>
      <c r="ASZ41" s="528"/>
      <c r="ATA41" s="528"/>
      <c r="ATB41" s="528"/>
      <c r="ATC41" s="528"/>
      <c r="ATD41" s="528"/>
      <c r="ATE41" s="528"/>
      <c r="ATF41" s="528"/>
      <c r="ATG41" s="528"/>
      <c r="ATH41" s="528"/>
      <c r="ATI41" s="528"/>
      <c r="ATJ41" s="528"/>
      <c r="ATK41" s="528"/>
      <c r="ATL41" s="528"/>
      <c r="ATM41" s="528"/>
      <c r="ATN41" s="528"/>
      <c r="ATO41" s="528"/>
      <c r="ATP41" s="528"/>
      <c r="ATQ41" s="528"/>
      <c r="ATR41" s="528"/>
      <c r="ATS41" s="528"/>
      <c r="ATT41" s="528"/>
      <c r="ATU41" s="528"/>
      <c r="ATV41" s="528"/>
      <c r="ATW41" s="528"/>
      <c r="ATX41" s="528"/>
      <c r="ATY41" s="528"/>
      <c r="ATZ41" s="528"/>
      <c r="AUA41" s="528"/>
      <c r="AUB41" s="528"/>
      <c r="AUC41" s="528"/>
      <c r="AUD41" s="528"/>
      <c r="AUE41" s="528"/>
      <c r="AUF41" s="528"/>
      <c r="AUG41" s="528"/>
      <c r="AUH41" s="528"/>
      <c r="AUI41" s="528"/>
      <c r="AUJ41" s="528"/>
      <c r="AUK41" s="528"/>
      <c r="AUL41" s="528"/>
      <c r="AUM41" s="528"/>
      <c r="AUN41" s="528"/>
      <c r="AUO41" s="528"/>
      <c r="AUP41" s="528"/>
      <c r="AUQ41" s="528"/>
      <c r="AUR41" s="528"/>
      <c r="AUS41" s="528"/>
      <c r="AUT41" s="528"/>
      <c r="AUU41" s="528"/>
      <c r="AUV41" s="528"/>
      <c r="AUW41" s="528"/>
      <c r="AUX41" s="528"/>
      <c r="AUY41" s="528"/>
      <c r="AUZ41" s="528"/>
      <c r="AVA41" s="528"/>
      <c r="AVB41" s="528"/>
      <c r="AVC41" s="528"/>
      <c r="AVD41" s="528"/>
      <c r="AVE41" s="528"/>
      <c r="AVF41" s="528"/>
      <c r="AVG41" s="528"/>
      <c r="AVH41" s="528"/>
      <c r="AVI41" s="528"/>
      <c r="AVJ41" s="528"/>
      <c r="AVK41" s="528"/>
      <c r="AVL41" s="528"/>
      <c r="AVM41" s="528"/>
      <c r="AVN41" s="528"/>
      <c r="AVO41" s="528"/>
      <c r="AVP41" s="528"/>
      <c r="AVQ41" s="528"/>
      <c r="AVR41" s="528"/>
      <c r="AVS41" s="528"/>
      <c r="AVT41" s="528"/>
      <c r="AVU41" s="528"/>
      <c r="AVV41" s="528"/>
      <c r="AVW41" s="528"/>
      <c r="AVX41" s="528"/>
      <c r="AVY41" s="528"/>
      <c r="AVZ41" s="528"/>
      <c r="AWA41" s="528"/>
      <c r="AWB41" s="528"/>
      <c r="AWC41" s="528"/>
      <c r="AWD41" s="528"/>
      <c r="AWE41" s="528"/>
      <c r="AWF41" s="528"/>
      <c r="AWG41" s="528"/>
      <c r="AWH41" s="528"/>
      <c r="AWI41" s="528"/>
      <c r="AWJ41" s="528"/>
      <c r="AWK41" s="528"/>
      <c r="AWL41" s="528"/>
      <c r="AWM41" s="528"/>
      <c r="AWN41" s="528"/>
      <c r="AWO41" s="528"/>
      <c r="AWP41" s="528"/>
      <c r="AWQ41" s="528"/>
      <c r="AWR41" s="528"/>
      <c r="AWS41" s="528"/>
      <c r="AWT41" s="528"/>
      <c r="AWU41" s="528"/>
      <c r="AWV41" s="528"/>
      <c r="AWW41" s="528"/>
      <c r="AWX41" s="528"/>
      <c r="AWY41" s="528"/>
      <c r="AWZ41" s="528"/>
      <c r="AXA41" s="528"/>
      <c r="AXB41" s="528"/>
      <c r="AXC41" s="528"/>
      <c r="AXD41" s="528"/>
      <c r="AXE41" s="528"/>
      <c r="AXF41" s="528"/>
      <c r="AXG41" s="528"/>
      <c r="AXH41" s="528"/>
      <c r="AXI41" s="528"/>
      <c r="AXJ41" s="528"/>
      <c r="AXK41" s="528"/>
      <c r="AXL41" s="528"/>
      <c r="AXM41" s="528"/>
      <c r="AXN41" s="528"/>
      <c r="AXO41" s="528"/>
      <c r="AXP41" s="528"/>
      <c r="AXQ41" s="528"/>
      <c r="AXR41" s="528"/>
      <c r="AXS41" s="528"/>
      <c r="AXT41" s="528"/>
      <c r="AXU41" s="528"/>
      <c r="AXV41" s="528"/>
      <c r="AXW41" s="528"/>
      <c r="AXX41" s="528"/>
      <c r="AXY41" s="528"/>
      <c r="AXZ41" s="528"/>
      <c r="AYA41" s="528"/>
      <c r="AYB41" s="528"/>
      <c r="AYC41" s="528"/>
      <c r="AYD41" s="528"/>
      <c r="AYE41" s="528"/>
      <c r="AYF41" s="528"/>
      <c r="AYG41" s="528"/>
      <c r="AYH41" s="528"/>
      <c r="AYI41" s="528"/>
      <c r="AYJ41" s="528"/>
      <c r="AYK41" s="528"/>
      <c r="AYL41" s="528"/>
      <c r="AYM41" s="528"/>
      <c r="AYN41" s="528"/>
      <c r="AYO41" s="528"/>
      <c r="AYP41" s="528"/>
      <c r="AYQ41" s="528"/>
      <c r="AYR41" s="528"/>
      <c r="AYS41" s="528"/>
      <c r="AYT41" s="528"/>
      <c r="AYU41" s="528"/>
      <c r="AYV41" s="528"/>
      <c r="AYW41" s="528"/>
      <c r="AYX41" s="528"/>
      <c r="AYY41" s="528"/>
      <c r="AYZ41" s="528"/>
      <c r="AZA41" s="528"/>
      <c r="AZB41" s="528"/>
      <c r="AZC41" s="528"/>
      <c r="AZD41" s="528"/>
      <c r="AZE41" s="528"/>
      <c r="AZF41" s="528"/>
      <c r="AZG41" s="528"/>
      <c r="AZH41" s="528"/>
      <c r="AZI41" s="528"/>
      <c r="AZJ41" s="528"/>
      <c r="AZK41" s="528"/>
      <c r="AZL41" s="528"/>
      <c r="AZM41" s="528"/>
      <c r="AZN41" s="528"/>
      <c r="AZO41" s="528"/>
      <c r="AZP41" s="528"/>
      <c r="AZQ41" s="528"/>
      <c r="AZR41" s="528"/>
      <c r="AZS41" s="528"/>
      <c r="AZT41" s="528"/>
      <c r="AZU41" s="528"/>
      <c r="AZV41" s="528"/>
      <c r="AZW41" s="528"/>
      <c r="AZX41" s="528"/>
      <c r="AZY41" s="528"/>
      <c r="AZZ41" s="528"/>
      <c r="BAA41" s="528"/>
      <c r="BAB41" s="528"/>
      <c r="BAC41" s="528"/>
      <c r="BAD41" s="528"/>
      <c r="BAE41" s="528"/>
      <c r="BAF41" s="528"/>
      <c r="BAG41" s="528"/>
      <c r="BAH41" s="528"/>
      <c r="BAI41" s="528"/>
      <c r="BAJ41" s="528"/>
      <c r="BAK41" s="528"/>
      <c r="BAL41" s="528"/>
      <c r="BAM41" s="528"/>
      <c r="BAN41" s="528"/>
      <c r="BAO41" s="528"/>
      <c r="BAP41" s="528"/>
      <c r="BAQ41" s="528"/>
      <c r="BAR41" s="528"/>
      <c r="BAS41" s="528"/>
      <c r="BAT41" s="528"/>
      <c r="BAU41" s="528"/>
      <c r="BAV41" s="528"/>
      <c r="BAW41" s="528"/>
      <c r="BAX41" s="528"/>
      <c r="BAY41" s="528"/>
      <c r="BAZ41" s="528"/>
      <c r="BBA41" s="528"/>
      <c r="BBB41" s="528"/>
      <c r="BBC41" s="528"/>
      <c r="BBD41" s="528"/>
      <c r="BBE41" s="528"/>
      <c r="BBF41" s="528"/>
      <c r="BBG41" s="528"/>
      <c r="BBH41" s="528"/>
      <c r="BBI41" s="528"/>
      <c r="BBJ41" s="528"/>
      <c r="BBK41" s="528"/>
      <c r="BBL41" s="528"/>
      <c r="BBM41" s="528"/>
      <c r="BBN41" s="528"/>
      <c r="BBO41" s="528"/>
      <c r="BBP41" s="528"/>
      <c r="BBQ41" s="528"/>
      <c r="BBR41" s="528"/>
      <c r="BBS41" s="528"/>
      <c r="BBT41" s="528"/>
      <c r="BBU41" s="528"/>
      <c r="BBV41" s="528"/>
      <c r="BBW41" s="528"/>
      <c r="BBX41" s="528"/>
      <c r="BBY41" s="528"/>
      <c r="BBZ41" s="528"/>
      <c r="BCA41" s="528"/>
      <c r="BCB41" s="528"/>
      <c r="BCC41" s="528"/>
      <c r="BCD41" s="528"/>
      <c r="BCE41" s="528"/>
      <c r="BCF41" s="528"/>
      <c r="BCG41" s="528"/>
      <c r="BCH41" s="528"/>
      <c r="BCI41" s="528"/>
      <c r="BCJ41" s="528"/>
      <c r="BCK41" s="528"/>
      <c r="BCL41" s="528"/>
      <c r="BCM41" s="528"/>
      <c r="BCN41" s="528"/>
      <c r="BCO41" s="528"/>
      <c r="BCP41" s="528"/>
      <c r="BCQ41" s="528"/>
      <c r="BCR41" s="528"/>
      <c r="BCS41" s="528"/>
      <c r="BCT41" s="528"/>
      <c r="BCU41" s="528"/>
      <c r="BCV41" s="528"/>
      <c r="BCW41" s="528"/>
      <c r="BCX41" s="528"/>
      <c r="BCY41" s="528"/>
      <c r="BCZ41" s="528"/>
      <c r="BDA41" s="528"/>
      <c r="BDB41" s="528"/>
      <c r="BDC41" s="528"/>
      <c r="BDD41" s="528"/>
      <c r="BDE41" s="528"/>
      <c r="BDF41" s="528"/>
      <c r="BDG41" s="528"/>
      <c r="BDH41" s="528"/>
      <c r="BDI41" s="528"/>
      <c r="BDJ41" s="528"/>
      <c r="BDK41" s="528"/>
      <c r="BDL41" s="528"/>
      <c r="BDM41" s="528"/>
      <c r="BDN41" s="528"/>
      <c r="BDO41" s="528"/>
      <c r="BDP41" s="528"/>
      <c r="BDQ41" s="528"/>
      <c r="BDR41" s="528"/>
      <c r="BDS41" s="528"/>
      <c r="BDT41" s="528"/>
      <c r="BDU41" s="528"/>
      <c r="BDV41" s="528"/>
      <c r="BDW41" s="528"/>
      <c r="BDX41" s="528"/>
      <c r="BDY41" s="528"/>
      <c r="BDZ41" s="528"/>
      <c r="BEA41" s="528"/>
      <c r="BEB41" s="528"/>
      <c r="BEC41" s="528"/>
      <c r="BED41" s="528"/>
      <c r="BEE41" s="528"/>
      <c r="BEF41" s="528"/>
      <c r="BEG41" s="528"/>
      <c r="BEH41" s="528"/>
      <c r="BEI41" s="528"/>
      <c r="BEJ41" s="528"/>
      <c r="BEK41" s="528"/>
      <c r="BEL41" s="528"/>
      <c r="BEM41" s="528"/>
      <c r="BEN41" s="528"/>
      <c r="BEO41" s="528"/>
      <c r="BEP41" s="528"/>
      <c r="BEQ41" s="528"/>
      <c r="BER41" s="528"/>
      <c r="BES41" s="528"/>
      <c r="BET41" s="528"/>
      <c r="BEU41" s="528"/>
      <c r="BEV41" s="528"/>
      <c r="BEW41" s="528"/>
      <c r="BEX41" s="528"/>
      <c r="BEY41" s="528"/>
      <c r="BEZ41" s="528"/>
      <c r="BFA41" s="528"/>
      <c r="BFB41" s="528"/>
      <c r="BFC41" s="528"/>
      <c r="BFD41" s="528"/>
      <c r="BFE41" s="528"/>
      <c r="BFF41" s="528"/>
      <c r="BFG41" s="528"/>
      <c r="BFH41" s="528"/>
      <c r="BFI41" s="528"/>
      <c r="BFJ41" s="528"/>
      <c r="BFK41" s="528"/>
      <c r="BFL41" s="528"/>
      <c r="BFM41" s="528"/>
      <c r="BFN41" s="528"/>
      <c r="BFO41" s="528"/>
      <c r="BFP41" s="528"/>
      <c r="BFQ41" s="528"/>
      <c r="BFR41" s="528"/>
      <c r="BFS41" s="528"/>
      <c r="BFT41" s="528"/>
      <c r="BFU41" s="528"/>
      <c r="BFV41" s="528"/>
      <c r="BFW41" s="528"/>
      <c r="BFX41" s="528"/>
      <c r="BFY41" s="528"/>
      <c r="BFZ41" s="528"/>
      <c r="BGA41" s="528"/>
      <c r="BGB41" s="528"/>
      <c r="BGC41" s="528"/>
      <c r="BGD41" s="528"/>
      <c r="BGE41" s="528"/>
      <c r="BGF41" s="528"/>
      <c r="BGG41" s="528"/>
      <c r="BGH41" s="528"/>
      <c r="BGI41" s="528"/>
      <c r="BGJ41" s="528"/>
      <c r="BGK41" s="528"/>
      <c r="BGL41" s="528"/>
      <c r="BGM41" s="528"/>
      <c r="BGN41" s="528"/>
      <c r="BGO41" s="528"/>
      <c r="BGP41" s="528"/>
      <c r="BGQ41" s="528"/>
      <c r="BGR41" s="528"/>
      <c r="BGS41" s="528"/>
      <c r="BGT41" s="528"/>
      <c r="BGU41" s="528"/>
      <c r="BGV41" s="528"/>
      <c r="BGW41" s="528"/>
      <c r="BGX41" s="528"/>
      <c r="BGY41" s="528"/>
      <c r="BGZ41" s="528"/>
      <c r="BHA41" s="528"/>
      <c r="BHB41" s="528"/>
      <c r="BHC41" s="528"/>
      <c r="BHD41" s="528"/>
      <c r="BHE41" s="528"/>
      <c r="BHF41" s="528"/>
      <c r="BHG41" s="528"/>
      <c r="BHH41" s="528"/>
      <c r="BHI41" s="528"/>
      <c r="BHJ41" s="528"/>
      <c r="BHK41" s="528"/>
      <c r="BHL41" s="528"/>
      <c r="BHM41" s="528"/>
      <c r="BHN41" s="528"/>
      <c r="BHO41" s="528"/>
      <c r="BHP41" s="528"/>
      <c r="BHQ41" s="528"/>
      <c r="BHR41" s="528"/>
      <c r="BHS41" s="528"/>
      <c r="BHT41" s="528"/>
      <c r="BHU41" s="528"/>
      <c r="BHV41" s="528"/>
      <c r="BHW41" s="528"/>
      <c r="BHX41" s="528"/>
      <c r="BHY41" s="528"/>
      <c r="BHZ41" s="528"/>
      <c r="BIA41" s="528"/>
      <c r="BIB41" s="528"/>
      <c r="BIC41" s="528"/>
      <c r="BID41" s="528"/>
      <c r="BIE41" s="528"/>
      <c r="BIF41" s="528"/>
      <c r="BIG41" s="528"/>
      <c r="BIH41" s="528"/>
      <c r="BII41" s="528"/>
      <c r="BIJ41" s="528"/>
      <c r="BIK41" s="528"/>
      <c r="BIL41" s="528"/>
      <c r="BIM41" s="528"/>
      <c r="BIN41" s="528"/>
      <c r="BIO41" s="528"/>
      <c r="BIP41" s="528"/>
      <c r="BIQ41" s="528"/>
      <c r="BIR41" s="528"/>
      <c r="BIS41" s="528"/>
      <c r="BIT41" s="528"/>
      <c r="BIU41" s="528"/>
      <c r="BIV41" s="528"/>
      <c r="BIW41" s="528"/>
      <c r="BIX41" s="528"/>
      <c r="BIY41" s="528"/>
      <c r="BIZ41" s="528"/>
      <c r="BJA41" s="528"/>
      <c r="BJB41" s="528"/>
      <c r="BJC41" s="528"/>
      <c r="BJD41" s="528"/>
      <c r="BJE41" s="528"/>
      <c r="BJF41" s="528"/>
      <c r="BJG41" s="528"/>
      <c r="BJH41" s="528"/>
      <c r="BJI41" s="528"/>
      <c r="BJJ41" s="528"/>
      <c r="BJK41" s="528"/>
      <c r="BJL41" s="528"/>
      <c r="BJM41" s="528"/>
      <c r="BJN41" s="528"/>
      <c r="BJO41" s="528"/>
      <c r="BJP41" s="528"/>
      <c r="BJQ41" s="528"/>
      <c r="BJR41" s="528"/>
      <c r="BJS41" s="528"/>
      <c r="BJT41" s="528"/>
      <c r="BJU41" s="528"/>
      <c r="BJV41" s="528"/>
      <c r="BJW41" s="528"/>
      <c r="BJX41" s="528"/>
      <c r="BJY41" s="528"/>
      <c r="BJZ41" s="528"/>
      <c r="BKA41" s="528"/>
      <c r="BKB41" s="528"/>
      <c r="BKC41" s="528"/>
      <c r="BKD41" s="528"/>
      <c r="BKE41" s="528"/>
      <c r="BKF41" s="528"/>
      <c r="BKG41" s="528"/>
      <c r="BKH41" s="528"/>
      <c r="BKI41" s="528"/>
      <c r="BKJ41" s="528"/>
      <c r="BKK41" s="528"/>
      <c r="BKL41" s="528"/>
      <c r="BKM41" s="528"/>
      <c r="BKN41" s="528"/>
      <c r="BKO41" s="528"/>
      <c r="BKP41" s="528"/>
      <c r="BKQ41" s="528"/>
      <c r="BKR41" s="528"/>
      <c r="BKS41" s="528"/>
      <c r="BKT41" s="528"/>
      <c r="BKU41" s="528"/>
      <c r="BKV41" s="528"/>
      <c r="BKW41" s="528"/>
      <c r="BKX41" s="528"/>
      <c r="BKY41" s="528"/>
      <c r="BKZ41" s="528"/>
      <c r="BLA41" s="528"/>
      <c r="BLB41" s="528"/>
      <c r="BLC41" s="528"/>
      <c r="BLD41" s="528"/>
      <c r="BLE41" s="528"/>
      <c r="BLF41" s="528"/>
      <c r="BLG41" s="528"/>
      <c r="BLH41" s="528"/>
      <c r="BLI41" s="528"/>
      <c r="BLJ41" s="528"/>
      <c r="BLK41" s="528"/>
      <c r="BLL41" s="528"/>
      <c r="BLM41" s="528"/>
      <c r="BLN41" s="528"/>
      <c r="BLO41" s="528"/>
      <c r="BLP41" s="528"/>
      <c r="BLQ41" s="528"/>
      <c r="BLR41" s="528"/>
      <c r="BLS41" s="528"/>
      <c r="BLT41" s="528"/>
      <c r="BLU41" s="528"/>
      <c r="BLV41" s="528"/>
      <c r="BLW41" s="528"/>
      <c r="BLX41" s="528"/>
      <c r="BLY41" s="528"/>
      <c r="BLZ41" s="528"/>
      <c r="BMA41" s="528"/>
      <c r="BMB41" s="528"/>
      <c r="BMC41" s="528"/>
      <c r="BMD41" s="528"/>
      <c r="BME41" s="528"/>
      <c r="BMF41" s="528"/>
      <c r="BMG41" s="528"/>
      <c r="BMH41" s="528"/>
      <c r="BMI41" s="528"/>
      <c r="BMJ41" s="528"/>
      <c r="BMK41" s="528"/>
      <c r="BML41" s="528"/>
      <c r="BMM41" s="528"/>
      <c r="BMN41" s="528"/>
      <c r="BMO41" s="528"/>
      <c r="BMP41" s="528"/>
      <c r="BMQ41" s="528"/>
      <c r="BMR41" s="528"/>
      <c r="BMS41" s="528"/>
      <c r="BMT41" s="528"/>
      <c r="BMU41" s="528"/>
      <c r="BMV41" s="528"/>
      <c r="BMW41" s="528"/>
      <c r="BMX41" s="528"/>
      <c r="BMY41" s="528"/>
      <c r="BMZ41" s="528"/>
      <c r="BNA41" s="528"/>
      <c r="BNB41" s="528"/>
      <c r="BNC41" s="528"/>
      <c r="BND41" s="528"/>
      <c r="BNE41" s="528"/>
      <c r="BNF41" s="528"/>
      <c r="BNG41" s="528"/>
      <c r="BNH41" s="528"/>
      <c r="BNI41" s="528"/>
      <c r="BNJ41" s="528"/>
      <c r="BNK41" s="528"/>
      <c r="BNL41" s="528"/>
      <c r="BNM41" s="528"/>
      <c r="BNN41" s="528"/>
      <c r="BNO41" s="528"/>
      <c r="BNP41" s="528"/>
      <c r="BNQ41" s="528"/>
      <c r="BNR41" s="528"/>
      <c r="BNS41" s="528"/>
      <c r="BNT41" s="528"/>
      <c r="BNU41" s="528"/>
      <c r="BNV41" s="528"/>
      <c r="BNW41" s="528"/>
      <c r="BNX41" s="528"/>
      <c r="BNY41" s="528"/>
      <c r="BNZ41" s="528"/>
      <c r="BOA41" s="528"/>
      <c r="BOB41" s="528"/>
      <c r="BOC41" s="528"/>
      <c r="BOD41" s="528"/>
      <c r="BOE41" s="528"/>
      <c r="BOF41" s="528"/>
      <c r="BOG41" s="528"/>
      <c r="BOH41" s="528"/>
      <c r="BOI41" s="528"/>
      <c r="BOJ41" s="528"/>
      <c r="BOK41" s="528"/>
      <c r="BOL41" s="528"/>
      <c r="BOM41" s="528"/>
      <c r="BON41" s="528"/>
      <c r="BOO41" s="528"/>
      <c r="BOP41" s="528"/>
      <c r="BOQ41" s="528"/>
      <c r="BOR41" s="528"/>
      <c r="BOS41" s="528"/>
      <c r="BOT41" s="528"/>
      <c r="BOU41" s="528"/>
      <c r="BOV41" s="528"/>
      <c r="BOW41" s="528"/>
      <c r="BOX41" s="528"/>
      <c r="BOY41" s="528"/>
      <c r="BOZ41" s="528"/>
      <c r="BPA41" s="528"/>
      <c r="BPB41" s="528"/>
      <c r="BPC41" s="528"/>
      <c r="BPD41" s="528"/>
      <c r="BPE41" s="528"/>
      <c r="BPF41" s="528"/>
      <c r="BPG41" s="528"/>
      <c r="BPH41" s="528"/>
      <c r="BPI41" s="528"/>
      <c r="BPJ41" s="528"/>
      <c r="BPK41" s="528"/>
      <c r="BPL41" s="528"/>
      <c r="BPM41" s="528"/>
      <c r="BPN41" s="528"/>
      <c r="BPO41" s="528"/>
      <c r="BPP41" s="528"/>
      <c r="BPQ41" s="528"/>
      <c r="BPR41" s="528"/>
      <c r="BPS41" s="528"/>
      <c r="BPT41" s="528"/>
      <c r="BPU41" s="528"/>
      <c r="BPV41" s="528"/>
      <c r="BPW41" s="528"/>
      <c r="BPX41" s="528"/>
      <c r="BPY41" s="528"/>
      <c r="BPZ41" s="528"/>
      <c r="BQA41" s="528"/>
      <c r="BQB41" s="528"/>
      <c r="BQC41" s="528"/>
      <c r="BQD41" s="528"/>
      <c r="BQE41" s="528"/>
      <c r="BQF41" s="528"/>
      <c r="BQG41" s="528"/>
      <c r="BQH41" s="528"/>
      <c r="BQI41" s="528"/>
      <c r="BQJ41" s="528"/>
      <c r="BQK41" s="528"/>
      <c r="BQL41" s="528"/>
      <c r="BQM41" s="528"/>
      <c r="BQN41" s="528"/>
      <c r="BQO41" s="528"/>
      <c r="BQP41" s="528"/>
      <c r="BQQ41" s="528"/>
      <c r="BQR41" s="528"/>
      <c r="BQS41" s="528"/>
      <c r="BQT41" s="528"/>
      <c r="BQU41" s="528"/>
      <c r="BQV41" s="528"/>
      <c r="BQW41" s="528"/>
      <c r="BQX41" s="528"/>
      <c r="BQY41" s="528"/>
      <c r="BQZ41" s="528"/>
      <c r="BRA41" s="528"/>
      <c r="BRB41" s="528"/>
      <c r="BRC41" s="528"/>
      <c r="BRD41" s="528"/>
      <c r="BRE41" s="528"/>
      <c r="BRF41" s="528"/>
      <c r="BRG41" s="528"/>
      <c r="BRH41" s="528"/>
      <c r="BRI41" s="528"/>
      <c r="BRJ41" s="528"/>
      <c r="BRK41" s="528"/>
      <c r="BRL41" s="528"/>
      <c r="BRM41" s="528"/>
      <c r="BRN41" s="528"/>
      <c r="BRO41" s="528"/>
      <c r="BRP41" s="528"/>
      <c r="BRQ41" s="528"/>
      <c r="BRR41" s="528"/>
      <c r="BRS41" s="528"/>
      <c r="BRT41" s="528"/>
      <c r="BRU41" s="528"/>
      <c r="BRV41" s="528"/>
      <c r="BRW41" s="528"/>
      <c r="BRX41" s="528"/>
      <c r="BRY41" s="528"/>
      <c r="BRZ41" s="528"/>
      <c r="BSA41" s="528"/>
      <c r="BSB41" s="528"/>
      <c r="BSC41" s="528"/>
      <c r="BSD41" s="528"/>
      <c r="BSE41" s="528"/>
      <c r="BSF41" s="528"/>
      <c r="BSG41" s="528"/>
      <c r="BSH41" s="528"/>
      <c r="BSI41" s="528"/>
      <c r="BSJ41" s="528"/>
      <c r="BSK41" s="528"/>
      <c r="BSL41" s="528"/>
      <c r="BSM41" s="528"/>
      <c r="BSN41" s="528"/>
      <c r="BSO41" s="528"/>
      <c r="BSP41" s="528"/>
      <c r="BSQ41" s="528"/>
      <c r="BSR41" s="528"/>
      <c r="BSS41" s="528"/>
      <c r="BST41" s="528"/>
      <c r="BSU41" s="528"/>
      <c r="BSV41" s="528"/>
      <c r="BSW41" s="528"/>
      <c r="BSX41" s="528"/>
      <c r="BSY41" s="528"/>
      <c r="BSZ41" s="528"/>
      <c r="BTA41" s="528"/>
      <c r="BTB41" s="528"/>
      <c r="BTC41" s="528"/>
      <c r="BTD41" s="528"/>
      <c r="BTE41" s="528"/>
      <c r="BTF41" s="528"/>
      <c r="BTG41" s="528"/>
      <c r="BTH41" s="528"/>
      <c r="BTI41" s="528"/>
      <c r="BTJ41" s="528"/>
      <c r="BTK41" s="528"/>
      <c r="BTL41" s="528"/>
      <c r="BTM41" s="528"/>
      <c r="BTN41" s="528"/>
      <c r="BTO41" s="528"/>
      <c r="BTP41" s="528"/>
      <c r="BTQ41" s="528"/>
      <c r="BTR41" s="528"/>
      <c r="BTS41" s="528"/>
      <c r="BTT41" s="528"/>
      <c r="BTU41" s="528"/>
      <c r="BTV41" s="528"/>
      <c r="BTW41" s="528"/>
      <c r="BTX41" s="528"/>
      <c r="BTY41" s="528"/>
      <c r="BTZ41" s="528"/>
      <c r="BUA41" s="528"/>
      <c r="BUB41" s="528"/>
      <c r="BUC41" s="528"/>
      <c r="BUD41" s="528"/>
      <c r="BUE41" s="528"/>
      <c r="BUF41" s="528"/>
      <c r="BUG41" s="528"/>
      <c r="BUH41" s="528"/>
      <c r="BUI41" s="528"/>
      <c r="BUJ41" s="528"/>
      <c r="BUK41" s="528"/>
      <c r="BUL41" s="528"/>
      <c r="BUM41" s="528"/>
      <c r="BUN41" s="528"/>
      <c r="BUO41" s="528"/>
      <c r="BUP41" s="528"/>
      <c r="BUQ41" s="528"/>
      <c r="BUR41" s="528"/>
      <c r="BUS41" s="528"/>
      <c r="BUT41" s="528"/>
      <c r="BUU41" s="528"/>
      <c r="BUV41" s="528"/>
      <c r="BUW41" s="528"/>
      <c r="BUX41" s="528"/>
      <c r="BUY41" s="528"/>
      <c r="BUZ41" s="528"/>
      <c r="BVA41" s="528"/>
      <c r="BVB41" s="528"/>
      <c r="BVC41" s="528"/>
      <c r="BVD41" s="528"/>
      <c r="BVE41" s="528"/>
      <c r="BVF41" s="528"/>
      <c r="BVG41" s="528"/>
      <c r="BVH41" s="528"/>
      <c r="BVI41" s="528"/>
      <c r="BVJ41" s="528"/>
      <c r="BVK41" s="528"/>
      <c r="BVL41" s="528"/>
      <c r="BVM41" s="528"/>
      <c r="BVN41" s="528"/>
      <c r="BVO41" s="528"/>
      <c r="BVP41" s="528"/>
      <c r="BVQ41" s="528"/>
      <c r="BVR41" s="528"/>
      <c r="BVS41" s="528"/>
      <c r="BVT41" s="528"/>
      <c r="BVU41" s="528"/>
      <c r="BVV41" s="528"/>
      <c r="BVW41" s="528"/>
      <c r="BVX41" s="528"/>
      <c r="BVY41" s="528"/>
      <c r="BVZ41" s="528"/>
      <c r="BWA41" s="528"/>
      <c r="BWB41" s="528"/>
      <c r="BWC41" s="528"/>
      <c r="BWD41" s="528"/>
      <c r="BWE41" s="528"/>
      <c r="BWF41" s="528"/>
      <c r="BWG41" s="528"/>
      <c r="BWH41" s="528"/>
      <c r="BWI41" s="528"/>
      <c r="BWJ41" s="528"/>
      <c r="BWK41" s="528"/>
      <c r="BWL41" s="528"/>
      <c r="BWM41" s="528"/>
      <c r="BWN41" s="528"/>
      <c r="BWO41" s="528"/>
      <c r="BWP41" s="528"/>
      <c r="BWQ41" s="528"/>
      <c r="BWR41" s="528"/>
      <c r="BWS41" s="528"/>
      <c r="BWT41" s="528"/>
      <c r="BWU41" s="528"/>
      <c r="BWV41" s="528"/>
      <c r="BWW41" s="528"/>
      <c r="BWX41" s="528"/>
      <c r="BWY41" s="528"/>
      <c r="BWZ41" s="528"/>
      <c r="BXA41" s="528"/>
      <c r="BXB41" s="528"/>
      <c r="BXC41" s="528"/>
      <c r="BXD41" s="528"/>
      <c r="BXE41" s="528"/>
      <c r="BXF41" s="528"/>
      <c r="BXG41" s="528"/>
      <c r="BXH41" s="528"/>
      <c r="BXI41" s="528"/>
      <c r="BXJ41" s="528"/>
      <c r="BXK41" s="528"/>
      <c r="BXL41" s="528"/>
      <c r="BXM41" s="528"/>
      <c r="BXN41" s="528"/>
      <c r="BXO41" s="528"/>
      <c r="BXP41" s="528"/>
      <c r="BXQ41" s="528"/>
      <c r="BXR41" s="528"/>
      <c r="BXS41" s="528"/>
      <c r="BXT41" s="528"/>
      <c r="BXU41" s="528"/>
      <c r="BXV41" s="528"/>
      <c r="BXW41" s="528"/>
      <c r="BXX41" s="528"/>
      <c r="BXY41" s="528"/>
      <c r="BXZ41" s="528"/>
      <c r="BYA41" s="528"/>
      <c r="BYB41" s="528"/>
      <c r="BYC41" s="528"/>
      <c r="BYD41" s="528"/>
      <c r="BYE41" s="528"/>
      <c r="BYF41" s="528"/>
      <c r="BYG41" s="528"/>
      <c r="BYH41" s="528"/>
      <c r="BYI41" s="528"/>
      <c r="BYJ41" s="528"/>
      <c r="BYK41" s="528"/>
      <c r="BYL41" s="528"/>
      <c r="BYM41" s="528"/>
      <c r="BYN41" s="528"/>
      <c r="BYO41" s="528"/>
      <c r="BYP41" s="528"/>
      <c r="BYQ41" s="528"/>
      <c r="BYR41" s="528"/>
      <c r="BYS41" s="528"/>
      <c r="BYT41" s="528"/>
      <c r="BYU41" s="528"/>
      <c r="BYV41" s="528"/>
      <c r="BYW41" s="528"/>
      <c r="BYX41" s="528"/>
      <c r="BYY41" s="528"/>
      <c r="BYZ41" s="528"/>
      <c r="BZA41" s="528"/>
      <c r="BZB41" s="528"/>
      <c r="BZC41" s="528"/>
      <c r="BZD41" s="528"/>
      <c r="BZE41" s="528"/>
      <c r="BZF41" s="528"/>
      <c r="BZG41" s="528"/>
      <c r="BZH41" s="528"/>
      <c r="BZI41" s="528"/>
      <c r="BZJ41" s="528"/>
      <c r="BZK41" s="528"/>
      <c r="BZL41" s="528"/>
      <c r="BZM41" s="528"/>
      <c r="BZN41" s="528"/>
      <c r="BZO41" s="528"/>
      <c r="BZP41" s="528"/>
      <c r="BZQ41" s="528"/>
      <c r="BZR41" s="528"/>
      <c r="BZS41" s="528"/>
      <c r="BZT41" s="528"/>
      <c r="BZU41" s="528"/>
      <c r="BZV41" s="528"/>
      <c r="BZW41" s="528"/>
      <c r="BZX41" s="528"/>
      <c r="BZY41" s="528"/>
      <c r="BZZ41" s="528"/>
      <c r="CAA41" s="528"/>
      <c r="CAB41" s="528"/>
      <c r="CAC41" s="528"/>
      <c r="CAD41" s="528"/>
      <c r="CAE41" s="528"/>
      <c r="CAF41" s="528"/>
      <c r="CAG41" s="528"/>
      <c r="CAH41" s="528"/>
      <c r="CAI41" s="528"/>
      <c r="CAJ41" s="528"/>
      <c r="CAK41" s="528"/>
      <c r="CAL41" s="528"/>
      <c r="CAM41" s="528"/>
      <c r="CAN41" s="528"/>
      <c r="CAO41" s="528"/>
      <c r="CAP41" s="528"/>
      <c r="CAQ41" s="528"/>
      <c r="CAR41" s="528"/>
      <c r="CAS41" s="528"/>
      <c r="CAT41" s="528"/>
      <c r="CAU41" s="528"/>
      <c r="CAV41" s="528"/>
      <c r="CAW41" s="528"/>
      <c r="CAX41" s="528"/>
      <c r="CAY41" s="528"/>
      <c r="CAZ41" s="528"/>
      <c r="CBA41" s="528"/>
      <c r="CBB41" s="528"/>
      <c r="CBC41" s="528"/>
      <c r="CBD41" s="528"/>
      <c r="CBE41" s="528"/>
      <c r="CBF41" s="528"/>
      <c r="CBG41" s="528"/>
      <c r="CBH41" s="528"/>
      <c r="CBI41" s="528"/>
      <c r="CBJ41" s="528"/>
      <c r="CBK41" s="528"/>
      <c r="CBL41" s="528"/>
      <c r="CBM41" s="528"/>
      <c r="CBN41" s="528"/>
      <c r="CBO41" s="528"/>
      <c r="CBP41" s="528"/>
      <c r="CBQ41" s="528"/>
      <c r="CBR41" s="528"/>
      <c r="CBS41" s="528"/>
      <c r="CBT41" s="528"/>
      <c r="CBU41" s="528"/>
      <c r="CBV41" s="528"/>
      <c r="CBW41" s="528"/>
      <c r="CBX41" s="528"/>
      <c r="CBY41" s="528"/>
      <c r="CBZ41" s="528"/>
      <c r="CCA41" s="528"/>
      <c r="CCB41" s="528"/>
      <c r="CCC41" s="528"/>
      <c r="CCD41" s="528"/>
      <c r="CCE41" s="528"/>
      <c r="CCF41" s="528"/>
      <c r="CCG41" s="528"/>
      <c r="CCH41" s="528"/>
      <c r="CCI41" s="528"/>
      <c r="CCJ41" s="528"/>
      <c r="CCK41" s="528"/>
      <c r="CCL41" s="528"/>
      <c r="CCM41" s="528"/>
      <c r="CCN41" s="528"/>
      <c r="CCO41" s="528"/>
      <c r="CCP41" s="528"/>
      <c r="CCQ41" s="528"/>
      <c r="CCR41" s="528"/>
      <c r="CCS41" s="528"/>
      <c r="CCT41" s="528"/>
      <c r="CCU41" s="528"/>
      <c r="CCV41" s="528"/>
      <c r="CCW41" s="528"/>
      <c r="CCX41" s="528"/>
      <c r="CCY41" s="528"/>
      <c r="CCZ41" s="528"/>
      <c r="CDA41" s="528"/>
      <c r="CDB41" s="528"/>
      <c r="CDC41" s="528"/>
      <c r="CDD41" s="528"/>
      <c r="CDE41" s="528"/>
      <c r="CDF41" s="528"/>
      <c r="CDG41" s="528"/>
      <c r="CDH41" s="528"/>
      <c r="CDI41" s="528"/>
      <c r="CDJ41" s="528"/>
      <c r="CDK41" s="528"/>
      <c r="CDL41" s="528"/>
      <c r="CDM41" s="528"/>
      <c r="CDN41" s="528"/>
      <c r="CDO41" s="528"/>
      <c r="CDP41" s="528"/>
      <c r="CDQ41" s="528"/>
      <c r="CDR41" s="528"/>
      <c r="CDS41" s="528"/>
      <c r="CDT41" s="528"/>
      <c r="CDU41" s="528"/>
      <c r="CDV41" s="528"/>
      <c r="CDW41" s="528"/>
      <c r="CDX41" s="528"/>
      <c r="CDY41" s="528"/>
      <c r="CDZ41" s="528"/>
      <c r="CEA41" s="528"/>
      <c r="CEB41" s="528"/>
      <c r="CEC41" s="528"/>
      <c r="CED41" s="528"/>
      <c r="CEE41" s="528"/>
      <c r="CEF41" s="528"/>
      <c r="CEG41" s="528"/>
      <c r="CEH41" s="528"/>
      <c r="CEI41" s="528"/>
      <c r="CEJ41" s="528"/>
      <c r="CEK41" s="528"/>
      <c r="CEL41" s="528"/>
      <c r="CEM41" s="528"/>
      <c r="CEN41" s="528"/>
      <c r="CEO41" s="528"/>
      <c r="CEP41" s="528"/>
      <c r="CEQ41" s="528"/>
      <c r="CER41" s="528"/>
      <c r="CES41" s="528"/>
      <c r="CET41" s="528"/>
      <c r="CEU41" s="528"/>
      <c r="CEV41" s="528"/>
      <c r="CEW41" s="528"/>
      <c r="CEX41" s="528"/>
      <c r="CEY41" s="528"/>
      <c r="CEZ41" s="528"/>
      <c r="CFA41" s="528"/>
      <c r="CFB41" s="528"/>
      <c r="CFC41" s="528"/>
      <c r="CFD41" s="528"/>
      <c r="CFE41" s="528"/>
      <c r="CFF41" s="528"/>
      <c r="CFG41" s="528"/>
      <c r="CFH41" s="528"/>
      <c r="CFI41" s="528"/>
      <c r="CFJ41" s="528"/>
      <c r="CFK41" s="528"/>
      <c r="CFL41" s="528"/>
      <c r="CFM41" s="528"/>
      <c r="CFN41" s="528"/>
      <c r="CFO41" s="528"/>
      <c r="CFP41" s="528"/>
      <c r="CFQ41" s="528"/>
      <c r="CFR41" s="528"/>
      <c r="CFS41" s="528"/>
      <c r="CFT41" s="528"/>
      <c r="CFU41" s="528"/>
      <c r="CFV41" s="528"/>
      <c r="CFW41" s="528"/>
      <c r="CFX41" s="528"/>
      <c r="CFY41" s="528"/>
      <c r="CFZ41" s="528"/>
      <c r="CGA41" s="528"/>
      <c r="CGB41" s="528"/>
      <c r="CGC41" s="528"/>
      <c r="CGD41" s="528"/>
      <c r="CGE41" s="528"/>
      <c r="CGF41" s="528"/>
      <c r="CGG41" s="528"/>
      <c r="CGH41" s="528"/>
      <c r="CGI41" s="528"/>
      <c r="CGJ41" s="528"/>
      <c r="CGK41" s="528"/>
      <c r="CGL41" s="528"/>
      <c r="CGM41" s="528"/>
      <c r="CGN41" s="528"/>
      <c r="CGO41" s="528"/>
      <c r="CGP41" s="528"/>
      <c r="CGQ41" s="528"/>
      <c r="CGR41" s="528"/>
      <c r="CGS41" s="528"/>
      <c r="CGT41" s="528"/>
      <c r="CGU41" s="528"/>
      <c r="CGV41" s="528"/>
      <c r="CGW41" s="528"/>
      <c r="CGX41" s="528"/>
      <c r="CGY41" s="528"/>
      <c r="CGZ41" s="528"/>
      <c r="CHA41" s="528"/>
      <c r="CHB41" s="528"/>
      <c r="CHC41" s="528"/>
      <c r="CHD41" s="528"/>
      <c r="CHE41" s="528"/>
      <c r="CHF41" s="528"/>
      <c r="CHG41" s="528"/>
      <c r="CHH41" s="528"/>
      <c r="CHI41" s="528"/>
      <c r="CHJ41" s="528"/>
      <c r="CHK41" s="528"/>
      <c r="CHL41" s="528"/>
      <c r="CHM41" s="528"/>
      <c r="CHN41" s="528"/>
      <c r="CHO41" s="528"/>
      <c r="CHP41" s="528"/>
      <c r="CHQ41" s="528"/>
      <c r="CHR41" s="528"/>
      <c r="CHS41" s="528"/>
      <c r="CHT41" s="528"/>
      <c r="CHU41" s="528"/>
      <c r="CHV41" s="528"/>
      <c r="CHW41" s="528"/>
      <c r="CHX41" s="528"/>
      <c r="CHY41" s="528"/>
      <c r="CHZ41" s="528"/>
      <c r="CIA41" s="528"/>
      <c r="CIB41" s="528"/>
      <c r="CIC41" s="528"/>
      <c r="CID41" s="528"/>
      <c r="CIE41" s="528"/>
      <c r="CIF41" s="528"/>
      <c r="CIG41" s="528"/>
      <c r="CIH41" s="528"/>
      <c r="CII41" s="528"/>
      <c r="CIJ41" s="528"/>
      <c r="CIK41" s="528"/>
      <c r="CIL41" s="528"/>
      <c r="CIM41" s="528"/>
      <c r="CIN41" s="528"/>
      <c r="CIO41" s="528"/>
      <c r="CIP41" s="528"/>
      <c r="CIQ41" s="528"/>
      <c r="CIR41" s="528"/>
      <c r="CIS41" s="528"/>
      <c r="CIT41" s="528"/>
      <c r="CIU41" s="528"/>
      <c r="CIV41" s="528"/>
      <c r="CIW41" s="528"/>
      <c r="CIX41" s="528"/>
      <c r="CIY41" s="528"/>
      <c r="CIZ41" s="528"/>
      <c r="CJA41" s="528"/>
      <c r="CJB41" s="528"/>
      <c r="CJC41" s="528"/>
      <c r="CJD41" s="528"/>
      <c r="CJE41" s="528"/>
      <c r="CJF41" s="528"/>
      <c r="CJG41" s="528"/>
      <c r="CJH41" s="528"/>
      <c r="CJI41" s="528"/>
      <c r="CJJ41" s="528"/>
      <c r="CJK41" s="528"/>
      <c r="CJL41" s="528"/>
      <c r="CJM41" s="528"/>
      <c r="CJN41" s="528"/>
      <c r="CJO41" s="528"/>
      <c r="CJP41" s="528"/>
      <c r="CJQ41" s="528"/>
      <c r="CJR41" s="528"/>
      <c r="CJS41" s="528"/>
      <c r="CJT41" s="528"/>
      <c r="CJU41" s="528"/>
      <c r="CJV41" s="528"/>
      <c r="CJW41" s="528"/>
      <c r="CJX41" s="528"/>
      <c r="CJY41" s="528"/>
      <c r="CJZ41" s="528"/>
      <c r="CKA41" s="528"/>
      <c r="CKB41" s="528"/>
      <c r="CKC41" s="528"/>
      <c r="CKD41" s="528"/>
      <c r="CKE41" s="528"/>
      <c r="CKF41" s="528"/>
      <c r="CKG41" s="528"/>
      <c r="CKH41" s="528"/>
      <c r="CKI41" s="528"/>
      <c r="CKJ41" s="528"/>
      <c r="CKK41" s="528"/>
      <c r="CKL41" s="528"/>
      <c r="CKM41" s="528"/>
      <c r="CKN41" s="528"/>
      <c r="CKO41" s="528"/>
      <c r="CKP41" s="528"/>
      <c r="CKQ41" s="528"/>
      <c r="CKR41" s="528"/>
      <c r="CKS41" s="528"/>
      <c r="CKT41" s="528"/>
      <c r="CKU41" s="528"/>
      <c r="CKV41" s="528"/>
      <c r="CKW41" s="528"/>
      <c r="CKX41" s="528"/>
      <c r="CKY41" s="528"/>
      <c r="CKZ41" s="528"/>
      <c r="CLA41" s="528"/>
      <c r="CLB41" s="528"/>
      <c r="CLC41" s="528"/>
      <c r="CLD41" s="528"/>
      <c r="CLE41" s="528"/>
      <c r="CLF41" s="528"/>
      <c r="CLG41" s="528"/>
      <c r="CLH41" s="528"/>
      <c r="CLI41" s="528"/>
      <c r="CLJ41" s="528"/>
      <c r="CLK41" s="528"/>
      <c r="CLL41" s="528"/>
      <c r="CLM41" s="528"/>
      <c r="CLN41" s="528"/>
      <c r="CLO41" s="528"/>
      <c r="CLP41" s="528"/>
      <c r="CLQ41" s="528"/>
      <c r="CLR41" s="528"/>
      <c r="CLS41" s="528"/>
      <c r="CLT41" s="528"/>
      <c r="CLU41" s="528"/>
      <c r="CLV41" s="528"/>
      <c r="CLW41" s="528"/>
      <c r="CLX41" s="528"/>
      <c r="CLY41" s="528"/>
      <c r="CLZ41" s="528"/>
      <c r="CMA41" s="528"/>
      <c r="CMB41" s="528"/>
      <c r="CMC41" s="528"/>
      <c r="CMD41" s="528"/>
      <c r="CME41" s="528"/>
      <c r="CMF41" s="528"/>
      <c r="CMG41" s="528"/>
      <c r="CMH41" s="528"/>
      <c r="CMI41" s="528"/>
      <c r="CMJ41" s="528"/>
      <c r="CMK41" s="528"/>
      <c r="CML41" s="528"/>
      <c r="CMM41" s="528"/>
      <c r="CMN41" s="528"/>
      <c r="CMO41" s="528"/>
      <c r="CMP41" s="528"/>
      <c r="CMQ41" s="528"/>
      <c r="CMR41" s="528"/>
      <c r="CMS41" s="528"/>
      <c r="CMT41" s="528"/>
      <c r="CMU41" s="528"/>
      <c r="CMV41" s="528"/>
      <c r="CMW41" s="528"/>
      <c r="CMX41" s="528"/>
      <c r="CMY41" s="528"/>
      <c r="CMZ41" s="528"/>
      <c r="CNA41" s="528"/>
      <c r="CNB41" s="528"/>
      <c r="CNC41" s="528"/>
      <c r="CND41" s="528"/>
      <c r="CNE41" s="528"/>
      <c r="CNF41" s="528"/>
      <c r="CNG41" s="528"/>
      <c r="CNH41" s="528"/>
      <c r="CNI41" s="528"/>
      <c r="CNJ41" s="528"/>
      <c r="CNK41" s="528"/>
      <c r="CNL41" s="528"/>
      <c r="CNM41" s="528"/>
      <c r="CNN41" s="528"/>
      <c r="CNO41" s="528"/>
      <c r="CNP41" s="528"/>
      <c r="CNQ41" s="528"/>
      <c r="CNR41" s="528"/>
      <c r="CNS41" s="528"/>
      <c r="CNT41" s="528"/>
      <c r="CNU41" s="528"/>
      <c r="CNV41" s="528"/>
      <c r="CNW41" s="528"/>
      <c r="CNX41" s="528"/>
      <c r="CNY41" s="528"/>
      <c r="CNZ41" s="528"/>
      <c r="COA41" s="528"/>
      <c r="COB41" s="528"/>
      <c r="COC41" s="528"/>
      <c r="COD41" s="528"/>
      <c r="COE41" s="528"/>
      <c r="COF41" s="528"/>
      <c r="COG41" s="528"/>
      <c r="COH41" s="528"/>
      <c r="COI41" s="528"/>
      <c r="COJ41" s="528"/>
      <c r="COK41" s="528"/>
      <c r="COL41" s="528"/>
      <c r="COM41" s="528"/>
      <c r="CON41" s="528"/>
      <c r="COO41" s="528"/>
      <c r="COP41" s="528"/>
      <c r="COQ41" s="528"/>
      <c r="COR41" s="528"/>
      <c r="COS41" s="528"/>
      <c r="COT41" s="528"/>
      <c r="COU41" s="528"/>
      <c r="COV41" s="528"/>
      <c r="COW41" s="528"/>
      <c r="COX41" s="528"/>
      <c r="COY41" s="528"/>
      <c r="COZ41" s="528"/>
      <c r="CPA41" s="528"/>
      <c r="CPB41" s="528"/>
      <c r="CPC41" s="528"/>
      <c r="CPD41" s="528"/>
      <c r="CPE41" s="528"/>
      <c r="CPF41" s="528"/>
      <c r="CPG41" s="528"/>
      <c r="CPH41" s="528"/>
      <c r="CPI41" s="528"/>
      <c r="CPJ41" s="528"/>
      <c r="CPK41" s="528"/>
      <c r="CPL41" s="528"/>
      <c r="CPM41" s="528"/>
      <c r="CPN41" s="528"/>
      <c r="CPO41" s="528"/>
      <c r="CPP41" s="528"/>
      <c r="CPQ41" s="528"/>
      <c r="CPR41" s="528"/>
      <c r="CPS41" s="528"/>
      <c r="CPT41" s="528"/>
      <c r="CPU41" s="528"/>
      <c r="CPV41" s="528"/>
      <c r="CPW41" s="528"/>
      <c r="CPX41" s="528"/>
      <c r="CPY41" s="528"/>
      <c r="CPZ41" s="528"/>
      <c r="CQA41" s="528"/>
      <c r="CQB41" s="528"/>
      <c r="CQC41" s="528"/>
      <c r="CQD41" s="528"/>
      <c r="CQE41" s="528"/>
      <c r="CQF41" s="528"/>
      <c r="CQG41" s="528"/>
      <c r="CQH41" s="528"/>
      <c r="CQI41" s="528"/>
      <c r="CQJ41" s="528"/>
      <c r="CQK41" s="528"/>
      <c r="CQL41" s="528"/>
      <c r="CQM41" s="528"/>
      <c r="CQN41" s="528"/>
      <c r="CQO41" s="528"/>
      <c r="CQP41" s="528"/>
      <c r="CQQ41" s="528"/>
      <c r="CQR41" s="528"/>
      <c r="CQS41" s="528"/>
      <c r="CQT41" s="528"/>
      <c r="CQU41" s="528"/>
      <c r="CQV41" s="528"/>
      <c r="CQW41" s="528"/>
      <c r="CQX41" s="528"/>
      <c r="CQY41" s="528"/>
      <c r="CQZ41" s="528"/>
      <c r="CRA41" s="528"/>
      <c r="CRB41" s="528"/>
      <c r="CRC41" s="528"/>
      <c r="CRD41" s="528"/>
      <c r="CRE41" s="528"/>
      <c r="CRF41" s="528"/>
      <c r="CRG41" s="528"/>
      <c r="CRH41" s="528"/>
      <c r="CRI41" s="528"/>
      <c r="CRJ41" s="528"/>
      <c r="CRK41" s="528"/>
      <c r="CRL41" s="528"/>
      <c r="CRM41" s="528"/>
      <c r="CRN41" s="528"/>
      <c r="CRO41" s="528"/>
      <c r="CRP41" s="528"/>
      <c r="CRQ41" s="528"/>
      <c r="CRR41" s="528"/>
      <c r="CRS41" s="528"/>
      <c r="CRT41" s="528"/>
      <c r="CRU41" s="528"/>
      <c r="CRV41" s="528"/>
      <c r="CRW41" s="528"/>
      <c r="CRX41" s="528"/>
      <c r="CRY41" s="528"/>
      <c r="CRZ41" s="528"/>
      <c r="CSA41" s="528"/>
      <c r="CSB41" s="528"/>
      <c r="CSC41" s="528"/>
      <c r="CSD41" s="528"/>
      <c r="CSE41" s="528"/>
      <c r="CSF41" s="528"/>
      <c r="CSG41" s="528"/>
      <c r="CSH41" s="528"/>
      <c r="CSI41" s="528"/>
      <c r="CSJ41" s="528"/>
      <c r="CSK41" s="528"/>
      <c r="CSL41" s="528"/>
      <c r="CSM41" s="528"/>
      <c r="CSN41" s="528"/>
      <c r="CSO41" s="528"/>
      <c r="CSP41" s="528"/>
      <c r="CSQ41" s="528"/>
      <c r="CSR41" s="528"/>
      <c r="CSS41" s="528"/>
      <c r="CST41" s="528"/>
      <c r="CSU41" s="528"/>
      <c r="CSV41" s="528"/>
      <c r="CSW41" s="528"/>
      <c r="CSX41" s="528"/>
      <c r="CSY41" s="528"/>
      <c r="CSZ41" s="528"/>
      <c r="CTA41" s="528"/>
      <c r="CTB41" s="528"/>
      <c r="CTC41" s="528"/>
      <c r="CTD41" s="528"/>
      <c r="CTE41" s="528"/>
      <c r="CTF41" s="528"/>
      <c r="CTG41" s="528"/>
      <c r="CTH41" s="528"/>
      <c r="CTI41" s="528"/>
      <c r="CTJ41" s="528"/>
      <c r="CTK41" s="528"/>
      <c r="CTL41" s="528"/>
      <c r="CTM41" s="528"/>
      <c r="CTN41" s="528"/>
      <c r="CTO41" s="528"/>
      <c r="CTP41" s="528"/>
      <c r="CTQ41" s="528"/>
      <c r="CTR41" s="528"/>
      <c r="CTS41" s="528"/>
      <c r="CTT41" s="528"/>
      <c r="CTU41" s="528"/>
      <c r="CTV41" s="528"/>
      <c r="CTW41" s="528"/>
      <c r="CTX41" s="528"/>
      <c r="CTY41" s="528"/>
      <c r="CTZ41" s="528"/>
      <c r="CUA41" s="528"/>
      <c r="CUB41" s="528"/>
      <c r="CUC41" s="528"/>
      <c r="CUD41" s="528"/>
      <c r="CUE41" s="528"/>
      <c r="CUF41" s="528"/>
      <c r="CUG41" s="528"/>
      <c r="CUH41" s="528"/>
      <c r="CUI41" s="528"/>
      <c r="CUJ41" s="528"/>
      <c r="CUK41" s="528"/>
      <c r="CUL41" s="528"/>
      <c r="CUM41" s="528"/>
      <c r="CUN41" s="528"/>
      <c r="CUO41" s="528"/>
      <c r="CUP41" s="528"/>
      <c r="CUQ41" s="528"/>
      <c r="CUR41" s="528"/>
      <c r="CUS41" s="528"/>
      <c r="CUT41" s="528"/>
      <c r="CUU41" s="528"/>
      <c r="CUV41" s="528"/>
      <c r="CUW41" s="528"/>
      <c r="CUX41" s="528"/>
      <c r="CUY41" s="528"/>
      <c r="CUZ41" s="528"/>
      <c r="CVA41" s="528"/>
      <c r="CVB41" s="528"/>
      <c r="CVC41" s="528"/>
      <c r="CVD41" s="528"/>
      <c r="CVE41" s="528"/>
      <c r="CVF41" s="528"/>
      <c r="CVG41" s="528"/>
      <c r="CVH41" s="528"/>
      <c r="CVI41" s="528"/>
      <c r="CVJ41" s="528"/>
      <c r="CVK41" s="528"/>
      <c r="CVL41" s="528"/>
      <c r="CVM41" s="528"/>
      <c r="CVN41" s="528"/>
      <c r="CVO41" s="528"/>
      <c r="CVP41" s="528"/>
      <c r="CVQ41" s="528"/>
      <c r="CVR41" s="528"/>
      <c r="CVS41" s="528"/>
      <c r="CVT41" s="528"/>
      <c r="CVU41" s="528"/>
      <c r="CVV41" s="528"/>
      <c r="CVW41" s="528"/>
      <c r="CVX41" s="528"/>
      <c r="CVY41" s="528"/>
      <c r="CVZ41" s="528"/>
      <c r="CWA41" s="528"/>
      <c r="CWB41" s="528"/>
      <c r="CWC41" s="528"/>
      <c r="CWD41" s="528"/>
      <c r="CWE41" s="528"/>
      <c r="CWF41" s="528"/>
      <c r="CWG41" s="528"/>
      <c r="CWH41" s="528"/>
      <c r="CWI41" s="528"/>
      <c r="CWJ41" s="528"/>
      <c r="CWK41" s="528"/>
      <c r="CWL41" s="528"/>
      <c r="CWM41" s="528"/>
      <c r="CWN41" s="528"/>
      <c r="CWO41" s="528"/>
      <c r="CWP41" s="528"/>
      <c r="CWQ41" s="528"/>
      <c r="CWR41" s="528"/>
      <c r="CWS41" s="528"/>
      <c r="CWT41" s="528"/>
      <c r="CWU41" s="528"/>
      <c r="CWV41" s="528"/>
      <c r="CWW41" s="528"/>
      <c r="CWX41" s="528"/>
      <c r="CWY41" s="528"/>
      <c r="CWZ41" s="528"/>
      <c r="CXA41" s="528"/>
      <c r="CXB41" s="528"/>
      <c r="CXC41" s="528"/>
      <c r="CXD41" s="528"/>
      <c r="CXE41" s="528"/>
      <c r="CXF41" s="528"/>
      <c r="CXG41" s="528"/>
      <c r="CXH41" s="528"/>
      <c r="CXI41" s="528"/>
      <c r="CXJ41" s="528"/>
      <c r="CXK41" s="528"/>
      <c r="CXL41" s="528"/>
      <c r="CXM41" s="528"/>
      <c r="CXN41" s="528"/>
      <c r="CXO41" s="528"/>
      <c r="CXP41" s="528"/>
      <c r="CXQ41" s="528"/>
      <c r="CXR41" s="528"/>
      <c r="CXS41" s="528"/>
      <c r="CXT41" s="528"/>
      <c r="CXU41" s="528"/>
      <c r="CXV41" s="528"/>
      <c r="CXW41" s="528"/>
      <c r="CXX41" s="528"/>
      <c r="CXY41" s="528"/>
      <c r="CXZ41" s="528"/>
      <c r="CYA41" s="528"/>
      <c r="CYB41" s="528"/>
      <c r="CYC41" s="528"/>
      <c r="CYD41" s="528"/>
      <c r="CYE41" s="528"/>
      <c r="CYF41" s="528"/>
      <c r="CYG41" s="528"/>
      <c r="CYH41" s="528"/>
      <c r="CYI41" s="528"/>
      <c r="CYJ41" s="528"/>
      <c r="CYK41" s="528"/>
      <c r="CYL41" s="528"/>
      <c r="CYM41" s="528"/>
      <c r="CYN41" s="528"/>
      <c r="CYO41" s="528"/>
      <c r="CYP41" s="528"/>
      <c r="CYQ41" s="528"/>
      <c r="CYR41" s="528"/>
      <c r="CYS41" s="528"/>
      <c r="CYT41" s="528"/>
      <c r="CYU41" s="528"/>
      <c r="CYV41" s="528"/>
      <c r="CYW41" s="528"/>
      <c r="CYX41" s="528"/>
      <c r="CYY41" s="528"/>
      <c r="CYZ41" s="528"/>
      <c r="CZA41" s="528"/>
      <c r="CZB41" s="528"/>
      <c r="CZC41" s="528"/>
      <c r="CZD41" s="528"/>
      <c r="CZE41" s="528"/>
      <c r="CZF41" s="528"/>
      <c r="CZG41" s="528"/>
      <c r="CZH41" s="528"/>
      <c r="CZI41" s="528"/>
      <c r="CZJ41" s="528"/>
      <c r="CZK41" s="528"/>
      <c r="CZL41" s="528"/>
      <c r="CZM41" s="528"/>
      <c r="CZN41" s="528"/>
      <c r="CZO41" s="528"/>
      <c r="CZP41" s="528"/>
      <c r="CZQ41" s="528"/>
      <c r="CZR41" s="528"/>
      <c r="CZS41" s="528"/>
      <c r="CZT41" s="528"/>
      <c r="CZU41" s="528"/>
      <c r="CZV41" s="528"/>
      <c r="CZW41" s="528"/>
      <c r="CZX41" s="528"/>
      <c r="CZY41" s="528"/>
      <c r="CZZ41" s="528"/>
      <c r="DAA41" s="528"/>
      <c r="DAB41" s="528"/>
      <c r="DAC41" s="528"/>
      <c r="DAD41" s="528"/>
      <c r="DAE41" s="528"/>
      <c r="DAF41" s="528"/>
      <c r="DAG41" s="528"/>
      <c r="DAH41" s="528"/>
      <c r="DAI41" s="528"/>
      <c r="DAJ41" s="528"/>
      <c r="DAK41" s="528"/>
      <c r="DAL41" s="528"/>
      <c r="DAM41" s="528"/>
      <c r="DAN41" s="528"/>
      <c r="DAO41" s="528"/>
      <c r="DAP41" s="528"/>
      <c r="DAQ41" s="528"/>
      <c r="DAR41" s="528"/>
      <c r="DAS41" s="528"/>
      <c r="DAT41" s="528"/>
      <c r="DAU41" s="528"/>
      <c r="DAV41" s="528"/>
      <c r="DAW41" s="528"/>
      <c r="DAX41" s="528"/>
      <c r="DAY41" s="528"/>
      <c r="DAZ41" s="528"/>
      <c r="DBA41" s="528"/>
      <c r="DBB41" s="528"/>
      <c r="DBC41" s="528"/>
      <c r="DBD41" s="528"/>
      <c r="DBE41" s="528"/>
      <c r="DBF41" s="528"/>
      <c r="DBG41" s="528"/>
      <c r="DBH41" s="528"/>
      <c r="DBI41" s="528"/>
      <c r="DBJ41" s="528"/>
      <c r="DBK41" s="528"/>
      <c r="DBL41" s="528"/>
      <c r="DBM41" s="528"/>
      <c r="DBN41" s="528"/>
      <c r="DBO41" s="528"/>
      <c r="DBP41" s="528"/>
      <c r="DBQ41" s="528"/>
      <c r="DBR41" s="528"/>
      <c r="DBS41" s="528"/>
      <c r="DBT41" s="528"/>
      <c r="DBU41" s="528"/>
      <c r="DBV41" s="528"/>
      <c r="DBW41" s="528"/>
      <c r="DBX41" s="528"/>
      <c r="DBY41" s="528"/>
      <c r="DBZ41" s="528"/>
      <c r="DCA41" s="528"/>
      <c r="DCB41" s="528"/>
      <c r="DCC41" s="528"/>
      <c r="DCD41" s="528"/>
      <c r="DCE41" s="528"/>
      <c r="DCF41" s="528"/>
      <c r="DCG41" s="528"/>
      <c r="DCH41" s="528"/>
      <c r="DCI41" s="528"/>
      <c r="DCJ41" s="528"/>
      <c r="DCK41" s="528"/>
      <c r="DCL41" s="528"/>
      <c r="DCM41" s="528"/>
      <c r="DCN41" s="528"/>
      <c r="DCO41" s="528"/>
      <c r="DCP41" s="528"/>
      <c r="DCQ41" s="528"/>
      <c r="DCR41" s="528"/>
      <c r="DCS41" s="528"/>
      <c r="DCT41" s="528"/>
      <c r="DCU41" s="528"/>
      <c r="DCV41" s="528"/>
      <c r="DCW41" s="528"/>
      <c r="DCX41" s="528"/>
      <c r="DCY41" s="528"/>
      <c r="DCZ41" s="528"/>
      <c r="DDA41" s="528"/>
      <c r="DDB41" s="528"/>
      <c r="DDC41" s="528"/>
      <c r="DDD41" s="528"/>
      <c r="DDE41" s="528"/>
      <c r="DDF41" s="528"/>
      <c r="DDG41" s="528"/>
      <c r="DDH41" s="528"/>
      <c r="DDI41" s="528"/>
      <c r="DDJ41" s="528"/>
      <c r="DDK41" s="528"/>
      <c r="DDL41" s="528"/>
      <c r="DDM41" s="528"/>
      <c r="DDN41" s="528"/>
      <c r="DDO41" s="528"/>
      <c r="DDP41" s="528"/>
      <c r="DDQ41" s="528"/>
      <c r="DDR41" s="528"/>
      <c r="DDS41" s="528"/>
      <c r="DDT41" s="528"/>
      <c r="DDU41" s="528"/>
      <c r="DDV41" s="528"/>
      <c r="DDW41" s="528"/>
      <c r="DDX41" s="528"/>
      <c r="DDY41" s="528"/>
      <c r="DDZ41" s="528"/>
      <c r="DEA41" s="528"/>
      <c r="DEB41" s="528"/>
      <c r="DEC41" s="528"/>
      <c r="DED41" s="528"/>
      <c r="DEE41" s="528"/>
      <c r="DEF41" s="528"/>
      <c r="DEG41" s="528"/>
      <c r="DEH41" s="528"/>
      <c r="DEI41" s="528"/>
      <c r="DEJ41" s="528"/>
      <c r="DEK41" s="528"/>
      <c r="DEL41" s="528"/>
      <c r="DEM41" s="528"/>
      <c r="DEN41" s="528"/>
      <c r="DEO41" s="528"/>
      <c r="DEP41" s="528"/>
      <c r="DEQ41" s="528"/>
      <c r="DER41" s="528"/>
      <c r="DES41" s="528"/>
      <c r="DET41" s="528"/>
      <c r="DEU41" s="528"/>
      <c r="DEV41" s="528"/>
      <c r="DEW41" s="528"/>
      <c r="DEX41" s="528"/>
      <c r="DEY41" s="528"/>
      <c r="DEZ41" s="528"/>
      <c r="DFA41" s="528"/>
      <c r="DFB41" s="528"/>
      <c r="DFC41" s="528"/>
      <c r="DFD41" s="528"/>
      <c r="DFE41" s="528"/>
      <c r="DFF41" s="528"/>
      <c r="DFG41" s="528"/>
      <c r="DFH41" s="528"/>
      <c r="DFI41" s="528"/>
      <c r="DFJ41" s="528"/>
      <c r="DFK41" s="528"/>
      <c r="DFL41" s="528"/>
      <c r="DFM41" s="528"/>
      <c r="DFN41" s="528"/>
      <c r="DFO41" s="528"/>
      <c r="DFP41" s="528"/>
      <c r="DFQ41" s="528"/>
      <c r="DFR41" s="528"/>
      <c r="DFS41" s="528"/>
      <c r="DFT41" s="528"/>
      <c r="DFU41" s="528"/>
      <c r="DFV41" s="528"/>
      <c r="DFW41" s="528"/>
      <c r="DFX41" s="528"/>
      <c r="DFY41" s="528"/>
      <c r="DFZ41" s="528"/>
      <c r="DGA41" s="528"/>
      <c r="DGB41" s="528"/>
      <c r="DGC41" s="528"/>
      <c r="DGD41" s="528"/>
      <c r="DGE41" s="528"/>
      <c r="DGF41" s="528"/>
      <c r="DGG41" s="528"/>
      <c r="DGH41" s="528"/>
      <c r="DGI41" s="528"/>
      <c r="DGJ41" s="528"/>
      <c r="DGK41" s="528"/>
      <c r="DGL41" s="528"/>
      <c r="DGM41" s="528"/>
      <c r="DGN41" s="528"/>
      <c r="DGO41" s="528"/>
      <c r="DGP41" s="528"/>
      <c r="DGQ41" s="528"/>
      <c r="DGR41" s="528"/>
      <c r="DGS41" s="528"/>
      <c r="DGT41" s="528"/>
      <c r="DGU41" s="528"/>
      <c r="DGV41" s="528"/>
      <c r="DGW41" s="528"/>
      <c r="DGX41" s="528"/>
      <c r="DGY41" s="528"/>
      <c r="DGZ41" s="528"/>
      <c r="DHA41" s="528"/>
      <c r="DHB41" s="528"/>
      <c r="DHC41" s="528"/>
      <c r="DHD41" s="528"/>
      <c r="DHE41" s="528"/>
      <c r="DHF41" s="528"/>
      <c r="DHG41" s="528"/>
      <c r="DHH41" s="528"/>
      <c r="DHI41" s="528"/>
      <c r="DHJ41" s="528"/>
      <c r="DHK41" s="528"/>
      <c r="DHL41" s="528"/>
      <c r="DHM41" s="528"/>
      <c r="DHN41" s="528"/>
      <c r="DHO41" s="528"/>
      <c r="DHP41" s="528"/>
      <c r="DHQ41" s="528"/>
      <c r="DHR41" s="528"/>
      <c r="DHS41" s="528"/>
      <c r="DHT41" s="528"/>
      <c r="DHU41" s="528"/>
      <c r="DHV41" s="528"/>
      <c r="DHW41" s="528"/>
      <c r="DHX41" s="528"/>
      <c r="DHY41" s="528"/>
      <c r="DHZ41" s="528"/>
      <c r="DIA41" s="528"/>
      <c r="DIB41" s="528"/>
      <c r="DIC41" s="528"/>
      <c r="DID41" s="528"/>
      <c r="DIE41" s="528"/>
      <c r="DIF41" s="528"/>
      <c r="DIG41" s="528"/>
      <c r="DIH41" s="528"/>
      <c r="DII41" s="528"/>
      <c r="DIJ41" s="528"/>
      <c r="DIK41" s="528"/>
      <c r="DIL41" s="528"/>
      <c r="DIM41" s="528"/>
      <c r="DIN41" s="528"/>
      <c r="DIO41" s="528"/>
      <c r="DIP41" s="528"/>
      <c r="DIQ41" s="528"/>
      <c r="DIR41" s="528"/>
      <c r="DIS41" s="528"/>
      <c r="DIT41" s="528"/>
      <c r="DIU41" s="528"/>
      <c r="DIV41" s="528"/>
      <c r="DIW41" s="528"/>
      <c r="DIX41" s="528"/>
      <c r="DIY41" s="528"/>
      <c r="DIZ41" s="528"/>
      <c r="DJA41" s="528"/>
      <c r="DJB41" s="528"/>
      <c r="DJC41" s="528"/>
      <c r="DJD41" s="528"/>
      <c r="DJE41" s="528"/>
      <c r="DJF41" s="528"/>
      <c r="DJG41" s="528"/>
      <c r="DJH41" s="528"/>
      <c r="DJI41" s="528"/>
      <c r="DJJ41" s="528"/>
      <c r="DJK41" s="528"/>
      <c r="DJL41" s="528"/>
      <c r="DJM41" s="528"/>
      <c r="DJN41" s="528"/>
      <c r="DJO41" s="528"/>
      <c r="DJP41" s="528"/>
      <c r="DJQ41" s="528"/>
      <c r="DJR41" s="528"/>
      <c r="DJS41" s="528"/>
      <c r="DJT41" s="528"/>
      <c r="DJU41" s="528"/>
      <c r="DJV41" s="528"/>
      <c r="DJW41" s="528"/>
      <c r="DJX41" s="528"/>
      <c r="DJY41" s="528"/>
      <c r="DJZ41" s="528"/>
      <c r="DKA41" s="528"/>
      <c r="DKB41" s="528"/>
      <c r="DKC41" s="528"/>
      <c r="DKD41" s="528"/>
      <c r="DKE41" s="528"/>
      <c r="DKF41" s="528"/>
      <c r="DKG41" s="528"/>
      <c r="DKH41" s="528"/>
      <c r="DKI41" s="528"/>
      <c r="DKJ41" s="528"/>
      <c r="DKK41" s="528"/>
      <c r="DKL41" s="528"/>
      <c r="DKM41" s="528"/>
      <c r="DKN41" s="528"/>
      <c r="DKO41" s="528"/>
      <c r="DKP41" s="528"/>
      <c r="DKQ41" s="528"/>
      <c r="DKR41" s="528"/>
      <c r="DKS41" s="528"/>
      <c r="DKT41" s="528"/>
      <c r="DKU41" s="528"/>
      <c r="DKV41" s="528"/>
      <c r="DKW41" s="528"/>
      <c r="DKX41" s="528"/>
      <c r="DKY41" s="528"/>
      <c r="DKZ41" s="528"/>
      <c r="DLA41" s="528"/>
      <c r="DLB41" s="528"/>
      <c r="DLC41" s="528"/>
      <c r="DLD41" s="528"/>
      <c r="DLE41" s="528"/>
      <c r="DLF41" s="528"/>
      <c r="DLG41" s="528"/>
      <c r="DLH41" s="528"/>
      <c r="DLI41" s="528"/>
      <c r="DLJ41" s="528"/>
      <c r="DLK41" s="528"/>
      <c r="DLL41" s="528"/>
      <c r="DLM41" s="528"/>
      <c r="DLN41" s="528"/>
      <c r="DLO41" s="528"/>
      <c r="DLP41" s="528"/>
      <c r="DLQ41" s="528"/>
      <c r="DLR41" s="528"/>
      <c r="DLS41" s="528"/>
      <c r="DLT41" s="528"/>
      <c r="DLU41" s="528"/>
      <c r="DLV41" s="528"/>
      <c r="DLW41" s="528"/>
      <c r="DLX41" s="528"/>
      <c r="DLY41" s="528"/>
      <c r="DLZ41" s="528"/>
      <c r="DMA41" s="528"/>
      <c r="DMB41" s="528"/>
      <c r="DMC41" s="528"/>
      <c r="DMD41" s="528"/>
      <c r="DME41" s="528"/>
      <c r="DMF41" s="528"/>
      <c r="DMG41" s="528"/>
      <c r="DMH41" s="528"/>
      <c r="DMI41" s="528"/>
      <c r="DMJ41" s="528"/>
      <c r="DMK41" s="528"/>
      <c r="DML41" s="528"/>
      <c r="DMM41" s="528"/>
      <c r="DMN41" s="528"/>
      <c r="DMO41" s="528"/>
      <c r="DMP41" s="528"/>
      <c r="DMQ41" s="528"/>
      <c r="DMR41" s="528"/>
      <c r="DMS41" s="528"/>
      <c r="DMT41" s="528"/>
      <c r="DMU41" s="528"/>
      <c r="DMV41" s="528"/>
      <c r="DMW41" s="528"/>
      <c r="DMX41" s="528"/>
      <c r="DMY41" s="528"/>
      <c r="DMZ41" s="528"/>
      <c r="DNA41" s="528"/>
      <c r="DNB41" s="528"/>
      <c r="DNC41" s="528"/>
      <c r="DND41" s="528"/>
      <c r="DNE41" s="528"/>
      <c r="DNF41" s="528"/>
      <c r="DNG41" s="528"/>
      <c r="DNH41" s="528"/>
      <c r="DNI41" s="528"/>
      <c r="DNJ41" s="528"/>
      <c r="DNK41" s="528"/>
      <c r="DNL41" s="528"/>
      <c r="DNM41" s="528"/>
      <c r="DNN41" s="528"/>
      <c r="DNO41" s="528"/>
      <c r="DNP41" s="528"/>
      <c r="DNQ41" s="528"/>
      <c r="DNR41" s="528"/>
      <c r="DNS41" s="528"/>
      <c r="DNT41" s="528"/>
      <c r="DNU41" s="528"/>
      <c r="DNV41" s="528"/>
      <c r="DNW41" s="528"/>
      <c r="DNX41" s="528"/>
      <c r="DNY41" s="528"/>
      <c r="DNZ41" s="528"/>
      <c r="DOA41" s="528"/>
      <c r="DOB41" s="528"/>
      <c r="DOC41" s="528"/>
      <c r="DOD41" s="528"/>
      <c r="DOE41" s="528"/>
      <c r="DOF41" s="528"/>
      <c r="DOG41" s="528"/>
      <c r="DOH41" s="528"/>
      <c r="DOI41" s="528"/>
      <c r="DOJ41" s="528"/>
      <c r="DOK41" s="528"/>
      <c r="DOL41" s="528"/>
      <c r="DOM41" s="528"/>
      <c r="DON41" s="528"/>
      <c r="DOO41" s="528"/>
      <c r="DOP41" s="528"/>
      <c r="DOQ41" s="528"/>
      <c r="DOR41" s="528"/>
      <c r="DOS41" s="528"/>
      <c r="DOT41" s="528"/>
      <c r="DOU41" s="528"/>
      <c r="DOV41" s="528"/>
      <c r="DOW41" s="528"/>
      <c r="DOX41" s="528"/>
      <c r="DOY41" s="528"/>
      <c r="DOZ41" s="528"/>
      <c r="DPA41" s="528"/>
      <c r="DPB41" s="528"/>
      <c r="DPC41" s="528"/>
      <c r="DPD41" s="528"/>
      <c r="DPE41" s="528"/>
      <c r="DPF41" s="528"/>
      <c r="DPG41" s="528"/>
      <c r="DPH41" s="528"/>
      <c r="DPI41" s="528"/>
      <c r="DPJ41" s="528"/>
      <c r="DPK41" s="528"/>
      <c r="DPL41" s="528"/>
      <c r="DPM41" s="528"/>
      <c r="DPN41" s="528"/>
      <c r="DPO41" s="528"/>
      <c r="DPP41" s="528"/>
      <c r="DPQ41" s="528"/>
      <c r="DPR41" s="528"/>
      <c r="DPS41" s="528"/>
      <c r="DPT41" s="528"/>
      <c r="DPU41" s="528"/>
      <c r="DPV41" s="528"/>
      <c r="DPW41" s="528"/>
      <c r="DPX41" s="528"/>
      <c r="DPY41" s="528"/>
      <c r="DPZ41" s="528"/>
      <c r="DQA41" s="528"/>
      <c r="DQB41" s="528"/>
      <c r="DQC41" s="528"/>
      <c r="DQD41" s="528"/>
      <c r="DQE41" s="528"/>
      <c r="DQF41" s="528"/>
      <c r="DQG41" s="528"/>
      <c r="DQH41" s="528"/>
      <c r="DQI41" s="528"/>
      <c r="DQJ41" s="528"/>
      <c r="DQK41" s="528"/>
      <c r="DQL41" s="528"/>
      <c r="DQM41" s="528"/>
      <c r="DQN41" s="528"/>
      <c r="DQO41" s="528"/>
      <c r="DQP41" s="528"/>
      <c r="DQQ41" s="528"/>
      <c r="DQR41" s="528"/>
      <c r="DQS41" s="528"/>
      <c r="DQT41" s="528"/>
      <c r="DQU41" s="528"/>
      <c r="DQV41" s="528"/>
      <c r="DQW41" s="528"/>
      <c r="DQX41" s="528"/>
      <c r="DQY41" s="528"/>
      <c r="DQZ41" s="528"/>
      <c r="DRA41" s="528"/>
      <c r="DRB41" s="528"/>
      <c r="DRC41" s="528"/>
      <c r="DRD41" s="528"/>
      <c r="DRE41" s="528"/>
      <c r="DRF41" s="528"/>
      <c r="DRG41" s="528"/>
      <c r="DRH41" s="528"/>
      <c r="DRI41" s="528"/>
      <c r="DRJ41" s="528"/>
      <c r="DRK41" s="528"/>
      <c r="DRL41" s="528"/>
      <c r="DRM41" s="528"/>
      <c r="DRN41" s="528"/>
      <c r="DRO41" s="528"/>
      <c r="DRP41" s="528"/>
      <c r="DRQ41" s="528"/>
      <c r="DRR41" s="528"/>
      <c r="DRS41" s="528"/>
      <c r="DRT41" s="528"/>
      <c r="DRU41" s="528"/>
      <c r="DRV41" s="528"/>
      <c r="DRW41" s="528"/>
      <c r="DRX41" s="528"/>
      <c r="DRY41" s="528"/>
      <c r="DRZ41" s="528"/>
      <c r="DSA41" s="528"/>
      <c r="DSB41" s="528"/>
      <c r="DSC41" s="528"/>
      <c r="DSD41" s="528"/>
      <c r="DSE41" s="528"/>
      <c r="DSF41" s="528"/>
      <c r="DSG41" s="528"/>
      <c r="DSH41" s="528"/>
      <c r="DSI41" s="528"/>
      <c r="DSJ41" s="528"/>
      <c r="DSK41" s="528"/>
      <c r="DSL41" s="528"/>
      <c r="DSM41" s="528"/>
      <c r="DSN41" s="528"/>
      <c r="DSO41" s="528"/>
      <c r="DSP41" s="528"/>
      <c r="DSQ41" s="528"/>
      <c r="DSR41" s="528"/>
      <c r="DSS41" s="528"/>
      <c r="DST41" s="528"/>
      <c r="DSU41" s="528"/>
      <c r="DSV41" s="528"/>
      <c r="DSW41" s="528"/>
      <c r="DSX41" s="528"/>
      <c r="DSY41" s="528"/>
      <c r="DSZ41" s="528"/>
      <c r="DTA41" s="528"/>
      <c r="DTB41" s="528"/>
      <c r="DTC41" s="528"/>
      <c r="DTD41" s="528"/>
      <c r="DTE41" s="528"/>
      <c r="DTF41" s="528"/>
      <c r="DTG41" s="528"/>
      <c r="DTH41" s="528"/>
      <c r="DTI41" s="528"/>
      <c r="DTJ41" s="528"/>
      <c r="DTK41" s="528"/>
      <c r="DTL41" s="528"/>
      <c r="DTM41" s="528"/>
      <c r="DTN41" s="528"/>
      <c r="DTO41" s="528"/>
      <c r="DTP41" s="528"/>
      <c r="DTQ41" s="528"/>
      <c r="DTR41" s="528"/>
      <c r="DTS41" s="528"/>
      <c r="DTT41" s="528"/>
      <c r="DTU41" s="528"/>
      <c r="DTV41" s="528"/>
      <c r="DTW41" s="528"/>
      <c r="DTX41" s="528"/>
      <c r="DTY41" s="528"/>
      <c r="DTZ41" s="528"/>
      <c r="DUA41" s="528"/>
      <c r="DUB41" s="528"/>
      <c r="DUC41" s="528"/>
      <c r="DUD41" s="528"/>
      <c r="DUE41" s="528"/>
      <c r="DUF41" s="528"/>
      <c r="DUG41" s="528"/>
      <c r="DUH41" s="528"/>
      <c r="DUI41" s="528"/>
      <c r="DUJ41" s="528"/>
      <c r="DUK41" s="528"/>
      <c r="DUL41" s="528"/>
      <c r="DUM41" s="528"/>
      <c r="DUN41" s="528"/>
      <c r="DUO41" s="528"/>
      <c r="DUP41" s="528"/>
      <c r="DUQ41" s="528"/>
      <c r="DUR41" s="528"/>
      <c r="DUS41" s="528"/>
      <c r="DUT41" s="528"/>
      <c r="DUU41" s="528"/>
      <c r="DUV41" s="528"/>
      <c r="DUW41" s="528"/>
      <c r="DUX41" s="528"/>
      <c r="DUY41" s="528"/>
      <c r="DUZ41" s="528"/>
      <c r="DVA41" s="528"/>
      <c r="DVB41" s="528"/>
      <c r="DVC41" s="528"/>
      <c r="DVD41" s="528"/>
      <c r="DVE41" s="528"/>
      <c r="DVF41" s="528"/>
      <c r="DVG41" s="528"/>
      <c r="DVH41" s="528"/>
      <c r="DVI41" s="528"/>
      <c r="DVJ41" s="528"/>
      <c r="DVK41" s="528"/>
      <c r="DVL41" s="528"/>
      <c r="DVM41" s="528"/>
      <c r="DVN41" s="528"/>
      <c r="DVO41" s="528"/>
      <c r="DVP41" s="528"/>
      <c r="DVQ41" s="528"/>
      <c r="DVR41" s="528"/>
      <c r="DVS41" s="528"/>
      <c r="DVT41" s="528"/>
      <c r="DVU41" s="528"/>
      <c r="DVV41" s="528"/>
      <c r="DVW41" s="528"/>
      <c r="DVX41" s="528"/>
      <c r="DVY41" s="528"/>
      <c r="DVZ41" s="528"/>
      <c r="DWA41" s="528"/>
      <c r="DWB41" s="528"/>
      <c r="DWC41" s="528"/>
      <c r="DWD41" s="528"/>
      <c r="DWE41" s="528"/>
      <c r="DWF41" s="528"/>
      <c r="DWG41" s="528"/>
      <c r="DWH41" s="528"/>
      <c r="DWI41" s="528"/>
      <c r="DWJ41" s="528"/>
      <c r="DWK41" s="528"/>
      <c r="DWL41" s="528"/>
      <c r="DWM41" s="528"/>
      <c r="DWN41" s="528"/>
      <c r="DWO41" s="528"/>
      <c r="DWP41" s="528"/>
      <c r="DWQ41" s="528"/>
      <c r="DWR41" s="528"/>
      <c r="DWS41" s="528"/>
      <c r="DWT41" s="528"/>
      <c r="DWU41" s="528"/>
      <c r="DWV41" s="528"/>
      <c r="DWW41" s="528"/>
      <c r="DWX41" s="528"/>
      <c r="DWY41" s="528"/>
      <c r="DWZ41" s="528"/>
      <c r="DXA41" s="528"/>
      <c r="DXB41" s="528"/>
      <c r="DXC41" s="528"/>
      <c r="DXD41" s="528"/>
      <c r="DXE41" s="528"/>
      <c r="DXF41" s="528"/>
      <c r="DXG41" s="528"/>
      <c r="DXH41" s="528"/>
      <c r="DXI41" s="528"/>
      <c r="DXJ41" s="528"/>
      <c r="DXK41" s="528"/>
      <c r="DXL41" s="528"/>
      <c r="DXM41" s="528"/>
      <c r="DXN41" s="528"/>
      <c r="DXO41" s="528"/>
      <c r="DXP41" s="528"/>
      <c r="DXQ41" s="528"/>
      <c r="DXR41" s="528"/>
      <c r="DXS41" s="528"/>
      <c r="DXT41" s="528"/>
      <c r="DXU41" s="528"/>
      <c r="DXV41" s="528"/>
      <c r="DXW41" s="528"/>
      <c r="DXX41" s="528"/>
      <c r="DXY41" s="528"/>
      <c r="DXZ41" s="528"/>
      <c r="DYA41" s="528"/>
      <c r="DYB41" s="528"/>
      <c r="DYC41" s="528"/>
      <c r="DYD41" s="528"/>
      <c r="DYE41" s="528"/>
      <c r="DYF41" s="528"/>
      <c r="DYG41" s="528"/>
      <c r="DYH41" s="528"/>
      <c r="DYI41" s="528"/>
      <c r="DYJ41" s="528"/>
      <c r="DYK41" s="528"/>
      <c r="DYL41" s="528"/>
      <c r="DYM41" s="528"/>
      <c r="DYN41" s="528"/>
      <c r="DYO41" s="528"/>
      <c r="DYP41" s="528"/>
      <c r="DYQ41" s="528"/>
      <c r="DYR41" s="528"/>
      <c r="DYS41" s="528"/>
      <c r="DYT41" s="528"/>
      <c r="DYU41" s="528"/>
      <c r="DYV41" s="528"/>
      <c r="DYW41" s="528"/>
      <c r="DYX41" s="528"/>
      <c r="DYY41" s="528"/>
      <c r="DYZ41" s="528"/>
      <c r="DZA41" s="528"/>
      <c r="DZB41" s="528"/>
      <c r="DZC41" s="528"/>
      <c r="DZD41" s="528"/>
      <c r="DZE41" s="528"/>
      <c r="DZF41" s="528"/>
      <c r="DZG41" s="528"/>
      <c r="DZH41" s="528"/>
      <c r="DZI41" s="528"/>
      <c r="DZJ41" s="528"/>
      <c r="DZK41" s="528"/>
      <c r="DZL41" s="528"/>
      <c r="DZM41" s="528"/>
      <c r="DZN41" s="528"/>
      <c r="DZO41" s="528"/>
      <c r="DZP41" s="528"/>
      <c r="DZQ41" s="528"/>
      <c r="DZR41" s="528"/>
      <c r="DZS41" s="528"/>
      <c r="DZT41" s="528"/>
      <c r="DZU41" s="528"/>
      <c r="DZV41" s="528"/>
      <c r="DZW41" s="528"/>
      <c r="DZX41" s="528"/>
      <c r="DZY41" s="528"/>
      <c r="DZZ41" s="528"/>
      <c r="EAA41" s="528"/>
      <c r="EAB41" s="528"/>
      <c r="EAC41" s="528"/>
      <c r="EAD41" s="528"/>
      <c r="EAE41" s="528"/>
      <c r="EAF41" s="528"/>
      <c r="EAG41" s="528"/>
      <c r="EAH41" s="528"/>
      <c r="EAI41" s="528"/>
      <c r="EAJ41" s="528"/>
      <c r="EAK41" s="528"/>
      <c r="EAL41" s="528"/>
      <c r="EAM41" s="528"/>
      <c r="EAN41" s="528"/>
      <c r="EAO41" s="528"/>
      <c r="EAP41" s="528"/>
      <c r="EAQ41" s="528"/>
      <c r="EAR41" s="528"/>
      <c r="EAS41" s="528"/>
      <c r="EAT41" s="528"/>
      <c r="EAU41" s="528"/>
      <c r="EAV41" s="528"/>
      <c r="EAW41" s="528"/>
      <c r="EAX41" s="528"/>
      <c r="EAY41" s="528"/>
      <c r="EAZ41" s="528"/>
      <c r="EBA41" s="528"/>
      <c r="EBB41" s="528"/>
      <c r="EBC41" s="528"/>
      <c r="EBD41" s="528"/>
      <c r="EBE41" s="528"/>
      <c r="EBF41" s="528"/>
      <c r="EBG41" s="528"/>
      <c r="EBH41" s="528"/>
      <c r="EBI41" s="528"/>
      <c r="EBJ41" s="528"/>
      <c r="EBK41" s="528"/>
      <c r="EBL41" s="528"/>
      <c r="EBM41" s="528"/>
      <c r="EBN41" s="528"/>
      <c r="EBO41" s="528"/>
      <c r="EBP41" s="528"/>
      <c r="EBQ41" s="528"/>
      <c r="EBR41" s="528"/>
      <c r="EBS41" s="528"/>
      <c r="EBT41" s="528"/>
      <c r="EBU41" s="528"/>
      <c r="EBV41" s="528"/>
      <c r="EBW41" s="528"/>
      <c r="EBX41" s="528"/>
      <c r="EBY41" s="528"/>
      <c r="EBZ41" s="528"/>
      <c r="ECA41" s="528"/>
      <c r="ECB41" s="528"/>
      <c r="ECC41" s="528"/>
      <c r="ECD41" s="528"/>
      <c r="ECE41" s="528"/>
      <c r="ECF41" s="528"/>
      <c r="ECG41" s="528"/>
      <c r="ECH41" s="528"/>
      <c r="ECI41" s="528"/>
      <c r="ECJ41" s="528"/>
      <c r="ECK41" s="528"/>
      <c r="ECL41" s="528"/>
      <c r="ECM41" s="528"/>
      <c r="ECN41" s="528"/>
      <c r="ECO41" s="528"/>
      <c r="ECP41" s="528"/>
      <c r="ECQ41" s="528"/>
      <c r="ECR41" s="528"/>
      <c r="ECS41" s="528"/>
      <c r="ECT41" s="528"/>
      <c r="ECU41" s="528"/>
      <c r="ECV41" s="528"/>
      <c r="ECW41" s="528"/>
      <c r="ECX41" s="528"/>
      <c r="ECY41" s="528"/>
      <c r="ECZ41" s="528"/>
      <c r="EDA41" s="528"/>
      <c r="EDB41" s="528"/>
      <c r="EDC41" s="528"/>
      <c r="EDD41" s="528"/>
      <c r="EDE41" s="528"/>
      <c r="EDF41" s="528"/>
      <c r="EDG41" s="528"/>
      <c r="EDH41" s="528"/>
      <c r="EDI41" s="528"/>
      <c r="EDJ41" s="528"/>
      <c r="EDK41" s="528"/>
      <c r="EDL41" s="528"/>
      <c r="EDM41" s="528"/>
      <c r="EDN41" s="528"/>
      <c r="EDO41" s="528"/>
      <c r="EDP41" s="528"/>
      <c r="EDQ41" s="528"/>
      <c r="EDR41" s="528"/>
      <c r="EDS41" s="528"/>
      <c r="EDT41" s="528"/>
      <c r="EDU41" s="528"/>
      <c r="EDV41" s="528"/>
      <c r="EDW41" s="528"/>
      <c r="EDX41" s="528"/>
      <c r="EDY41" s="528"/>
      <c r="EDZ41" s="528"/>
      <c r="EEA41" s="528"/>
      <c r="EEB41" s="528"/>
      <c r="EEC41" s="528"/>
      <c r="EED41" s="528"/>
      <c r="EEE41" s="528"/>
      <c r="EEF41" s="528"/>
      <c r="EEG41" s="528"/>
      <c r="EEH41" s="528"/>
      <c r="EEI41" s="528"/>
      <c r="EEJ41" s="528"/>
      <c r="EEK41" s="528"/>
      <c r="EEL41" s="528"/>
      <c r="EEM41" s="528"/>
      <c r="EEN41" s="528"/>
      <c r="EEO41" s="528"/>
      <c r="EEP41" s="528"/>
      <c r="EEQ41" s="528"/>
      <c r="EER41" s="528"/>
      <c r="EES41" s="528"/>
      <c r="EET41" s="528"/>
      <c r="EEU41" s="528"/>
      <c r="EEV41" s="528"/>
      <c r="EEW41" s="528"/>
      <c r="EEX41" s="528"/>
      <c r="EEY41" s="528"/>
      <c r="EEZ41" s="528"/>
      <c r="EFA41" s="528"/>
      <c r="EFB41" s="528"/>
      <c r="EFC41" s="528"/>
      <c r="EFD41" s="528"/>
      <c r="EFE41" s="528"/>
      <c r="EFF41" s="528"/>
      <c r="EFG41" s="528"/>
      <c r="EFH41" s="528"/>
      <c r="EFI41" s="528"/>
      <c r="EFJ41" s="528"/>
      <c r="EFK41" s="528"/>
      <c r="EFL41" s="528"/>
      <c r="EFM41" s="528"/>
      <c r="EFN41" s="528"/>
      <c r="EFO41" s="528"/>
      <c r="EFP41" s="528"/>
      <c r="EFQ41" s="528"/>
      <c r="EFR41" s="528"/>
      <c r="EFS41" s="528"/>
      <c r="EFT41" s="528"/>
      <c r="EFU41" s="528"/>
      <c r="EFV41" s="528"/>
      <c r="EFW41" s="528"/>
      <c r="EFX41" s="528"/>
      <c r="EFY41" s="528"/>
      <c r="EFZ41" s="528"/>
      <c r="EGA41" s="528"/>
      <c r="EGB41" s="528"/>
      <c r="EGC41" s="528"/>
      <c r="EGD41" s="528"/>
      <c r="EGE41" s="528"/>
      <c r="EGF41" s="528"/>
      <c r="EGG41" s="528"/>
      <c r="EGH41" s="528"/>
      <c r="EGI41" s="528"/>
      <c r="EGJ41" s="528"/>
      <c r="EGK41" s="528"/>
      <c r="EGL41" s="528"/>
      <c r="EGM41" s="528"/>
      <c r="EGN41" s="528"/>
      <c r="EGO41" s="528"/>
      <c r="EGP41" s="528"/>
      <c r="EGQ41" s="528"/>
      <c r="EGR41" s="528"/>
      <c r="EGS41" s="528"/>
      <c r="EGT41" s="528"/>
      <c r="EGU41" s="528"/>
      <c r="EGV41" s="528"/>
      <c r="EGW41" s="528"/>
      <c r="EGX41" s="528"/>
      <c r="EGY41" s="528"/>
      <c r="EGZ41" s="528"/>
      <c r="EHA41" s="528"/>
      <c r="EHB41" s="528"/>
      <c r="EHC41" s="528"/>
      <c r="EHD41" s="528"/>
      <c r="EHE41" s="528"/>
      <c r="EHF41" s="528"/>
      <c r="EHG41" s="528"/>
      <c r="EHH41" s="528"/>
      <c r="EHI41" s="528"/>
      <c r="EHJ41" s="528"/>
      <c r="EHK41" s="528"/>
      <c r="EHL41" s="528"/>
      <c r="EHM41" s="528"/>
      <c r="EHN41" s="528"/>
      <c r="EHO41" s="528"/>
      <c r="EHP41" s="528"/>
      <c r="EHQ41" s="528"/>
      <c r="EHR41" s="528"/>
      <c r="EHS41" s="528"/>
      <c r="EHT41" s="528"/>
      <c r="EHU41" s="528"/>
      <c r="EHV41" s="528"/>
      <c r="EHW41" s="528"/>
      <c r="EHX41" s="528"/>
      <c r="EHY41" s="528"/>
      <c r="EHZ41" s="528"/>
      <c r="EIA41" s="528"/>
      <c r="EIB41" s="528"/>
      <c r="EIC41" s="528"/>
      <c r="EID41" s="528"/>
      <c r="EIE41" s="528"/>
      <c r="EIF41" s="528"/>
      <c r="EIG41" s="528"/>
      <c r="EIH41" s="528"/>
      <c r="EII41" s="528"/>
      <c r="EIJ41" s="528"/>
      <c r="EIK41" s="528"/>
      <c r="EIL41" s="528"/>
      <c r="EIM41" s="528"/>
      <c r="EIN41" s="528"/>
      <c r="EIO41" s="528"/>
      <c r="EIP41" s="528"/>
      <c r="EIQ41" s="528"/>
      <c r="EIR41" s="528"/>
      <c r="EIS41" s="528"/>
      <c r="EIT41" s="528"/>
      <c r="EIU41" s="528"/>
      <c r="EIV41" s="528"/>
      <c r="EIW41" s="528"/>
      <c r="EIX41" s="528"/>
      <c r="EIY41" s="528"/>
      <c r="EIZ41" s="528"/>
      <c r="EJA41" s="528"/>
      <c r="EJB41" s="528"/>
      <c r="EJC41" s="528"/>
      <c r="EJD41" s="528"/>
      <c r="EJE41" s="528"/>
      <c r="EJF41" s="528"/>
      <c r="EJG41" s="528"/>
      <c r="EJH41" s="528"/>
      <c r="EJI41" s="528"/>
      <c r="EJJ41" s="528"/>
      <c r="EJK41" s="528"/>
      <c r="EJL41" s="528"/>
      <c r="EJM41" s="528"/>
      <c r="EJN41" s="528"/>
      <c r="EJO41" s="528"/>
      <c r="EJP41" s="528"/>
      <c r="EJQ41" s="528"/>
      <c r="EJR41" s="528"/>
      <c r="EJS41" s="528"/>
      <c r="EJT41" s="528"/>
      <c r="EJU41" s="528"/>
      <c r="EJV41" s="528"/>
      <c r="EJW41" s="528"/>
      <c r="EJX41" s="528"/>
      <c r="EJY41" s="528"/>
      <c r="EJZ41" s="528"/>
      <c r="EKA41" s="528"/>
      <c r="EKB41" s="528"/>
      <c r="EKC41" s="528"/>
      <c r="EKD41" s="528"/>
      <c r="EKE41" s="528"/>
      <c r="EKF41" s="528"/>
      <c r="EKG41" s="528"/>
      <c r="EKH41" s="528"/>
      <c r="EKI41" s="528"/>
      <c r="EKJ41" s="528"/>
      <c r="EKK41" s="528"/>
      <c r="EKL41" s="528"/>
      <c r="EKM41" s="528"/>
      <c r="EKN41" s="528"/>
      <c r="EKO41" s="528"/>
      <c r="EKP41" s="528"/>
      <c r="EKQ41" s="528"/>
      <c r="EKR41" s="528"/>
      <c r="EKS41" s="528"/>
      <c r="EKT41" s="528"/>
      <c r="EKU41" s="528"/>
      <c r="EKV41" s="528"/>
      <c r="EKW41" s="528"/>
      <c r="EKX41" s="528"/>
      <c r="EKY41" s="528"/>
      <c r="EKZ41" s="528"/>
      <c r="ELA41" s="528"/>
      <c r="ELB41" s="528"/>
      <c r="ELC41" s="528"/>
      <c r="ELD41" s="528"/>
      <c r="ELE41" s="528"/>
      <c r="ELF41" s="528"/>
      <c r="ELG41" s="528"/>
      <c r="ELH41" s="528"/>
      <c r="ELI41" s="528"/>
      <c r="ELJ41" s="528"/>
      <c r="ELK41" s="528"/>
      <c r="ELL41" s="528"/>
      <c r="ELM41" s="528"/>
      <c r="ELN41" s="528"/>
      <c r="ELO41" s="528"/>
      <c r="ELP41" s="528"/>
      <c r="ELQ41" s="528"/>
      <c r="ELR41" s="528"/>
      <c r="ELS41" s="528"/>
      <c r="ELT41" s="528"/>
      <c r="ELU41" s="528"/>
      <c r="ELV41" s="528"/>
      <c r="ELW41" s="528"/>
      <c r="ELX41" s="528"/>
      <c r="ELY41" s="528"/>
      <c r="ELZ41" s="528"/>
      <c r="EMA41" s="528"/>
      <c r="EMB41" s="528"/>
      <c r="EMC41" s="528"/>
      <c r="EMD41" s="528"/>
      <c r="EME41" s="528"/>
      <c r="EMF41" s="528"/>
      <c r="EMG41" s="528"/>
      <c r="EMH41" s="528"/>
      <c r="EMI41" s="528"/>
      <c r="EMJ41" s="528"/>
      <c r="EMK41" s="528"/>
      <c r="EML41" s="528"/>
      <c r="EMM41" s="528"/>
      <c r="EMN41" s="528"/>
      <c r="EMO41" s="528"/>
      <c r="EMP41" s="528"/>
      <c r="EMQ41" s="528"/>
      <c r="EMR41" s="528"/>
      <c r="EMS41" s="528"/>
      <c r="EMT41" s="528"/>
      <c r="EMU41" s="528"/>
      <c r="EMV41" s="528"/>
      <c r="EMW41" s="528"/>
      <c r="EMX41" s="528"/>
      <c r="EMY41" s="528"/>
      <c r="EMZ41" s="528"/>
      <c r="ENA41" s="528"/>
      <c r="ENB41" s="528"/>
      <c r="ENC41" s="528"/>
      <c r="END41" s="528"/>
      <c r="ENE41" s="528"/>
      <c r="ENF41" s="528"/>
      <c r="ENG41" s="528"/>
      <c r="ENH41" s="528"/>
      <c r="ENI41" s="528"/>
      <c r="ENJ41" s="528"/>
      <c r="ENK41" s="528"/>
      <c r="ENL41" s="528"/>
      <c r="ENM41" s="528"/>
      <c r="ENN41" s="528"/>
      <c r="ENO41" s="528"/>
      <c r="ENP41" s="528"/>
      <c r="ENQ41" s="528"/>
      <c r="ENR41" s="528"/>
      <c r="ENS41" s="528"/>
      <c r="ENT41" s="528"/>
      <c r="ENU41" s="528"/>
      <c r="ENV41" s="528"/>
      <c r="ENW41" s="528"/>
      <c r="ENX41" s="528"/>
      <c r="ENY41" s="528"/>
      <c r="ENZ41" s="528"/>
      <c r="EOA41" s="528"/>
      <c r="EOB41" s="528"/>
      <c r="EOC41" s="528"/>
      <c r="EOD41" s="528"/>
      <c r="EOE41" s="528"/>
      <c r="EOF41" s="528"/>
      <c r="EOG41" s="528"/>
      <c r="EOH41" s="528"/>
      <c r="EOI41" s="528"/>
      <c r="EOJ41" s="528"/>
      <c r="EOK41" s="528"/>
      <c r="EOL41" s="528"/>
      <c r="EOM41" s="528"/>
      <c r="EON41" s="528"/>
      <c r="EOO41" s="528"/>
      <c r="EOP41" s="528"/>
      <c r="EOQ41" s="528"/>
      <c r="EOR41" s="528"/>
      <c r="EOS41" s="528"/>
      <c r="EOT41" s="528"/>
      <c r="EOU41" s="528"/>
      <c r="EOV41" s="528"/>
      <c r="EOW41" s="528"/>
      <c r="EOX41" s="528"/>
      <c r="EOY41" s="528"/>
      <c r="EOZ41" s="528"/>
      <c r="EPA41" s="528"/>
      <c r="EPB41" s="528"/>
      <c r="EPC41" s="528"/>
      <c r="EPD41" s="528"/>
      <c r="EPE41" s="528"/>
      <c r="EPF41" s="528"/>
      <c r="EPG41" s="528"/>
      <c r="EPH41" s="528"/>
      <c r="EPI41" s="528"/>
      <c r="EPJ41" s="528"/>
      <c r="EPK41" s="528"/>
      <c r="EPL41" s="528"/>
      <c r="EPM41" s="528"/>
      <c r="EPN41" s="528"/>
      <c r="EPO41" s="528"/>
      <c r="EPP41" s="528"/>
      <c r="EPQ41" s="528"/>
      <c r="EPR41" s="528"/>
      <c r="EPS41" s="528"/>
      <c r="EPT41" s="528"/>
      <c r="EPU41" s="528"/>
      <c r="EPV41" s="528"/>
      <c r="EPW41" s="528"/>
      <c r="EPX41" s="528"/>
      <c r="EPY41" s="528"/>
      <c r="EPZ41" s="528"/>
      <c r="EQA41" s="528"/>
      <c r="EQB41" s="528"/>
      <c r="EQC41" s="528"/>
      <c r="EQD41" s="528"/>
      <c r="EQE41" s="528"/>
      <c r="EQF41" s="528"/>
      <c r="EQG41" s="528"/>
      <c r="EQH41" s="528"/>
      <c r="EQI41" s="528"/>
      <c r="EQJ41" s="528"/>
      <c r="EQK41" s="528"/>
      <c r="EQL41" s="528"/>
      <c r="EQM41" s="528"/>
      <c r="EQN41" s="528"/>
      <c r="EQO41" s="528"/>
      <c r="EQP41" s="528"/>
      <c r="EQQ41" s="528"/>
      <c r="EQR41" s="528"/>
      <c r="EQS41" s="528"/>
      <c r="EQT41" s="528"/>
      <c r="EQU41" s="528"/>
      <c r="EQV41" s="528"/>
      <c r="EQW41" s="528"/>
      <c r="EQX41" s="528"/>
      <c r="EQY41" s="528"/>
      <c r="EQZ41" s="528"/>
      <c r="ERA41" s="528"/>
      <c r="ERB41" s="528"/>
      <c r="ERC41" s="528"/>
      <c r="ERD41" s="528"/>
      <c r="ERE41" s="528"/>
      <c r="ERF41" s="528"/>
      <c r="ERG41" s="528"/>
      <c r="ERH41" s="528"/>
      <c r="ERI41" s="528"/>
      <c r="ERJ41" s="528"/>
      <c r="ERK41" s="528"/>
      <c r="ERL41" s="528"/>
      <c r="ERM41" s="528"/>
      <c r="ERN41" s="528"/>
      <c r="ERO41" s="528"/>
      <c r="ERP41" s="528"/>
      <c r="ERQ41" s="528"/>
      <c r="ERR41" s="528"/>
      <c r="ERS41" s="528"/>
      <c r="ERT41" s="528"/>
      <c r="ERU41" s="528"/>
      <c r="ERV41" s="528"/>
      <c r="ERW41" s="528"/>
      <c r="ERX41" s="528"/>
      <c r="ERY41" s="528"/>
      <c r="ERZ41" s="528"/>
      <c r="ESA41" s="528"/>
      <c r="ESB41" s="528"/>
      <c r="ESC41" s="528"/>
      <c r="ESD41" s="528"/>
      <c r="ESE41" s="528"/>
      <c r="ESF41" s="528"/>
      <c r="ESG41" s="528"/>
      <c r="ESH41" s="528"/>
      <c r="ESI41" s="528"/>
      <c r="ESJ41" s="528"/>
      <c r="ESK41" s="528"/>
      <c r="ESL41" s="528"/>
      <c r="ESM41" s="528"/>
      <c r="ESN41" s="528"/>
      <c r="ESO41" s="528"/>
      <c r="ESP41" s="528"/>
      <c r="ESQ41" s="528"/>
      <c r="ESR41" s="528"/>
      <c r="ESS41" s="528"/>
      <c r="EST41" s="528"/>
      <c r="ESU41" s="528"/>
      <c r="ESV41" s="528"/>
      <c r="ESW41" s="528"/>
      <c r="ESX41" s="528"/>
      <c r="ESY41" s="528"/>
      <c r="ESZ41" s="528"/>
      <c r="ETA41" s="528"/>
      <c r="ETB41" s="528"/>
      <c r="ETC41" s="528"/>
      <c r="ETD41" s="528"/>
      <c r="ETE41" s="528"/>
      <c r="ETF41" s="528"/>
      <c r="ETG41" s="528"/>
      <c r="ETH41" s="528"/>
      <c r="ETI41" s="528"/>
      <c r="ETJ41" s="528"/>
      <c r="ETK41" s="528"/>
      <c r="ETL41" s="528"/>
      <c r="ETM41" s="528"/>
      <c r="ETN41" s="528"/>
      <c r="ETO41" s="528"/>
      <c r="ETP41" s="528"/>
      <c r="ETQ41" s="528"/>
      <c r="ETR41" s="528"/>
      <c r="ETS41" s="528"/>
      <c r="ETT41" s="528"/>
      <c r="ETU41" s="528"/>
      <c r="ETV41" s="528"/>
      <c r="ETW41" s="528"/>
      <c r="ETX41" s="528"/>
      <c r="ETY41" s="528"/>
      <c r="ETZ41" s="528"/>
      <c r="EUA41" s="528"/>
      <c r="EUB41" s="528"/>
      <c r="EUC41" s="528"/>
      <c r="EUD41" s="528"/>
      <c r="EUE41" s="528"/>
      <c r="EUF41" s="528"/>
      <c r="EUG41" s="528"/>
      <c r="EUH41" s="528"/>
      <c r="EUI41" s="528"/>
      <c r="EUJ41" s="528"/>
      <c r="EUK41" s="528"/>
      <c r="EUL41" s="528"/>
      <c r="EUM41" s="528"/>
      <c r="EUN41" s="528"/>
      <c r="EUO41" s="528"/>
      <c r="EUP41" s="528"/>
      <c r="EUQ41" s="528"/>
      <c r="EUR41" s="528"/>
      <c r="EUS41" s="528"/>
      <c r="EUT41" s="528"/>
      <c r="EUU41" s="528"/>
      <c r="EUV41" s="528"/>
      <c r="EUW41" s="528"/>
      <c r="EUX41" s="528"/>
      <c r="EUY41" s="528"/>
      <c r="EUZ41" s="528"/>
      <c r="EVA41" s="528"/>
      <c r="EVB41" s="528"/>
      <c r="EVC41" s="528"/>
      <c r="EVD41" s="528"/>
      <c r="EVE41" s="528"/>
      <c r="EVF41" s="528"/>
      <c r="EVG41" s="528"/>
      <c r="EVH41" s="528"/>
      <c r="EVI41" s="528"/>
      <c r="EVJ41" s="528"/>
      <c r="EVK41" s="528"/>
      <c r="EVL41" s="528"/>
      <c r="EVM41" s="528"/>
      <c r="EVN41" s="528"/>
      <c r="EVO41" s="528"/>
      <c r="EVP41" s="528"/>
      <c r="EVQ41" s="528"/>
      <c r="EVR41" s="528"/>
      <c r="EVS41" s="528"/>
      <c r="EVT41" s="528"/>
      <c r="EVU41" s="528"/>
      <c r="EVV41" s="528"/>
      <c r="EVW41" s="528"/>
      <c r="EVX41" s="528"/>
      <c r="EVY41" s="528"/>
      <c r="EVZ41" s="528"/>
      <c r="EWA41" s="528"/>
      <c r="EWB41" s="528"/>
      <c r="EWC41" s="528"/>
      <c r="EWD41" s="528"/>
      <c r="EWE41" s="528"/>
      <c r="EWF41" s="528"/>
      <c r="EWG41" s="528"/>
      <c r="EWH41" s="528"/>
      <c r="EWI41" s="528"/>
      <c r="EWJ41" s="528"/>
      <c r="EWK41" s="528"/>
      <c r="EWL41" s="528"/>
      <c r="EWM41" s="528"/>
      <c r="EWN41" s="528"/>
      <c r="EWO41" s="528"/>
      <c r="EWP41" s="528"/>
      <c r="EWQ41" s="528"/>
      <c r="EWR41" s="528"/>
      <c r="EWS41" s="528"/>
      <c r="EWT41" s="528"/>
      <c r="EWU41" s="528"/>
      <c r="EWV41" s="528"/>
      <c r="EWW41" s="528"/>
      <c r="EWX41" s="528"/>
      <c r="EWY41" s="528"/>
      <c r="EWZ41" s="528"/>
      <c r="EXA41" s="528"/>
      <c r="EXB41" s="528"/>
      <c r="EXC41" s="528"/>
      <c r="EXD41" s="528"/>
      <c r="EXE41" s="528"/>
      <c r="EXF41" s="528"/>
      <c r="EXG41" s="528"/>
      <c r="EXH41" s="528"/>
      <c r="EXI41" s="528"/>
      <c r="EXJ41" s="528"/>
      <c r="EXK41" s="528"/>
      <c r="EXL41" s="528"/>
      <c r="EXM41" s="528"/>
      <c r="EXN41" s="528"/>
      <c r="EXO41" s="528"/>
      <c r="EXP41" s="528"/>
      <c r="EXQ41" s="528"/>
      <c r="EXR41" s="528"/>
      <c r="EXS41" s="528"/>
      <c r="EXT41" s="528"/>
      <c r="EXU41" s="528"/>
      <c r="EXV41" s="528"/>
      <c r="EXW41" s="528"/>
      <c r="EXX41" s="528"/>
      <c r="EXY41" s="528"/>
      <c r="EXZ41" s="528"/>
      <c r="EYA41" s="528"/>
      <c r="EYB41" s="528"/>
      <c r="EYC41" s="528"/>
      <c r="EYD41" s="528"/>
      <c r="EYE41" s="528"/>
      <c r="EYF41" s="528"/>
      <c r="EYG41" s="528"/>
      <c r="EYH41" s="528"/>
      <c r="EYI41" s="528"/>
      <c r="EYJ41" s="528"/>
      <c r="EYK41" s="528"/>
      <c r="EYL41" s="528"/>
      <c r="EYM41" s="528"/>
      <c r="EYN41" s="528"/>
      <c r="EYO41" s="528"/>
      <c r="EYP41" s="528"/>
      <c r="EYQ41" s="528"/>
      <c r="EYR41" s="528"/>
      <c r="EYS41" s="528"/>
      <c r="EYT41" s="528"/>
      <c r="EYU41" s="528"/>
      <c r="EYV41" s="528"/>
      <c r="EYW41" s="528"/>
      <c r="EYX41" s="528"/>
      <c r="EYY41" s="528"/>
      <c r="EYZ41" s="528"/>
      <c r="EZA41" s="528"/>
      <c r="EZB41" s="528"/>
      <c r="EZC41" s="528"/>
      <c r="EZD41" s="528"/>
      <c r="EZE41" s="528"/>
      <c r="EZF41" s="528"/>
      <c r="EZG41" s="528"/>
      <c r="EZH41" s="528"/>
      <c r="EZI41" s="528"/>
      <c r="EZJ41" s="528"/>
      <c r="EZK41" s="528"/>
      <c r="EZL41" s="528"/>
      <c r="EZM41" s="528"/>
      <c r="EZN41" s="528"/>
      <c r="EZO41" s="528"/>
      <c r="EZP41" s="528"/>
      <c r="EZQ41" s="528"/>
      <c r="EZR41" s="528"/>
      <c r="EZS41" s="528"/>
      <c r="EZT41" s="528"/>
      <c r="EZU41" s="528"/>
      <c r="EZV41" s="528"/>
      <c r="EZW41" s="528"/>
      <c r="EZX41" s="528"/>
      <c r="EZY41" s="528"/>
      <c r="EZZ41" s="528"/>
      <c r="FAA41" s="528"/>
      <c r="FAB41" s="528"/>
      <c r="FAC41" s="528"/>
      <c r="FAD41" s="528"/>
      <c r="FAE41" s="528"/>
      <c r="FAF41" s="528"/>
      <c r="FAG41" s="528"/>
      <c r="FAH41" s="528"/>
      <c r="FAI41" s="528"/>
      <c r="FAJ41" s="528"/>
      <c r="FAK41" s="528"/>
      <c r="FAL41" s="528"/>
      <c r="FAM41" s="528"/>
      <c r="FAN41" s="528"/>
      <c r="FAO41" s="528"/>
      <c r="FAP41" s="528"/>
      <c r="FAQ41" s="528"/>
      <c r="FAR41" s="528"/>
      <c r="FAS41" s="528"/>
      <c r="FAT41" s="528"/>
      <c r="FAU41" s="528"/>
      <c r="FAV41" s="528"/>
      <c r="FAW41" s="528"/>
      <c r="FAX41" s="528"/>
      <c r="FAY41" s="528"/>
      <c r="FAZ41" s="528"/>
      <c r="FBA41" s="528"/>
      <c r="FBB41" s="528"/>
      <c r="FBC41" s="528"/>
      <c r="FBD41" s="528"/>
      <c r="FBE41" s="528"/>
      <c r="FBF41" s="528"/>
      <c r="FBG41" s="528"/>
      <c r="FBH41" s="528"/>
      <c r="FBI41" s="528"/>
      <c r="FBJ41" s="528"/>
      <c r="FBK41" s="528"/>
      <c r="FBL41" s="528"/>
      <c r="FBM41" s="528"/>
      <c r="FBN41" s="528"/>
      <c r="FBO41" s="528"/>
      <c r="FBP41" s="528"/>
      <c r="FBQ41" s="528"/>
      <c r="FBR41" s="528"/>
      <c r="FBS41" s="528"/>
      <c r="FBT41" s="528"/>
      <c r="FBU41" s="528"/>
      <c r="FBV41" s="528"/>
      <c r="FBW41" s="528"/>
      <c r="FBX41" s="528"/>
      <c r="FBY41" s="528"/>
      <c r="FBZ41" s="528"/>
      <c r="FCA41" s="528"/>
      <c r="FCB41" s="528"/>
      <c r="FCC41" s="528"/>
      <c r="FCD41" s="528"/>
      <c r="FCE41" s="528"/>
      <c r="FCF41" s="528"/>
      <c r="FCG41" s="528"/>
      <c r="FCH41" s="528"/>
      <c r="FCI41" s="528"/>
      <c r="FCJ41" s="528"/>
      <c r="FCK41" s="528"/>
      <c r="FCL41" s="528"/>
      <c r="FCM41" s="528"/>
      <c r="FCN41" s="528"/>
      <c r="FCO41" s="528"/>
      <c r="FCP41" s="528"/>
      <c r="FCQ41" s="528"/>
      <c r="FCR41" s="528"/>
      <c r="FCS41" s="528"/>
      <c r="FCT41" s="528"/>
      <c r="FCU41" s="528"/>
      <c r="FCV41" s="528"/>
      <c r="FCW41" s="528"/>
      <c r="FCX41" s="528"/>
      <c r="FCY41" s="528"/>
      <c r="FCZ41" s="528"/>
      <c r="FDA41" s="528"/>
      <c r="FDB41" s="528"/>
      <c r="FDC41" s="528"/>
      <c r="FDD41" s="528"/>
      <c r="FDE41" s="528"/>
      <c r="FDF41" s="528"/>
      <c r="FDG41" s="528"/>
      <c r="FDH41" s="528"/>
      <c r="FDI41" s="528"/>
      <c r="FDJ41" s="528"/>
      <c r="FDK41" s="528"/>
      <c r="FDL41" s="528"/>
      <c r="FDM41" s="528"/>
      <c r="FDN41" s="528"/>
      <c r="FDO41" s="528"/>
      <c r="FDP41" s="528"/>
      <c r="FDQ41" s="528"/>
      <c r="FDR41" s="528"/>
      <c r="FDS41" s="528"/>
      <c r="FDT41" s="528"/>
      <c r="FDU41" s="528"/>
      <c r="FDV41" s="528"/>
      <c r="FDW41" s="528"/>
      <c r="FDX41" s="528"/>
      <c r="FDY41" s="528"/>
      <c r="FDZ41" s="528"/>
      <c r="FEA41" s="528"/>
      <c r="FEB41" s="528"/>
      <c r="FEC41" s="528"/>
      <c r="FED41" s="528"/>
      <c r="FEE41" s="528"/>
      <c r="FEF41" s="528"/>
      <c r="FEG41" s="528"/>
      <c r="FEH41" s="528"/>
      <c r="FEI41" s="528"/>
      <c r="FEJ41" s="528"/>
      <c r="FEK41" s="528"/>
      <c r="FEL41" s="528"/>
      <c r="FEM41" s="528"/>
      <c r="FEN41" s="528"/>
      <c r="FEO41" s="528"/>
      <c r="FEP41" s="528"/>
      <c r="FEQ41" s="528"/>
      <c r="FER41" s="528"/>
      <c r="FES41" s="528"/>
      <c r="FET41" s="528"/>
      <c r="FEU41" s="528"/>
      <c r="FEV41" s="528"/>
      <c r="FEW41" s="528"/>
      <c r="FEX41" s="528"/>
      <c r="FEY41" s="528"/>
      <c r="FEZ41" s="528"/>
      <c r="FFA41" s="528"/>
      <c r="FFB41" s="528"/>
      <c r="FFC41" s="528"/>
      <c r="FFD41" s="528"/>
      <c r="FFE41" s="528"/>
      <c r="FFF41" s="528"/>
      <c r="FFG41" s="528"/>
      <c r="FFH41" s="528"/>
      <c r="FFI41" s="528"/>
      <c r="FFJ41" s="528"/>
      <c r="FFK41" s="528"/>
      <c r="FFL41" s="528"/>
      <c r="FFM41" s="528"/>
      <c r="FFN41" s="528"/>
      <c r="FFO41" s="528"/>
      <c r="FFP41" s="528"/>
      <c r="FFQ41" s="528"/>
      <c r="FFR41" s="528"/>
      <c r="FFS41" s="528"/>
      <c r="FFT41" s="528"/>
      <c r="FFU41" s="528"/>
      <c r="FFV41" s="528"/>
      <c r="FFW41" s="528"/>
      <c r="FFX41" s="528"/>
      <c r="FFY41" s="528"/>
      <c r="FFZ41" s="528"/>
      <c r="FGA41" s="528"/>
      <c r="FGB41" s="528"/>
      <c r="FGC41" s="528"/>
      <c r="FGD41" s="528"/>
      <c r="FGE41" s="528"/>
      <c r="FGF41" s="528"/>
      <c r="FGG41" s="528"/>
      <c r="FGH41" s="528"/>
      <c r="FGI41" s="528"/>
      <c r="FGJ41" s="528"/>
      <c r="FGK41" s="528"/>
      <c r="FGL41" s="528"/>
      <c r="FGM41" s="528"/>
      <c r="FGN41" s="528"/>
      <c r="FGO41" s="528"/>
      <c r="FGP41" s="528"/>
      <c r="FGQ41" s="528"/>
      <c r="FGR41" s="528"/>
      <c r="FGS41" s="528"/>
      <c r="FGT41" s="528"/>
      <c r="FGU41" s="528"/>
      <c r="FGV41" s="528"/>
      <c r="FGW41" s="528"/>
      <c r="FGX41" s="528"/>
      <c r="FGY41" s="528"/>
      <c r="FGZ41" s="528"/>
      <c r="FHA41" s="528"/>
      <c r="FHB41" s="528"/>
      <c r="FHC41" s="528"/>
      <c r="FHD41" s="528"/>
      <c r="FHE41" s="528"/>
      <c r="FHF41" s="528"/>
      <c r="FHG41" s="528"/>
      <c r="FHH41" s="528"/>
      <c r="FHI41" s="528"/>
      <c r="FHJ41" s="528"/>
      <c r="FHK41" s="528"/>
      <c r="FHL41" s="528"/>
      <c r="FHM41" s="528"/>
      <c r="FHN41" s="528"/>
      <c r="FHO41" s="528"/>
      <c r="FHP41" s="528"/>
      <c r="FHQ41" s="528"/>
      <c r="FHR41" s="528"/>
      <c r="FHS41" s="528"/>
      <c r="FHT41" s="528"/>
      <c r="FHU41" s="528"/>
      <c r="FHV41" s="528"/>
      <c r="FHW41" s="528"/>
      <c r="FHX41" s="528"/>
      <c r="FHY41" s="528"/>
      <c r="FHZ41" s="528"/>
      <c r="FIA41" s="528"/>
      <c r="FIB41" s="528"/>
      <c r="FIC41" s="528"/>
      <c r="FID41" s="528"/>
      <c r="FIE41" s="528"/>
      <c r="FIF41" s="528"/>
      <c r="FIG41" s="528"/>
      <c r="FIH41" s="528"/>
      <c r="FII41" s="528"/>
      <c r="FIJ41" s="528"/>
      <c r="FIK41" s="528"/>
      <c r="FIL41" s="528"/>
      <c r="FIM41" s="528"/>
      <c r="FIN41" s="528"/>
      <c r="FIO41" s="528"/>
      <c r="FIP41" s="528"/>
      <c r="FIQ41" s="528"/>
      <c r="FIR41" s="528"/>
      <c r="FIS41" s="528"/>
      <c r="FIT41" s="528"/>
      <c r="FIU41" s="528"/>
      <c r="FIV41" s="528"/>
      <c r="FIW41" s="528"/>
      <c r="FIX41" s="528"/>
      <c r="FIY41" s="528"/>
      <c r="FIZ41" s="528"/>
      <c r="FJA41" s="528"/>
      <c r="FJB41" s="528"/>
      <c r="FJC41" s="528"/>
      <c r="FJD41" s="528"/>
      <c r="FJE41" s="528"/>
      <c r="FJF41" s="528"/>
      <c r="FJG41" s="528"/>
      <c r="FJH41" s="528"/>
      <c r="FJI41" s="528"/>
      <c r="FJJ41" s="528"/>
      <c r="FJK41" s="528"/>
      <c r="FJL41" s="528"/>
      <c r="FJM41" s="528"/>
      <c r="FJN41" s="528"/>
      <c r="FJO41" s="528"/>
      <c r="FJP41" s="528"/>
      <c r="FJQ41" s="528"/>
      <c r="FJR41" s="528"/>
      <c r="FJS41" s="528"/>
      <c r="FJT41" s="528"/>
      <c r="FJU41" s="528"/>
      <c r="FJV41" s="528"/>
      <c r="FJW41" s="528"/>
      <c r="FJX41" s="528"/>
      <c r="FJY41" s="528"/>
      <c r="FJZ41" s="528"/>
      <c r="FKA41" s="528"/>
      <c r="FKB41" s="528"/>
      <c r="FKC41" s="528"/>
      <c r="FKD41" s="528"/>
      <c r="FKE41" s="528"/>
      <c r="FKF41" s="528"/>
      <c r="FKG41" s="528"/>
      <c r="FKH41" s="528"/>
      <c r="FKI41" s="528"/>
      <c r="FKJ41" s="528"/>
      <c r="FKK41" s="528"/>
      <c r="FKL41" s="528"/>
      <c r="FKM41" s="528"/>
      <c r="FKN41" s="528"/>
      <c r="FKO41" s="528"/>
      <c r="FKP41" s="528"/>
      <c r="FKQ41" s="528"/>
      <c r="FKR41" s="528"/>
      <c r="FKS41" s="528"/>
      <c r="FKT41" s="528"/>
      <c r="FKU41" s="528"/>
      <c r="FKV41" s="528"/>
      <c r="FKW41" s="528"/>
      <c r="FKX41" s="528"/>
      <c r="FKY41" s="528"/>
      <c r="FKZ41" s="528"/>
      <c r="FLA41" s="528"/>
      <c r="FLB41" s="528"/>
      <c r="FLC41" s="528"/>
      <c r="FLD41" s="528"/>
      <c r="FLE41" s="528"/>
      <c r="FLF41" s="528"/>
      <c r="FLG41" s="528"/>
      <c r="FLH41" s="528"/>
      <c r="FLI41" s="528"/>
      <c r="FLJ41" s="528"/>
      <c r="FLK41" s="528"/>
      <c r="FLL41" s="528"/>
      <c r="FLM41" s="528"/>
      <c r="FLN41" s="528"/>
      <c r="FLO41" s="528"/>
      <c r="FLP41" s="528"/>
      <c r="FLQ41" s="528"/>
      <c r="FLR41" s="528"/>
      <c r="FLS41" s="528"/>
      <c r="FLT41" s="528"/>
      <c r="FLU41" s="528"/>
      <c r="FLV41" s="528"/>
      <c r="FLW41" s="528"/>
      <c r="FLX41" s="528"/>
      <c r="FLY41" s="528"/>
      <c r="FLZ41" s="528"/>
      <c r="FMA41" s="528"/>
      <c r="FMB41" s="528"/>
      <c r="FMC41" s="528"/>
      <c r="FMD41" s="528"/>
      <c r="FME41" s="528"/>
      <c r="FMF41" s="528"/>
      <c r="FMG41" s="528"/>
      <c r="FMH41" s="528"/>
      <c r="FMI41" s="528"/>
      <c r="FMJ41" s="528"/>
      <c r="FMK41" s="528"/>
      <c r="FML41" s="528"/>
      <c r="FMM41" s="528"/>
      <c r="FMN41" s="528"/>
      <c r="FMO41" s="528"/>
      <c r="FMP41" s="528"/>
      <c r="FMQ41" s="528"/>
      <c r="FMR41" s="528"/>
      <c r="FMS41" s="528"/>
      <c r="FMT41" s="528"/>
      <c r="FMU41" s="528"/>
      <c r="FMV41" s="528"/>
      <c r="FMW41" s="528"/>
      <c r="FMX41" s="528"/>
      <c r="FMY41" s="528"/>
      <c r="FMZ41" s="528"/>
      <c r="FNA41" s="528"/>
      <c r="FNB41" s="528"/>
      <c r="FNC41" s="528"/>
      <c r="FND41" s="528"/>
      <c r="FNE41" s="528"/>
      <c r="FNF41" s="528"/>
      <c r="FNG41" s="528"/>
      <c r="FNH41" s="528"/>
      <c r="FNI41" s="528"/>
      <c r="FNJ41" s="528"/>
      <c r="FNK41" s="528"/>
      <c r="FNL41" s="528"/>
      <c r="FNM41" s="528"/>
      <c r="FNN41" s="528"/>
      <c r="FNO41" s="528"/>
      <c r="FNP41" s="528"/>
      <c r="FNQ41" s="528"/>
      <c r="FNR41" s="528"/>
      <c r="FNS41" s="528"/>
      <c r="FNT41" s="528"/>
      <c r="FNU41" s="528"/>
      <c r="FNV41" s="528"/>
      <c r="FNW41" s="528"/>
      <c r="FNX41" s="528"/>
      <c r="FNY41" s="528"/>
      <c r="FNZ41" s="528"/>
      <c r="FOA41" s="528"/>
      <c r="FOB41" s="528"/>
      <c r="FOC41" s="528"/>
      <c r="FOD41" s="528"/>
      <c r="FOE41" s="528"/>
      <c r="FOF41" s="528"/>
      <c r="FOG41" s="528"/>
      <c r="FOH41" s="528"/>
      <c r="FOI41" s="528"/>
      <c r="FOJ41" s="528"/>
      <c r="FOK41" s="528"/>
      <c r="FOL41" s="528"/>
      <c r="FOM41" s="528"/>
      <c r="FON41" s="528"/>
      <c r="FOO41" s="528"/>
      <c r="FOP41" s="528"/>
      <c r="FOQ41" s="528"/>
      <c r="FOR41" s="528"/>
      <c r="FOS41" s="528"/>
      <c r="FOT41" s="528"/>
      <c r="FOU41" s="528"/>
      <c r="FOV41" s="528"/>
      <c r="FOW41" s="528"/>
      <c r="FOX41" s="528"/>
      <c r="FOY41" s="528"/>
      <c r="FOZ41" s="528"/>
      <c r="FPA41" s="528"/>
      <c r="FPB41" s="528"/>
      <c r="FPC41" s="528"/>
      <c r="FPD41" s="528"/>
      <c r="FPE41" s="528"/>
      <c r="FPF41" s="528"/>
      <c r="FPG41" s="528"/>
      <c r="FPH41" s="528"/>
      <c r="FPI41" s="528"/>
      <c r="FPJ41" s="528"/>
      <c r="FPK41" s="528"/>
      <c r="FPL41" s="528"/>
      <c r="FPM41" s="528"/>
      <c r="FPN41" s="528"/>
      <c r="FPO41" s="528"/>
      <c r="FPP41" s="528"/>
      <c r="FPQ41" s="528"/>
      <c r="FPR41" s="528"/>
      <c r="FPS41" s="528"/>
      <c r="FPT41" s="528"/>
      <c r="FPU41" s="528"/>
      <c r="FPV41" s="528"/>
      <c r="FPW41" s="528"/>
      <c r="FPX41" s="528"/>
      <c r="FPY41" s="528"/>
      <c r="FPZ41" s="528"/>
      <c r="FQA41" s="528"/>
      <c r="FQB41" s="528"/>
      <c r="FQC41" s="528"/>
      <c r="FQD41" s="528"/>
      <c r="FQE41" s="528"/>
      <c r="FQF41" s="528"/>
      <c r="FQG41" s="528"/>
      <c r="FQH41" s="528"/>
      <c r="FQI41" s="528"/>
      <c r="FQJ41" s="528"/>
      <c r="FQK41" s="528"/>
      <c r="FQL41" s="528"/>
      <c r="FQM41" s="528"/>
      <c r="FQN41" s="528"/>
      <c r="FQO41" s="528"/>
      <c r="FQP41" s="528"/>
      <c r="FQQ41" s="528"/>
      <c r="FQR41" s="528"/>
      <c r="FQS41" s="528"/>
      <c r="FQT41" s="528"/>
      <c r="FQU41" s="528"/>
      <c r="FQV41" s="528"/>
      <c r="FQW41" s="528"/>
      <c r="FQX41" s="528"/>
      <c r="FQY41" s="528"/>
      <c r="FQZ41" s="528"/>
      <c r="FRA41" s="528"/>
      <c r="FRB41" s="528"/>
      <c r="FRC41" s="528"/>
      <c r="FRD41" s="528"/>
      <c r="FRE41" s="528"/>
      <c r="FRF41" s="528"/>
      <c r="FRG41" s="528"/>
      <c r="FRH41" s="528"/>
      <c r="FRI41" s="528"/>
      <c r="FRJ41" s="528"/>
      <c r="FRK41" s="528"/>
      <c r="FRL41" s="528"/>
      <c r="FRM41" s="528"/>
      <c r="FRN41" s="528"/>
      <c r="FRO41" s="528"/>
      <c r="FRP41" s="528"/>
      <c r="FRQ41" s="528"/>
      <c r="FRR41" s="528"/>
      <c r="FRS41" s="528"/>
      <c r="FRT41" s="528"/>
      <c r="FRU41" s="528"/>
      <c r="FRV41" s="528"/>
      <c r="FRW41" s="528"/>
      <c r="FRX41" s="528"/>
      <c r="FRY41" s="528"/>
      <c r="FRZ41" s="528"/>
      <c r="FSA41" s="528"/>
      <c r="FSB41" s="528"/>
      <c r="FSC41" s="528"/>
      <c r="FSD41" s="528"/>
      <c r="FSE41" s="528"/>
      <c r="FSF41" s="528"/>
      <c r="FSG41" s="528"/>
      <c r="FSH41" s="528"/>
      <c r="FSI41" s="528"/>
      <c r="FSJ41" s="528"/>
      <c r="FSK41" s="528"/>
      <c r="FSL41" s="528"/>
      <c r="FSM41" s="528"/>
      <c r="FSN41" s="528"/>
      <c r="FSO41" s="528"/>
      <c r="FSP41" s="528"/>
      <c r="FSQ41" s="528"/>
      <c r="FSR41" s="528"/>
      <c r="FSS41" s="528"/>
      <c r="FST41" s="528"/>
      <c r="FSU41" s="528"/>
      <c r="FSV41" s="528"/>
      <c r="FSW41" s="528"/>
      <c r="FSX41" s="528"/>
      <c r="FSY41" s="528"/>
      <c r="FSZ41" s="528"/>
      <c r="FTA41" s="528"/>
      <c r="FTB41" s="528"/>
      <c r="FTC41" s="528"/>
      <c r="FTD41" s="528"/>
      <c r="FTE41" s="528"/>
      <c r="FTF41" s="528"/>
      <c r="FTG41" s="528"/>
      <c r="FTH41" s="528"/>
      <c r="FTI41" s="528"/>
      <c r="FTJ41" s="528"/>
      <c r="FTK41" s="528"/>
      <c r="FTL41" s="528"/>
      <c r="FTM41" s="528"/>
      <c r="FTN41" s="528"/>
      <c r="FTO41" s="528"/>
      <c r="FTP41" s="528"/>
      <c r="FTQ41" s="528"/>
      <c r="FTR41" s="528"/>
      <c r="FTS41" s="528"/>
      <c r="FTT41" s="528"/>
      <c r="FTU41" s="528"/>
      <c r="FTV41" s="528"/>
      <c r="FTW41" s="528"/>
      <c r="FTX41" s="528"/>
      <c r="FTY41" s="528"/>
      <c r="FTZ41" s="528"/>
      <c r="FUA41" s="528"/>
      <c r="FUB41" s="528"/>
      <c r="FUC41" s="528"/>
      <c r="FUD41" s="528"/>
      <c r="FUE41" s="528"/>
      <c r="FUF41" s="528"/>
      <c r="FUG41" s="528"/>
      <c r="FUH41" s="528"/>
      <c r="FUI41" s="528"/>
      <c r="FUJ41" s="528"/>
      <c r="FUK41" s="528"/>
      <c r="FUL41" s="528"/>
      <c r="FUM41" s="528"/>
      <c r="FUN41" s="528"/>
      <c r="FUO41" s="528"/>
      <c r="FUP41" s="528"/>
      <c r="FUQ41" s="528"/>
      <c r="FUR41" s="528"/>
      <c r="FUS41" s="528"/>
      <c r="FUT41" s="528"/>
      <c r="FUU41" s="528"/>
      <c r="FUV41" s="528"/>
      <c r="FUW41" s="528"/>
      <c r="FUX41" s="528"/>
      <c r="FUY41" s="528"/>
      <c r="FUZ41" s="528"/>
      <c r="FVA41" s="528"/>
      <c r="FVB41" s="528"/>
      <c r="FVC41" s="528"/>
      <c r="FVD41" s="528"/>
      <c r="FVE41" s="528"/>
      <c r="FVF41" s="528"/>
      <c r="FVG41" s="528"/>
      <c r="FVH41" s="528"/>
      <c r="FVI41" s="528"/>
      <c r="FVJ41" s="528"/>
      <c r="FVK41" s="528"/>
      <c r="FVL41" s="528"/>
      <c r="FVM41" s="528"/>
      <c r="FVN41" s="528"/>
      <c r="FVO41" s="528"/>
      <c r="FVP41" s="528"/>
      <c r="FVQ41" s="528"/>
      <c r="FVR41" s="528"/>
      <c r="FVS41" s="528"/>
      <c r="FVT41" s="528"/>
      <c r="FVU41" s="528"/>
      <c r="FVV41" s="528"/>
      <c r="FVW41" s="528"/>
      <c r="FVX41" s="528"/>
      <c r="FVY41" s="528"/>
      <c r="FVZ41" s="528"/>
      <c r="FWA41" s="528"/>
      <c r="FWB41" s="528"/>
      <c r="FWC41" s="528"/>
      <c r="FWD41" s="528"/>
      <c r="FWE41" s="528"/>
      <c r="FWF41" s="528"/>
      <c r="FWG41" s="528"/>
      <c r="FWH41" s="528"/>
      <c r="FWI41" s="528"/>
      <c r="FWJ41" s="528"/>
      <c r="FWK41" s="528"/>
      <c r="FWL41" s="528"/>
      <c r="FWM41" s="528"/>
      <c r="FWN41" s="528"/>
      <c r="FWO41" s="528"/>
      <c r="FWP41" s="528"/>
      <c r="FWQ41" s="528"/>
      <c r="FWR41" s="528"/>
      <c r="FWS41" s="528"/>
      <c r="FWT41" s="528"/>
      <c r="FWU41" s="528"/>
      <c r="FWV41" s="528"/>
      <c r="FWW41" s="528"/>
      <c r="FWX41" s="528"/>
      <c r="FWY41" s="528"/>
      <c r="FWZ41" s="528"/>
      <c r="FXA41" s="528"/>
      <c r="FXB41" s="528"/>
      <c r="FXC41" s="528"/>
      <c r="FXD41" s="528"/>
      <c r="FXE41" s="528"/>
      <c r="FXF41" s="528"/>
      <c r="FXG41" s="528"/>
      <c r="FXH41" s="528"/>
      <c r="FXI41" s="528"/>
      <c r="FXJ41" s="528"/>
      <c r="FXK41" s="528"/>
      <c r="FXL41" s="528"/>
      <c r="FXM41" s="528"/>
      <c r="FXN41" s="528"/>
      <c r="FXO41" s="528"/>
      <c r="FXP41" s="528"/>
      <c r="FXQ41" s="528"/>
      <c r="FXR41" s="528"/>
      <c r="FXS41" s="528"/>
      <c r="FXT41" s="528"/>
      <c r="FXU41" s="528"/>
      <c r="FXV41" s="528"/>
      <c r="FXW41" s="528"/>
      <c r="FXX41" s="528"/>
      <c r="FXY41" s="528"/>
      <c r="FXZ41" s="528"/>
      <c r="FYA41" s="528"/>
      <c r="FYB41" s="528"/>
      <c r="FYC41" s="528"/>
      <c r="FYD41" s="528"/>
      <c r="FYE41" s="528"/>
      <c r="FYF41" s="528"/>
      <c r="FYG41" s="528"/>
      <c r="FYH41" s="528"/>
      <c r="FYI41" s="528"/>
      <c r="FYJ41" s="528"/>
      <c r="FYK41" s="528"/>
      <c r="FYL41" s="528"/>
      <c r="FYM41" s="528"/>
      <c r="FYN41" s="528"/>
      <c r="FYO41" s="528"/>
      <c r="FYP41" s="528"/>
      <c r="FYQ41" s="528"/>
      <c r="FYR41" s="528"/>
      <c r="FYS41" s="528"/>
      <c r="FYT41" s="528"/>
      <c r="FYU41" s="528"/>
      <c r="FYV41" s="528"/>
      <c r="FYW41" s="528"/>
      <c r="FYX41" s="528"/>
      <c r="FYY41" s="528"/>
      <c r="FYZ41" s="528"/>
      <c r="FZA41" s="528"/>
      <c r="FZB41" s="528"/>
      <c r="FZC41" s="528"/>
      <c r="FZD41" s="528"/>
      <c r="FZE41" s="528"/>
      <c r="FZF41" s="528"/>
      <c r="FZG41" s="528"/>
      <c r="FZH41" s="528"/>
      <c r="FZI41" s="528"/>
      <c r="FZJ41" s="528"/>
      <c r="FZK41" s="528"/>
      <c r="FZL41" s="528"/>
      <c r="FZM41" s="528"/>
      <c r="FZN41" s="528"/>
      <c r="FZO41" s="528"/>
      <c r="FZP41" s="528"/>
      <c r="FZQ41" s="528"/>
      <c r="FZR41" s="528"/>
      <c r="FZS41" s="528"/>
      <c r="FZT41" s="528"/>
      <c r="FZU41" s="528"/>
      <c r="FZV41" s="528"/>
      <c r="FZW41" s="528"/>
      <c r="FZX41" s="528"/>
      <c r="FZY41" s="528"/>
      <c r="FZZ41" s="528"/>
      <c r="GAA41" s="528"/>
      <c r="GAB41" s="528"/>
      <c r="GAC41" s="528"/>
      <c r="GAD41" s="528"/>
      <c r="GAE41" s="528"/>
      <c r="GAF41" s="528"/>
      <c r="GAG41" s="528"/>
      <c r="GAH41" s="528"/>
      <c r="GAI41" s="528"/>
      <c r="GAJ41" s="528"/>
      <c r="GAK41" s="528"/>
      <c r="GAL41" s="528"/>
      <c r="GAM41" s="528"/>
      <c r="GAN41" s="528"/>
      <c r="GAO41" s="528"/>
      <c r="GAP41" s="528"/>
      <c r="GAQ41" s="528"/>
      <c r="GAR41" s="528"/>
      <c r="GAS41" s="528"/>
      <c r="GAT41" s="528"/>
      <c r="GAU41" s="528"/>
      <c r="GAV41" s="528"/>
      <c r="GAW41" s="528"/>
      <c r="GAX41" s="528"/>
      <c r="GAY41" s="528"/>
      <c r="GAZ41" s="528"/>
      <c r="GBA41" s="528"/>
      <c r="GBB41" s="528"/>
      <c r="GBC41" s="528"/>
      <c r="GBD41" s="528"/>
      <c r="GBE41" s="528"/>
      <c r="GBF41" s="528"/>
      <c r="GBG41" s="528"/>
      <c r="GBH41" s="528"/>
      <c r="GBI41" s="528"/>
      <c r="GBJ41" s="528"/>
      <c r="GBK41" s="528"/>
      <c r="GBL41" s="528"/>
      <c r="GBM41" s="528"/>
      <c r="GBN41" s="528"/>
      <c r="GBO41" s="528"/>
      <c r="GBP41" s="528"/>
      <c r="GBQ41" s="528"/>
      <c r="GBR41" s="528"/>
      <c r="GBS41" s="528"/>
      <c r="GBT41" s="528"/>
      <c r="GBU41" s="528"/>
      <c r="GBV41" s="528"/>
      <c r="GBW41" s="528"/>
      <c r="GBX41" s="528"/>
      <c r="GBY41" s="528"/>
      <c r="GBZ41" s="528"/>
      <c r="GCA41" s="528"/>
      <c r="GCB41" s="528"/>
      <c r="GCC41" s="528"/>
      <c r="GCD41" s="528"/>
      <c r="GCE41" s="528"/>
      <c r="GCF41" s="528"/>
      <c r="GCG41" s="528"/>
      <c r="GCH41" s="528"/>
      <c r="GCI41" s="528"/>
      <c r="GCJ41" s="528"/>
      <c r="GCK41" s="528"/>
      <c r="GCL41" s="528"/>
      <c r="GCM41" s="528"/>
      <c r="GCN41" s="528"/>
      <c r="GCO41" s="528"/>
      <c r="GCP41" s="528"/>
      <c r="GCQ41" s="528"/>
      <c r="GCR41" s="528"/>
      <c r="GCS41" s="528"/>
      <c r="GCT41" s="528"/>
      <c r="GCU41" s="528"/>
      <c r="GCV41" s="528"/>
      <c r="GCW41" s="528"/>
      <c r="GCX41" s="528"/>
      <c r="GCY41" s="528"/>
      <c r="GCZ41" s="528"/>
      <c r="GDA41" s="528"/>
      <c r="GDB41" s="528"/>
      <c r="GDC41" s="528"/>
      <c r="GDD41" s="528"/>
      <c r="GDE41" s="528"/>
      <c r="GDF41" s="528"/>
      <c r="GDG41" s="528"/>
      <c r="GDH41" s="528"/>
      <c r="GDI41" s="528"/>
      <c r="GDJ41" s="528"/>
      <c r="GDK41" s="528"/>
      <c r="GDL41" s="528"/>
      <c r="GDM41" s="528"/>
      <c r="GDN41" s="528"/>
      <c r="GDO41" s="528"/>
      <c r="GDP41" s="528"/>
      <c r="GDQ41" s="528"/>
      <c r="GDR41" s="528"/>
      <c r="GDS41" s="528"/>
      <c r="GDT41" s="528"/>
      <c r="GDU41" s="528"/>
      <c r="GDV41" s="528"/>
      <c r="GDW41" s="528"/>
      <c r="GDX41" s="528"/>
      <c r="GDY41" s="528"/>
      <c r="GDZ41" s="528"/>
      <c r="GEA41" s="528"/>
      <c r="GEB41" s="528"/>
      <c r="GEC41" s="528"/>
      <c r="GED41" s="528"/>
      <c r="GEE41" s="528"/>
      <c r="GEF41" s="528"/>
      <c r="GEG41" s="528"/>
      <c r="GEH41" s="528"/>
      <c r="GEI41" s="528"/>
      <c r="GEJ41" s="528"/>
      <c r="GEK41" s="528"/>
      <c r="GEL41" s="528"/>
      <c r="GEM41" s="528"/>
      <c r="GEN41" s="528"/>
      <c r="GEO41" s="528"/>
      <c r="GEP41" s="528"/>
      <c r="GEQ41" s="528"/>
      <c r="GER41" s="528"/>
      <c r="GES41" s="528"/>
      <c r="GET41" s="528"/>
      <c r="GEU41" s="528"/>
      <c r="GEV41" s="528"/>
      <c r="GEW41" s="528"/>
      <c r="GEX41" s="528"/>
      <c r="GEY41" s="528"/>
      <c r="GEZ41" s="528"/>
      <c r="GFA41" s="528"/>
      <c r="GFB41" s="528"/>
      <c r="GFC41" s="528"/>
      <c r="GFD41" s="528"/>
      <c r="GFE41" s="528"/>
      <c r="GFF41" s="528"/>
      <c r="GFG41" s="528"/>
      <c r="GFH41" s="528"/>
      <c r="GFI41" s="528"/>
      <c r="GFJ41" s="528"/>
      <c r="GFK41" s="528"/>
      <c r="GFL41" s="528"/>
      <c r="GFM41" s="528"/>
      <c r="GFN41" s="528"/>
      <c r="GFO41" s="528"/>
      <c r="GFP41" s="528"/>
      <c r="GFQ41" s="528"/>
      <c r="GFR41" s="528"/>
      <c r="GFS41" s="528"/>
      <c r="GFT41" s="528"/>
      <c r="GFU41" s="528"/>
      <c r="GFV41" s="528"/>
      <c r="GFW41" s="528"/>
      <c r="GFX41" s="528"/>
      <c r="GFY41" s="528"/>
      <c r="GFZ41" s="528"/>
      <c r="GGA41" s="528"/>
      <c r="GGB41" s="528"/>
      <c r="GGC41" s="528"/>
      <c r="GGD41" s="528"/>
      <c r="GGE41" s="528"/>
      <c r="GGF41" s="528"/>
      <c r="GGG41" s="528"/>
      <c r="GGH41" s="528"/>
      <c r="GGI41" s="528"/>
      <c r="GGJ41" s="528"/>
      <c r="GGK41" s="528"/>
      <c r="GGL41" s="528"/>
      <c r="GGM41" s="528"/>
      <c r="GGN41" s="528"/>
      <c r="GGO41" s="528"/>
      <c r="GGP41" s="528"/>
      <c r="GGQ41" s="528"/>
      <c r="GGR41" s="528"/>
      <c r="GGS41" s="528"/>
      <c r="GGT41" s="528"/>
      <c r="GGU41" s="528"/>
      <c r="GGV41" s="528"/>
      <c r="GGW41" s="528"/>
      <c r="GGX41" s="528"/>
      <c r="GGY41" s="528"/>
      <c r="GGZ41" s="528"/>
      <c r="GHA41" s="528"/>
      <c r="GHB41" s="528"/>
      <c r="GHC41" s="528"/>
      <c r="GHD41" s="528"/>
      <c r="GHE41" s="528"/>
      <c r="GHF41" s="528"/>
      <c r="GHG41" s="528"/>
      <c r="GHH41" s="528"/>
      <c r="GHI41" s="528"/>
      <c r="GHJ41" s="528"/>
      <c r="GHK41" s="528"/>
      <c r="GHL41" s="528"/>
      <c r="GHM41" s="528"/>
      <c r="GHN41" s="528"/>
      <c r="GHO41" s="528"/>
      <c r="GHP41" s="528"/>
      <c r="GHQ41" s="528"/>
      <c r="GHR41" s="528"/>
      <c r="GHS41" s="528"/>
      <c r="GHT41" s="528"/>
      <c r="GHU41" s="528"/>
      <c r="GHV41" s="528"/>
      <c r="GHW41" s="528"/>
      <c r="GHX41" s="528"/>
      <c r="GHY41" s="528"/>
      <c r="GHZ41" s="528"/>
      <c r="GIA41" s="528"/>
      <c r="GIB41" s="528"/>
      <c r="GIC41" s="528"/>
      <c r="GID41" s="528"/>
      <c r="GIE41" s="528"/>
      <c r="GIF41" s="528"/>
      <c r="GIG41" s="528"/>
      <c r="GIH41" s="528"/>
      <c r="GII41" s="528"/>
      <c r="GIJ41" s="528"/>
      <c r="GIK41" s="528"/>
      <c r="GIL41" s="528"/>
      <c r="GIM41" s="528"/>
      <c r="GIN41" s="528"/>
      <c r="GIO41" s="528"/>
      <c r="GIP41" s="528"/>
      <c r="GIQ41" s="528"/>
      <c r="GIR41" s="528"/>
      <c r="GIS41" s="528"/>
      <c r="GIT41" s="528"/>
      <c r="GIU41" s="528"/>
      <c r="GIV41" s="528"/>
      <c r="GIW41" s="528"/>
      <c r="GIX41" s="528"/>
      <c r="GIY41" s="528"/>
      <c r="GIZ41" s="528"/>
      <c r="GJA41" s="528"/>
      <c r="GJB41" s="528"/>
      <c r="GJC41" s="528"/>
      <c r="GJD41" s="528"/>
      <c r="GJE41" s="528"/>
      <c r="GJF41" s="528"/>
      <c r="GJG41" s="528"/>
      <c r="GJH41" s="528"/>
      <c r="GJI41" s="528"/>
      <c r="GJJ41" s="528"/>
      <c r="GJK41" s="528"/>
      <c r="GJL41" s="528"/>
      <c r="GJM41" s="528"/>
      <c r="GJN41" s="528"/>
      <c r="GJO41" s="528"/>
      <c r="GJP41" s="528"/>
      <c r="GJQ41" s="528"/>
      <c r="GJR41" s="528"/>
      <c r="GJS41" s="528"/>
      <c r="GJT41" s="528"/>
      <c r="GJU41" s="528"/>
      <c r="GJV41" s="528"/>
      <c r="GJW41" s="528"/>
      <c r="GJX41" s="528"/>
      <c r="GJY41" s="528"/>
      <c r="GJZ41" s="528"/>
      <c r="GKA41" s="528"/>
      <c r="GKB41" s="528"/>
      <c r="GKC41" s="528"/>
      <c r="GKD41" s="528"/>
      <c r="GKE41" s="528"/>
      <c r="GKF41" s="528"/>
      <c r="GKG41" s="528"/>
      <c r="GKH41" s="528"/>
      <c r="GKI41" s="528"/>
      <c r="GKJ41" s="528"/>
      <c r="GKK41" s="528"/>
      <c r="GKL41" s="528"/>
      <c r="GKM41" s="528"/>
      <c r="GKN41" s="528"/>
      <c r="GKO41" s="528"/>
      <c r="GKP41" s="528"/>
      <c r="GKQ41" s="528"/>
      <c r="GKR41" s="528"/>
      <c r="GKS41" s="528"/>
      <c r="GKT41" s="528"/>
      <c r="GKU41" s="528"/>
      <c r="GKV41" s="528"/>
      <c r="GKW41" s="528"/>
      <c r="GKX41" s="528"/>
      <c r="GKY41" s="528"/>
      <c r="GKZ41" s="528"/>
      <c r="GLA41" s="528"/>
      <c r="GLB41" s="528"/>
      <c r="GLC41" s="528"/>
      <c r="GLD41" s="528"/>
      <c r="GLE41" s="528"/>
      <c r="GLF41" s="528"/>
      <c r="GLG41" s="528"/>
      <c r="GLH41" s="528"/>
      <c r="GLI41" s="528"/>
      <c r="GLJ41" s="528"/>
      <c r="GLK41" s="528"/>
      <c r="GLL41" s="528"/>
      <c r="GLM41" s="528"/>
      <c r="GLN41" s="528"/>
      <c r="GLO41" s="528"/>
      <c r="GLP41" s="528"/>
      <c r="GLQ41" s="528"/>
      <c r="GLR41" s="528"/>
      <c r="GLS41" s="528"/>
      <c r="GLT41" s="528"/>
      <c r="GLU41" s="528"/>
      <c r="GLV41" s="528"/>
      <c r="GLW41" s="528"/>
      <c r="GLX41" s="528"/>
      <c r="GLY41" s="528"/>
      <c r="GLZ41" s="528"/>
      <c r="GMA41" s="528"/>
      <c r="GMB41" s="528"/>
      <c r="GMC41" s="528"/>
      <c r="GMD41" s="528"/>
      <c r="GME41" s="528"/>
      <c r="GMF41" s="528"/>
      <c r="GMG41" s="528"/>
      <c r="GMH41" s="528"/>
      <c r="GMI41" s="528"/>
      <c r="GMJ41" s="528"/>
      <c r="GMK41" s="528"/>
      <c r="GML41" s="528"/>
      <c r="GMM41" s="528"/>
      <c r="GMN41" s="528"/>
      <c r="GMO41" s="528"/>
      <c r="GMP41" s="528"/>
      <c r="GMQ41" s="528"/>
      <c r="GMR41" s="528"/>
      <c r="GMS41" s="528"/>
      <c r="GMT41" s="528"/>
      <c r="GMU41" s="528"/>
      <c r="GMV41" s="528"/>
      <c r="GMW41" s="528"/>
      <c r="GMX41" s="528"/>
      <c r="GMY41" s="528"/>
      <c r="GMZ41" s="528"/>
      <c r="GNA41" s="528"/>
      <c r="GNB41" s="528"/>
      <c r="GNC41" s="528"/>
      <c r="GND41" s="528"/>
      <c r="GNE41" s="528"/>
      <c r="GNF41" s="528"/>
      <c r="GNG41" s="528"/>
      <c r="GNH41" s="528"/>
      <c r="GNI41" s="528"/>
      <c r="GNJ41" s="528"/>
      <c r="GNK41" s="528"/>
      <c r="GNL41" s="528"/>
      <c r="GNM41" s="528"/>
      <c r="GNN41" s="528"/>
      <c r="GNO41" s="528"/>
      <c r="GNP41" s="528"/>
      <c r="GNQ41" s="528"/>
      <c r="GNR41" s="528"/>
      <c r="GNS41" s="528"/>
      <c r="GNT41" s="528"/>
      <c r="GNU41" s="528"/>
      <c r="GNV41" s="528"/>
      <c r="GNW41" s="528"/>
      <c r="GNX41" s="528"/>
      <c r="GNY41" s="528"/>
      <c r="GNZ41" s="528"/>
      <c r="GOA41" s="528"/>
      <c r="GOB41" s="528"/>
      <c r="GOC41" s="528"/>
      <c r="GOD41" s="528"/>
      <c r="GOE41" s="528"/>
      <c r="GOF41" s="528"/>
      <c r="GOG41" s="528"/>
      <c r="GOH41" s="528"/>
      <c r="GOI41" s="528"/>
      <c r="GOJ41" s="528"/>
      <c r="GOK41" s="528"/>
      <c r="GOL41" s="528"/>
      <c r="GOM41" s="528"/>
      <c r="GON41" s="528"/>
      <c r="GOO41" s="528"/>
      <c r="GOP41" s="528"/>
      <c r="GOQ41" s="528"/>
      <c r="GOR41" s="528"/>
      <c r="GOS41" s="528"/>
      <c r="GOT41" s="528"/>
      <c r="GOU41" s="528"/>
      <c r="GOV41" s="528"/>
      <c r="GOW41" s="528"/>
      <c r="GOX41" s="528"/>
      <c r="GOY41" s="528"/>
      <c r="GOZ41" s="528"/>
      <c r="GPA41" s="528"/>
      <c r="GPB41" s="528"/>
      <c r="GPC41" s="528"/>
      <c r="GPD41" s="528"/>
      <c r="GPE41" s="528"/>
      <c r="GPF41" s="528"/>
      <c r="GPG41" s="528"/>
      <c r="GPH41" s="528"/>
      <c r="GPI41" s="528"/>
      <c r="GPJ41" s="528"/>
      <c r="GPK41" s="528"/>
      <c r="GPL41" s="528"/>
      <c r="GPM41" s="528"/>
      <c r="GPN41" s="528"/>
      <c r="GPO41" s="528"/>
      <c r="GPP41" s="528"/>
      <c r="GPQ41" s="528"/>
      <c r="GPR41" s="528"/>
      <c r="GPS41" s="528"/>
      <c r="GPT41" s="528"/>
      <c r="GPU41" s="528"/>
      <c r="GPV41" s="528"/>
      <c r="GPW41" s="528"/>
      <c r="GPX41" s="528"/>
      <c r="GPY41" s="528"/>
      <c r="GPZ41" s="528"/>
      <c r="GQA41" s="528"/>
      <c r="GQB41" s="528"/>
      <c r="GQC41" s="528"/>
      <c r="GQD41" s="528"/>
      <c r="GQE41" s="528"/>
      <c r="GQF41" s="528"/>
      <c r="GQG41" s="528"/>
      <c r="GQH41" s="528"/>
      <c r="GQI41" s="528"/>
      <c r="GQJ41" s="528"/>
      <c r="GQK41" s="528"/>
      <c r="GQL41" s="528"/>
      <c r="GQM41" s="528"/>
      <c r="GQN41" s="528"/>
      <c r="GQO41" s="528"/>
      <c r="GQP41" s="528"/>
      <c r="GQQ41" s="528"/>
      <c r="GQR41" s="528"/>
      <c r="GQS41" s="528"/>
      <c r="GQT41" s="528"/>
      <c r="GQU41" s="528"/>
      <c r="GQV41" s="528"/>
      <c r="GQW41" s="528"/>
      <c r="GQX41" s="528"/>
      <c r="GQY41" s="528"/>
      <c r="GQZ41" s="528"/>
      <c r="GRA41" s="528"/>
      <c r="GRB41" s="528"/>
      <c r="GRC41" s="528"/>
      <c r="GRD41" s="528"/>
      <c r="GRE41" s="528"/>
      <c r="GRF41" s="528"/>
      <c r="GRG41" s="528"/>
      <c r="GRH41" s="528"/>
      <c r="GRI41" s="528"/>
      <c r="GRJ41" s="528"/>
      <c r="GRK41" s="528"/>
      <c r="GRL41" s="528"/>
      <c r="GRM41" s="528"/>
      <c r="GRN41" s="528"/>
      <c r="GRO41" s="528"/>
      <c r="GRP41" s="528"/>
      <c r="GRQ41" s="528"/>
      <c r="GRR41" s="528"/>
      <c r="GRS41" s="528"/>
      <c r="GRT41" s="528"/>
      <c r="GRU41" s="528"/>
      <c r="GRV41" s="528"/>
      <c r="GRW41" s="528"/>
      <c r="GRX41" s="528"/>
      <c r="GRY41" s="528"/>
      <c r="GRZ41" s="528"/>
      <c r="GSA41" s="528"/>
      <c r="GSB41" s="528"/>
      <c r="GSC41" s="528"/>
      <c r="GSD41" s="528"/>
      <c r="GSE41" s="528"/>
      <c r="GSF41" s="528"/>
      <c r="GSG41" s="528"/>
      <c r="GSH41" s="528"/>
      <c r="GSI41" s="528"/>
      <c r="GSJ41" s="528"/>
      <c r="GSK41" s="528"/>
      <c r="GSL41" s="528"/>
      <c r="GSM41" s="528"/>
      <c r="GSN41" s="528"/>
      <c r="GSO41" s="528"/>
      <c r="GSP41" s="528"/>
      <c r="GSQ41" s="528"/>
      <c r="GSR41" s="528"/>
      <c r="GSS41" s="528"/>
      <c r="GST41" s="528"/>
      <c r="GSU41" s="528"/>
      <c r="GSV41" s="528"/>
      <c r="GSW41" s="528"/>
      <c r="GSX41" s="528"/>
      <c r="GSY41" s="528"/>
      <c r="GSZ41" s="528"/>
      <c r="GTA41" s="528"/>
      <c r="GTB41" s="528"/>
      <c r="GTC41" s="528"/>
      <c r="GTD41" s="528"/>
      <c r="GTE41" s="528"/>
      <c r="GTF41" s="528"/>
      <c r="GTG41" s="528"/>
      <c r="GTH41" s="528"/>
      <c r="GTI41" s="528"/>
      <c r="GTJ41" s="528"/>
      <c r="GTK41" s="528"/>
      <c r="GTL41" s="528"/>
      <c r="GTM41" s="528"/>
      <c r="GTN41" s="528"/>
      <c r="GTO41" s="528"/>
      <c r="GTP41" s="528"/>
      <c r="GTQ41" s="528"/>
      <c r="GTR41" s="528"/>
      <c r="GTS41" s="528"/>
      <c r="GTT41" s="528"/>
      <c r="GTU41" s="528"/>
      <c r="GTV41" s="528"/>
      <c r="GTW41" s="528"/>
      <c r="GTX41" s="528"/>
      <c r="GTY41" s="528"/>
      <c r="GTZ41" s="528"/>
      <c r="GUA41" s="528"/>
      <c r="GUB41" s="528"/>
      <c r="GUC41" s="528"/>
      <c r="GUD41" s="528"/>
      <c r="GUE41" s="528"/>
      <c r="GUF41" s="528"/>
      <c r="GUG41" s="528"/>
      <c r="GUH41" s="528"/>
      <c r="GUI41" s="528"/>
      <c r="GUJ41" s="528"/>
      <c r="GUK41" s="528"/>
      <c r="GUL41" s="528"/>
      <c r="GUM41" s="528"/>
      <c r="GUN41" s="528"/>
      <c r="GUO41" s="528"/>
      <c r="GUP41" s="528"/>
      <c r="GUQ41" s="528"/>
      <c r="GUR41" s="528"/>
      <c r="GUS41" s="528"/>
      <c r="GUT41" s="528"/>
      <c r="GUU41" s="528"/>
      <c r="GUV41" s="528"/>
      <c r="GUW41" s="528"/>
      <c r="GUX41" s="528"/>
      <c r="GUY41" s="528"/>
      <c r="GUZ41" s="528"/>
      <c r="GVA41" s="528"/>
      <c r="GVB41" s="528"/>
      <c r="GVC41" s="528"/>
      <c r="GVD41" s="528"/>
      <c r="GVE41" s="528"/>
      <c r="GVF41" s="528"/>
      <c r="GVG41" s="528"/>
      <c r="GVH41" s="528"/>
      <c r="GVI41" s="528"/>
      <c r="GVJ41" s="528"/>
      <c r="GVK41" s="528"/>
      <c r="GVL41" s="528"/>
      <c r="GVM41" s="528"/>
      <c r="GVN41" s="528"/>
      <c r="GVO41" s="528"/>
      <c r="GVP41" s="528"/>
      <c r="GVQ41" s="528"/>
      <c r="GVR41" s="528"/>
      <c r="GVS41" s="528"/>
      <c r="GVT41" s="528"/>
      <c r="GVU41" s="528"/>
      <c r="GVV41" s="528"/>
      <c r="GVW41" s="528"/>
      <c r="GVX41" s="528"/>
      <c r="GVY41" s="528"/>
      <c r="GVZ41" s="528"/>
      <c r="GWA41" s="528"/>
      <c r="GWB41" s="528"/>
      <c r="GWC41" s="528"/>
      <c r="GWD41" s="528"/>
      <c r="GWE41" s="528"/>
      <c r="GWF41" s="528"/>
      <c r="GWG41" s="528"/>
      <c r="GWH41" s="528"/>
      <c r="GWI41" s="528"/>
      <c r="GWJ41" s="528"/>
      <c r="GWK41" s="528"/>
      <c r="GWL41" s="528"/>
      <c r="GWM41" s="528"/>
      <c r="GWN41" s="528"/>
      <c r="GWO41" s="528"/>
      <c r="GWP41" s="528"/>
      <c r="GWQ41" s="528"/>
      <c r="GWR41" s="528"/>
      <c r="GWS41" s="528"/>
      <c r="GWT41" s="528"/>
      <c r="GWU41" s="528"/>
      <c r="GWV41" s="528"/>
      <c r="GWW41" s="528"/>
      <c r="GWX41" s="528"/>
      <c r="GWY41" s="528"/>
      <c r="GWZ41" s="528"/>
      <c r="GXA41" s="528"/>
      <c r="GXB41" s="528"/>
      <c r="GXC41" s="528"/>
      <c r="GXD41" s="528"/>
      <c r="GXE41" s="528"/>
      <c r="GXF41" s="528"/>
      <c r="GXG41" s="528"/>
      <c r="GXH41" s="528"/>
      <c r="GXI41" s="528"/>
      <c r="GXJ41" s="528"/>
      <c r="GXK41" s="528"/>
      <c r="GXL41" s="528"/>
      <c r="GXM41" s="528"/>
      <c r="GXN41" s="528"/>
      <c r="GXO41" s="528"/>
      <c r="GXP41" s="528"/>
      <c r="GXQ41" s="528"/>
      <c r="GXR41" s="528"/>
      <c r="GXS41" s="528"/>
      <c r="GXT41" s="528"/>
      <c r="GXU41" s="528"/>
      <c r="GXV41" s="528"/>
      <c r="GXW41" s="528"/>
      <c r="GXX41" s="528"/>
      <c r="GXY41" s="528"/>
      <c r="GXZ41" s="528"/>
      <c r="GYA41" s="528"/>
      <c r="GYB41" s="528"/>
      <c r="GYC41" s="528"/>
      <c r="GYD41" s="528"/>
      <c r="GYE41" s="528"/>
      <c r="GYF41" s="528"/>
      <c r="GYG41" s="528"/>
      <c r="GYH41" s="528"/>
      <c r="GYI41" s="528"/>
      <c r="GYJ41" s="528"/>
      <c r="GYK41" s="528"/>
      <c r="GYL41" s="528"/>
      <c r="GYM41" s="528"/>
      <c r="GYN41" s="528"/>
      <c r="GYO41" s="528"/>
      <c r="GYP41" s="528"/>
      <c r="GYQ41" s="528"/>
      <c r="GYR41" s="528"/>
      <c r="GYS41" s="528"/>
      <c r="GYT41" s="528"/>
      <c r="GYU41" s="528"/>
      <c r="GYV41" s="528"/>
      <c r="GYW41" s="528"/>
      <c r="GYX41" s="528"/>
      <c r="GYY41" s="528"/>
      <c r="GYZ41" s="528"/>
      <c r="GZA41" s="528"/>
      <c r="GZB41" s="528"/>
      <c r="GZC41" s="528"/>
      <c r="GZD41" s="528"/>
      <c r="GZE41" s="528"/>
      <c r="GZF41" s="528"/>
      <c r="GZG41" s="528"/>
      <c r="GZH41" s="528"/>
      <c r="GZI41" s="528"/>
      <c r="GZJ41" s="528"/>
      <c r="GZK41" s="528"/>
      <c r="GZL41" s="528"/>
      <c r="GZM41" s="528"/>
      <c r="GZN41" s="528"/>
      <c r="GZO41" s="528"/>
      <c r="GZP41" s="528"/>
      <c r="GZQ41" s="528"/>
      <c r="GZR41" s="528"/>
      <c r="GZS41" s="528"/>
      <c r="GZT41" s="528"/>
      <c r="GZU41" s="528"/>
      <c r="GZV41" s="528"/>
      <c r="GZW41" s="528"/>
      <c r="GZX41" s="528"/>
      <c r="GZY41" s="528"/>
      <c r="GZZ41" s="528"/>
      <c r="HAA41" s="528"/>
      <c r="HAB41" s="528"/>
      <c r="HAC41" s="528"/>
      <c r="HAD41" s="528"/>
      <c r="HAE41" s="528"/>
      <c r="HAF41" s="528"/>
      <c r="HAG41" s="528"/>
      <c r="HAH41" s="528"/>
      <c r="HAI41" s="528"/>
      <c r="HAJ41" s="528"/>
      <c r="HAK41" s="528"/>
      <c r="HAL41" s="528"/>
      <c r="HAM41" s="528"/>
      <c r="HAN41" s="528"/>
      <c r="HAO41" s="528"/>
      <c r="HAP41" s="528"/>
      <c r="HAQ41" s="528"/>
      <c r="HAR41" s="528"/>
      <c r="HAS41" s="528"/>
      <c r="HAT41" s="528"/>
      <c r="HAU41" s="528"/>
      <c r="HAV41" s="528"/>
      <c r="HAW41" s="528"/>
      <c r="HAX41" s="528"/>
      <c r="HAY41" s="528"/>
      <c r="HAZ41" s="528"/>
      <c r="HBA41" s="528"/>
      <c r="HBB41" s="528"/>
      <c r="HBC41" s="528"/>
      <c r="HBD41" s="528"/>
      <c r="HBE41" s="528"/>
      <c r="HBF41" s="528"/>
      <c r="HBG41" s="528"/>
      <c r="HBH41" s="528"/>
      <c r="HBI41" s="528"/>
      <c r="HBJ41" s="528"/>
      <c r="HBK41" s="528"/>
      <c r="HBL41" s="528"/>
      <c r="HBM41" s="528"/>
      <c r="HBN41" s="528"/>
      <c r="HBO41" s="528"/>
      <c r="HBP41" s="528"/>
      <c r="HBQ41" s="528"/>
      <c r="HBR41" s="528"/>
      <c r="HBS41" s="528"/>
      <c r="HBT41" s="528"/>
      <c r="HBU41" s="528"/>
      <c r="HBV41" s="528"/>
      <c r="HBW41" s="528"/>
      <c r="HBX41" s="528"/>
      <c r="HBY41" s="528"/>
      <c r="HBZ41" s="528"/>
      <c r="HCA41" s="528"/>
      <c r="HCB41" s="528"/>
      <c r="HCC41" s="528"/>
      <c r="HCD41" s="528"/>
      <c r="HCE41" s="528"/>
      <c r="HCF41" s="528"/>
      <c r="HCG41" s="528"/>
      <c r="HCH41" s="528"/>
      <c r="HCI41" s="528"/>
      <c r="HCJ41" s="528"/>
      <c r="HCK41" s="528"/>
      <c r="HCL41" s="528"/>
      <c r="HCM41" s="528"/>
      <c r="HCN41" s="528"/>
      <c r="HCO41" s="528"/>
      <c r="HCP41" s="528"/>
      <c r="HCQ41" s="528"/>
      <c r="HCR41" s="528"/>
      <c r="HCS41" s="528"/>
      <c r="HCT41" s="528"/>
      <c r="HCU41" s="528"/>
      <c r="HCV41" s="528"/>
      <c r="HCW41" s="528"/>
      <c r="HCX41" s="528"/>
      <c r="HCY41" s="528"/>
      <c r="HCZ41" s="528"/>
      <c r="HDA41" s="528"/>
      <c r="HDB41" s="528"/>
      <c r="HDC41" s="528"/>
      <c r="HDD41" s="528"/>
      <c r="HDE41" s="528"/>
      <c r="HDF41" s="528"/>
      <c r="HDG41" s="528"/>
      <c r="HDH41" s="528"/>
      <c r="HDI41" s="528"/>
      <c r="HDJ41" s="528"/>
      <c r="HDK41" s="528"/>
      <c r="HDL41" s="528"/>
      <c r="HDM41" s="528"/>
      <c r="HDN41" s="528"/>
      <c r="HDO41" s="528"/>
      <c r="HDP41" s="528"/>
      <c r="HDQ41" s="528"/>
      <c r="HDR41" s="528"/>
      <c r="HDS41" s="528"/>
      <c r="HDT41" s="528"/>
      <c r="HDU41" s="528"/>
      <c r="HDV41" s="528"/>
      <c r="HDW41" s="528"/>
      <c r="HDX41" s="528"/>
      <c r="HDY41" s="528"/>
      <c r="HDZ41" s="528"/>
      <c r="HEA41" s="528"/>
      <c r="HEB41" s="528"/>
      <c r="HEC41" s="528"/>
      <c r="HED41" s="528"/>
      <c r="HEE41" s="528"/>
      <c r="HEF41" s="528"/>
      <c r="HEG41" s="528"/>
      <c r="HEH41" s="528"/>
      <c r="HEI41" s="528"/>
      <c r="HEJ41" s="528"/>
      <c r="HEK41" s="528"/>
      <c r="HEL41" s="528"/>
      <c r="HEM41" s="528"/>
      <c r="HEN41" s="528"/>
      <c r="HEO41" s="528"/>
      <c r="HEP41" s="528"/>
      <c r="HEQ41" s="528"/>
      <c r="HER41" s="528"/>
      <c r="HES41" s="528"/>
      <c r="HET41" s="528"/>
      <c r="HEU41" s="528"/>
      <c r="HEV41" s="528"/>
      <c r="HEW41" s="528"/>
      <c r="HEX41" s="528"/>
      <c r="HEY41" s="528"/>
      <c r="HEZ41" s="528"/>
      <c r="HFA41" s="528"/>
      <c r="HFB41" s="528"/>
      <c r="HFC41" s="528"/>
      <c r="HFD41" s="528"/>
      <c r="HFE41" s="528"/>
      <c r="HFF41" s="528"/>
      <c r="HFG41" s="528"/>
      <c r="HFH41" s="528"/>
      <c r="HFI41" s="528"/>
      <c r="HFJ41" s="528"/>
      <c r="HFK41" s="528"/>
      <c r="HFL41" s="528"/>
      <c r="HFM41" s="528"/>
      <c r="HFN41" s="528"/>
      <c r="HFO41" s="528"/>
      <c r="HFP41" s="528"/>
      <c r="HFQ41" s="528"/>
      <c r="HFR41" s="528"/>
      <c r="HFS41" s="528"/>
      <c r="HFT41" s="528"/>
      <c r="HFU41" s="528"/>
      <c r="HFV41" s="528"/>
      <c r="HFW41" s="528"/>
      <c r="HFX41" s="528"/>
      <c r="HFY41" s="528"/>
      <c r="HFZ41" s="528"/>
      <c r="HGA41" s="528"/>
      <c r="HGB41" s="528"/>
      <c r="HGC41" s="528"/>
      <c r="HGD41" s="528"/>
      <c r="HGE41" s="528"/>
      <c r="HGF41" s="528"/>
      <c r="HGG41" s="528"/>
      <c r="HGH41" s="528"/>
      <c r="HGI41" s="528"/>
      <c r="HGJ41" s="528"/>
      <c r="HGK41" s="528"/>
      <c r="HGL41" s="528"/>
      <c r="HGM41" s="528"/>
      <c r="HGN41" s="528"/>
      <c r="HGO41" s="528"/>
      <c r="HGP41" s="528"/>
      <c r="HGQ41" s="528"/>
      <c r="HGR41" s="528"/>
      <c r="HGS41" s="528"/>
      <c r="HGT41" s="528"/>
      <c r="HGU41" s="528"/>
      <c r="HGV41" s="528"/>
      <c r="HGW41" s="528"/>
      <c r="HGX41" s="528"/>
      <c r="HGY41" s="528"/>
      <c r="HGZ41" s="528"/>
      <c r="HHA41" s="528"/>
      <c r="HHB41" s="528"/>
      <c r="HHC41" s="528"/>
      <c r="HHD41" s="528"/>
      <c r="HHE41" s="528"/>
      <c r="HHF41" s="528"/>
      <c r="HHG41" s="528"/>
      <c r="HHH41" s="528"/>
      <c r="HHI41" s="528"/>
      <c r="HHJ41" s="528"/>
      <c r="HHK41" s="528"/>
      <c r="HHL41" s="528"/>
      <c r="HHM41" s="528"/>
      <c r="HHN41" s="528"/>
      <c r="HHO41" s="528"/>
      <c r="HHP41" s="528"/>
      <c r="HHQ41" s="528"/>
      <c r="HHR41" s="528"/>
      <c r="HHS41" s="528"/>
      <c r="HHT41" s="528"/>
      <c r="HHU41" s="528"/>
      <c r="HHV41" s="528"/>
      <c r="HHW41" s="528"/>
      <c r="HHX41" s="528"/>
      <c r="HHY41" s="528"/>
      <c r="HHZ41" s="528"/>
      <c r="HIA41" s="528"/>
      <c r="HIB41" s="528"/>
      <c r="HIC41" s="528"/>
      <c r="HID41" s="528"/>
      <c r="HIE41" s="528"/>
      <c r="HIF41" s="528"/>
      <c r="HIG41" s="528"/>
      <c r="HIH41" s="528"/>
      <c r="HII41" s="528"/>
      <c r="HIJ41" s="528"/>
      <c r="HIK41" s="528"/>
      <c r="HIL41" s="528"/>
      <c r="HIM41" s="528"/>
      <c r="HIN41" s="528"/>
      <c r="HIO41" s="528"/>
      <c r="HIP41" s="528"/>
      <c r="HIQ41" s="528"/>
      <c r="HIR41" s="528"/>
      <c r="HIS41" s="528"/>
      <c r="HIT41" s="528"/>
      <c r="HIU41" s="528"/>
      <c r="HIV41" s="528"/>
      <c r="HIW41" s="528"/>
      <c r="HIX41" s="528"/>
      <c r="HIY41" s="528"/>
      <c r="HIZ41" s="528"/>
      <c r="HJA41" s="528"/>
      <c r="HJB41" s="528"/>
      <c r="HJC41" s="528"/>
      <c r="HJD41" s="528"/>
      <c r="HJE41" s="528"/>
      <c r="HJF41" s="528"/>
      <c r="HJG41" s="528"/>
      <c r="HJH41" s="528"/>
      <c r="HJI41" s="528"/>
      <c r="HJJ41" s="528"/>
      <c r="HJK41" s="528"/>
      <c r="HJL41" s="528"/>
      <c r="HJM41" s="528"/>
      <c r="HJN41" s="528"/>
      <c r="HJO41" s="528"/>
      <c r="HJP41" s="528"/>
      <c r="HJQ41" s="528"/>
      <c r="HJR41" s="528"/>
      <c r="HJS41" s="528"/>
      <c r="HJT41" s="528"/>
      <c r="HJU41" s="528"/>
      <c r="HJV41" s="528"/>
      <c r="HJW41" s="528"/>
      <c r="HJX41" s="528"/>
      <c r="HJY41" s="528"/>
      <c r="HJZ41" s="528"/>
      <c r="HKA41" s="528"/>
      <c r="HKB41" s="528"/>
      <c r="HKC41" s="528"/>
      <c r="HKD41" s="528"/>
      <c r="HKE41" s="528"/>
      <c r="HKF41" s="528"/>
      <c r="HKG41" s="528"/>
      <c r="HKH41" s="528"/>
      <c r="HKI41" s="528"/>
      <c r="HKJ41" s="528"/>
      <c r="HKK41" s="528"/>
      <c r="HKL41" s="528"/>
      <c r="HKM41" s="528"/>
      <c r="HKN41" s="528"/>
      <c r="HKO41" s="528"/>
      <c r="HKP41" s="528"/>
      <c r="HKQ41" s="528"/>
      <c r="HKR41" s="528"/>
      <c r="HKS41" s="528"/>
      <c r="HKT41" s="528"/>
      <c r="HKU41" s="528"/>
      <c r="HKV41" s="528"/>
      <c r="HKW41" s="528"/>
      <c r="HKX41" s="528"/>
      <c r="HKY41" s="528"/>
      <c r="HKZ41" s="528"/>
      <c r="HLA41" s="528"/>
      <c r="HLB41" s="528"/>
      <c r="HLC41" s="528"/>
      <c r="HLD41" s="528"/>
      <c r="HLE41" s="528"/>
      <c r="HLF41" s="528"/>
      <c r="HLG41" s="528"/>
      <c r="HLH41" s="528"/>
      <c r="HLI41" s="528"/>
      <c r="HLJ41" s="528"/>
      <c r="HLK41" s="528"/>
      <c r="HLL41" s="528"/>
      <c r="HLM41" s="528"/>
      <c r="HLN41" s="528"/>
      <c r="HLO41" s="528"/>
      <c r="HLP41" s="528"/>
      <c r="HLQ41" s="528"/>
      <c r="HLR41" s="528"/>
      <c r="HLS41" s="528"/>
      <c r="HLT41" s="528"/>
      <c r="HLU41" s="528"/>
      <c r="HLV41" s="528"/>
      <c r="HLW41" s="528"/>
      <c r="HLX41" s="528"/>
      <c r="HLY41" s="528"/>
      <c r="HLZ41" s="528"/>
      <c r="HMA41" s="528"/>
      <c r="HMB41" s="528"/>
      <c r="HMC41" s="528"/>
      <c r="HMD41" s="528"/>
      <c r="HME41" s="528"/>
      <c r="HMF41" s="528"/>
      <c r="HMG41" s="528"/>
      <c r="HMH41" s="528"/>
      <c r="HMI41" s="528"/>
      <c r="HMJ41" s="528"/>
      <c r="HMK41" s="528"/>
      <c r="HML41" s="528"/>
      <c r="HMM41" s="528"/>
      <c r="HMN41" s="528"/>
      <c r="HMO41" s="528"/>
      <c r="HMP41" s="528"/>
      <c r="HMQ41" s="528"/>
      <c r="HMR41" s="528"/>
      <c r="HMS41" s="528"/>
      <c r="HMT41" s="528"/>
      <c r="HMU41" s="528"/>
      <c r="HMV41" s="528"/>
      <c r="HMW41" s="528"/>
      <c r="HMX41" s="528"/>
      <c r="HMY41" s="528"/>
      <c r="HMZ41" s="528"/>
      <c r="HNA41" s="528"/>
      <c r="HNB41" s="528"/>
      <c r="HNC41" s="528"/>
      <c r="HND41" s="528"/>
      <c r="HNE41" s="528"/>
      <c r="HNF41" s="528"/>
      <c r="HNG41" s="528"/>
      <c r="HNH41" s="528"/>
      <c r="HNI41" s="528"/>
      <c r="HNJ41" s="528"/>
      <c r="HNK41" s="528"/>
      <c r="HNL41" s="528"/>
      <c r="HNM41" s="528"/>
      <c r="HNN41" s="528"/>
      <c r="HNO41" s="528"/>
      <c r="HNP41" s="528"/>
      <c r="HNQ41" s="528"/>
      <c r="HNR41" s="528"/>
      <c r="HNS41" s="528"/>
      <c r="HNT41" s="528"/>
      <c r="HNU41" s="528"/>
      <c r="HNV41" s="528"/>
      <c r="HNW41" s="528"/>
      <c r="HNX41" s="528"/>
      <c r="HNY41" s="528"/>
      <c r="HNZ41" s="528"/>
      <c r="HOA41" s="528"/>
      <c r="HOB41" s="528"/>
      <c r="HOC41" s="528"/>
      <c r="HOD41" s="528"/>
      <c r="HOE41" s="528"/>
      <c r="HOF41" s="528"/>
      <c r="HOG41" s="528"/>
      <c r="HOH41" s="528"/>
      <c r="HOI41" s="528"/>
      <c r="HOJ41" s="528"/>
      <c r="HOK41" s="528"/>
      <c r="HOL41" s="528"/>
      <c r="HOM41" s="528"/>
      <c r="HON41" s="528"/>
      <c r="HOO41" s="528"/>
      <c r="HOP41" s="528"/>
      <c r="HOQ41" s="528"/>
      <c r="HOR41" s="528"/>
      <c r="HOS41" s="528"/>
      <c r="HOT41" s="528"/>
      <c r="HOU41" s="528"/>
      <c r="HOV41" s="528"/>
      <c r="HOW41" s="528"/>
      <c r="HOX41" s="528"/>
      <c r="HOY41" s="528"/>
      <c r="HOZ41" s="528"/>
      <c r="HPA41" s="528"/>
      <c r="HPB41" s="528"/>
      <c r="HPC41" s="528"/>
      <c r="HPD41" s="528"/>
      <c r="HPE41" s="528"/>
      <c r="HPF41" s="528"/>
      <c r="HPG41" s="528"/>
      <c r="HPH41" s="528"/>
      <c r="HPI41" s="528"/>
      <c r="HPJ41" s="528"/>
      <c r="HPK41" s="528"/>
      <c r="HPL41" s="528"/>
      <c r="HPM41" s="528"/>
      <c r="HPN41" s="528"/>
      <c r="HPO41" s="528"/>
      <c r="HPP41" s="528"/>
      <c r="HPQ41" s="528"/>
      <c r="HPR41" s="528"/>
      <c r="HPS41" s="528"/>
      <c r="HPT41" s="528"/>
      <c r="HPU41" s="528"/>
      <c r="HPV41" s="528"/>
      <c r="HPW41" s="528"/>
      <c r="HPX41" s="528"/>
      <c r="HPY41" s="528"/>
      <c r="HPZ41" s="528"/>
      <c r="HQA41" s="528"/>
      <c r="HQB41" s="528"/>
      <c r="HQC41" s="528"/>
      <c r="HQD41" s="528"/>
      <c r="HQE41" s="528"/>
      <c r="HQF41" s="528"/>
      <c r="HQG41" s="528"/>
      <c r="HQH41" s="528"/>
      <c r="HQI41" s="528"/>
      <c r="HQJ41" s="528"/>
      <c r="HQK41" s="528"/>
      <c r="HQL41" s="528"/>
      <c r="HQM41" s="528"/>
      <c r="HQN41" s="528"/>
      <c r="HQO41" s="528"/>
      <c r="HQP41" s="528"/>
      <c r="HQQ41" s="528"/>
      <c r="HQR41" s="528"/>
      <c r="HQS41" s="528"/>
      <c r="HQT41" s="528"/>
      <c r="HQU41" s="528"/>
      <c r="HQV41" s="528"/>
      <c r="HQW41" s="528"/>
      <c r="HQX41" s="528"/>
      <c r="HQY41" s="528"/>
      <c r="HQZ41" s="528"/>
      <c r="HRA41" s="528"/>
      <c r="HRB41" s="528"/>
      <c r="HRC41" s="528"/>
      <c r="HRD41" s="528"/>
      <c r="HRE41" s="528"/>
      <c r="HRF41" s="528"/>
      <c r="HRG41" s="528"/>
      <c r="HRH41" s="528"/>
      <c r="HRI41" s="528"/>
      <c r="HRJ41" s="528"/>
      <c r="HRK41" s="528"/>
      <c r="HRL41" s="528"/>
      <c r="HRM41" s="528"/>
      <c r="HRN41" s="528"/>
      <c r="HRO41" s="528"/>
      <c r="HRP41" s="528"/>
      <c r="HRQ41" s="528"/>
      <c r="HRR41" s="528"/>
      <c r="HRS41" s="528"/>
      <c r="HRT41" s="528"/>
      <c r="HRU41" s="528"/>
      <c r="HRV41" s="528"/>
      <c r="HRW41" s="528"/>
      <c r="HRX41" s="528"/>
      <c r="HRY41" s="528"/>
      <c r="HRZ41" s="528"/>
      <c r="HSA41" s="528"/>
      <c r="HSB41" s="528"/>
      <c r="HSC41" s="528"/>
      <c r="HSD41" s="528"/>
      <c r="HSE41" s="528"/>
      <c r="HSF41" s="528"/>
      <c r="HSG41" s="528"/>
      <c r="HSH41" s="528"/>
      <c r="HSI41" s="528"/>
      <c r="HSJ41" s="528"/>
      <c r="HSK41" s="528"/>
      <c r="HSL41" s="528"/>
      <c r="HSM41" s="528"/>
      <c r="HSN41" s="528"/>
      <c r="HSO41" s="528"/>
      <c r="HSP41" s="528"/>
      <c r="HSQ41" s="528"/>
      <c r="HSR41" s="528"/>
      <c r="HSS41" s="528"/>
      <c r="HST41" s="528"/>
      <c r="HSU41" s="528"/>
      <c r="HSV41" s="528"/>
      <c r="HSW41" s="528"/>
      <c r="HSX41" s="528"/>
      <c r="HSY41" s="528"/>
      <c r="HSZ41" s="528"/>
      <c r="HTA41" s="528"/>
      <c r="HTB41" s="528"/>
      <c r="HTC41" s="528"/>
      <c r="HTD41" s="528"/>
      <c r="HTE41" s="528"/>
      <c r="HTF41" s="528"/>
      <c r="HTG41" s="528"/>
      <c r="HTH41" s="528"/>
      <c r="HTI41" s="528"/>
      <c r="HTJ41" s="528"/>
      <c r="HTK41" s="528"/>
      <c r="HTL41" s="528"/>
      <c r="HTM41" s="528"/>
      <c r="HTN41" s="528"/>
      <c r="HTO41" s="528"/>
      <c r="HTP41" s="528"/>
      <c r="HTQ41" s="528"/>
      <c r="HTR41" s="528"/>
      <c r="HTS41" s="528"/>
      <c r="HTT41" s="528"/>
      <c r="HTU41" s="528"/>
      <c r="HTV41" s="528"/>
      <c r="HTW41" s="528"/>
      <c r="HTX41" s="528"/>
      <c r="HTY41" s="528"/>
      <c r="HTZ41" s="528"/>
      <c r="HUA41" s="528"/>
      <c r="HUB41" s="528"/>
      <c r="HUC41" s="528"/>
      <c r="HUD41" s="528"/>
      <c r="HUE41" s="528"/>
      <c r="HUF41" s="528"/>
      <c r="HUG41" s="528"/>
      <c r="HUH41" s="528"/>
      <c r="HUI41" s="528"/>
      <c r="HUJ41" s="528"/>
      <c r="HUK41" s="528"/>
      <c r="HUL41" s="528"/>
      <c r="HUM41" s="528"/>
      <c r="HUN41" s="528"/>
      <c r="HUO41" s="528"/>
      <c r="HUP41" s="528"/>
      <c r="HUQ41" s="528"/>
      <c r="HUR41" s="528"/>
      <c r="HUS41" s="528"/>
      <c r="HUT41" s="528"/>
      <c r="HUU41" s="528"/>
      <c r="HUV41" s="528"/>
      <c r="HUW41" s="528"/>
      <c r="HUX41" s="528"/>
      <c r="HUY41" s="528"/>
      <c r="HUZ41" s="528"/>
      <c r="HVA41" s="528"/>
      <c r="HVB41" s="528"/>
      <c r="HVC41" s="528"/>
      <c r="HVD41" s="528"/>
      <c r="HVE41" s="528"/>
      <c r="HVF41" s="528"/>
      <c r="HVG41" s="528"/>
      <c r="HVH41" s="528"/>
      <c r="HVI41" s="528"/>
      <c r="HVJ41" s="528"/>
      <c r="HVK41" s="528"/>
      <c r="HVL41" s="528"/>
      <c r="HVM41" s="528"/>
      <c r="HVN41" s="528"/>
      <c r="HVO41" s="528"/>
      <c r="HVP41" s="528"/>
      <c r="HVQ41" s="528"/>
      <c r="HVR41" s="528"/>
      <c r="HVS41" s="528"/>
      <c r="HVT41" s="528"/>
      <c r="HVU41" s="528"/>
      <c r="HVV41" s="528"/>
      <c r="HVW41" s="528"/>
      <c r="HVX41" s="528"/>
      <c r="HVY41" s="528"/>
      <c r="HVZ41" s="528"/>
      <c r="HWA41" s="528"/>
      <c r="HWB41" s="528"/>
      <c r="HWC41" s="528"/>
      <c r="HWD41" s="528"/>
      <c r="HWE41" s="528"/>
      <c r="HWF41" s="528"/>
      <c r="HWG41" s="528"/>
      <c r="HWH41" s="528"/>
      <c r="HWI41" s="528"/>
      <c r="HWJ41" s="528"/>
      <c r="HWK41" s="528"/>
      <c r="HWL41" s="528"/>
      <c r="HWM41" s="528"/>
      <c r="HWN41" s="528"/>
      <c r="HWO41" s="528"/>
      <c r="HWP41" s="528"/>
      <c r="HWQ41" s="528"/>
      <c r="HWR41" s="528"/>
      <c r="HWS41" s="528"/>
      <c r="HWT41" s="528"/>
      <c r="HWU41" s="528"/>
      <c r="HWV41" s="528"/>
      <c r="HWW41" s="528"/>
      <c r="HWX41" s="528"/>
      <c r="HWY41" s="528"/>
      <c r="HWZ41" s="528"/>
      <c r="HXA41" s="528"/>
      <c r="HXB41" s="528"/>
      <c r="HXC41" s="528"/>
      <c r="HXD41" s="528"/>
      <c r="HXE41" s="528"/>
      <c r="HXF41" s="528"/>
      <c r="HXG41" s="528"/>
      <c r="HXH41" s="528"/>
      <c r="HXI41" s="528"/>
      <c r="HXJ41" s="528"/>
      <c r="HXK41" s="528"/>
      <c r="HXL41" s="528"/>
      <c r="HXM41" s="528"/>
      <c r="HXN41" s="528"/>
      <c r="HXO41" s="528"/>
      <c r="HXP41" s="528"/>
      <c r="HXQ41" s="528"/>
      <c r="HXR41" s="528"/>
      <c r="HXS41" s="528"/>
      <c r="HXT41" s="528"/>
      <c r="HXU41" s="528"/>
      <c r="HXV41" s="528"/>
      <c r="HXW41" s="528"/>
      <c r="HXX41" s="528"/>
      <c r="HXY41" s="528"/>
      <c r="HXZ41" s="528"/>
      <c r="HYA41" s="528"/>
      <c r="HYB41" s="528"/>
      <c r="HYC41" s="528"/>
      <c r="HYD41" s="528"/>
      <c r="HYE41" s="528"/>
      <c r="HYF41" s="528"/>
      <c r="HYG41" s="528"/>
      <c r="HYH41" s="528"/>
      <c r="HYI41" s="528"/>
      <c r="HYJ41" s="528"/>
      <c r="HYK41" s="528"/>
      <c r="HYL41" s="528"/>
      <c r="HYM41" s="528"/>
      <c r="HYN41" s="528"/>
      <c r="HYO41" s="528"/>
      <c r="HYP41" s="528"/>
      <c r="HYQ41" s="528"/>
      <c r="HYR41" s="528"/>
      <c r="HYS41" s="528"/>
      <c r="HYT41" s="528"/>
      <c r="HYU41" s="528"/>
      <c r="HYV41" s="528"/>
      <c r="HYW41" s="528"/>
      <c r="HYX41" s="528"/>
      <c r="HYY41" s="528"/>
      <c r="HYZ41" s="528"/>
      <c r="HZA41" s="528"/>
      <c r="HZB41" s="528"/>
      <c r="HZC41" s="528"/>
      <c r="HZD41" s="528"/>
      <c r="HZE41" s="528"/>
      <c r="HZF41" s="528"/>
      <c r="HZG41" s="528"/>
      <c r="HZH41" s="528"/>
      <c r="HZI41" s="528"/>
      <c r="HZJ41" s="528"/>
      <c r="HZK41" s="528"/>
      <c r="HZL41" s="528"/>
      <c r="HZM41" s="528"/>
      <c r="HZN41" s="528"/>
      <c r="HZO41" s="528"/>
      <c r="HZP41" s="528"/>
      <c r="HZQ41" s="528"/>
      <c r="HZR41" s="528"/>
      <c r="HZS41" s="528"/>
      <c r="HZT41" s="528"/>
      <c r="HZU41" s="528"/>
      <c r="HZV41" s="528"/>
      <c r="HZW41" s="528"/>
      <c r="HZX41" s="528"/>
      <c r="HZY41" s="528"/>
      <c r="HZZ41" s="528"/>
      <c r="IAA41" s="528"/>
      <c r="IAB41" s="528"/>
      <c r="IAC41" s="528"/>
      <c r="IAD41" s="528"/>
      <c r="IAE41" s="528"/>
      <c r="IAF41" s="528"/>
      <c r="IAG41" s="528"/>
      <c r="IAH41" s="528"/>
      <c r="IAI41" s="528"/>
      <c r="IAJ41" s="528"/>
      <c r="IAK41" s="528"/>
      <c r="IAL41" s="528"/>
      <c r="IAM41" s="528"/>
      <c r="IAN41" s="528"/>
      <c r="IAO41" s="528"/>
      <c r="IAP41" s="528"/>
      <c r="IAQ41" s="528"/>
      <c r="IAR41" s="528"/>
      <c r="IAS41" s="528"/>
      <c r="IAT41" s="528"/>
      <c r="IAU41" s="528"/>
      <c r="IAV41" s="528"/>
      <c r="IAW41" s="528"/>
      <c r="IAX41" s="528"/>
      <c r="IAY41" s="528"/>
      <c r="IAZ41" s="528"/>
      <c r="IBA41" s="528"/>
      <c r="IBB41" s="528"/>
      <c r="IBC41" s="528"/>
      <c r="IBD41" s="528"/>
      <c r="IBE41" s="528"/>
      <c r="IBF41" s="528"/>
      <c r="IBG41" s="528"/>
      <c r="IBH41" s="528"/>
      <c r="IBI41" s="528"/>
      <c r="IBJ41" s="528"/>
      <c r="IBK41" s="528"/>
      <c r="IBL41" s="528"/>
      <c r="IBM41" s="528"/>
      <c r="IBN41" s="528"/>
      <c r="IBO41" s="528"/>
      <c r="IBP41" s="528"/>
      <c r="IBQ41" s="528"/>
      <c r="IBR41" s="528"/>
      <c r="IBS41" s="528"/>
      <c r="IBT41" s="528"/>
      <c r="IBU41" s="528"/>
      <c r="IBV41" s="528"/>
      <c r="IBW41" s="528"/>
      <c r="IBX41" s="528"/>
      <c r="IBY41" s="528"/>
      <c r="IBZ41" s="528"/>
      <c r="ICA41" s="528"/>
      <c r="ICB41" s="528"/>
      <c r="ICC41" s="528"/>
      <c r="ICD41" s="528"/>
      <c r="ICE41" s="528"/>
      <c r="ICF41" s="528"/>
      <c r="ICG41" s="528"/>
      <c r="ICH41" s="528"/>
      <c r="ICI41" s="528"/>
      <c r="ICJ41" s="528"/>
      <c r="ICK41" s="528"/>
      <c r="ICL41" s="528"/>
      <c r="ICM41" s="528"/>
      <c r="ICN41" s="528"/>
      <c r="ICO41" s="528"/>
      <c r="ICP41" s="528"/>
      <c r="ICQ41" s="528"/>
      <c r="ICR41" s="528"/>
      <c r="ICS41" s="528"/>
      <c r="ICT41" s="528"/>
      <c r="ICU41" s="528"/>
      <c r="ICV41" s="528"/>
      <c r="ICW41" s="528"/>
      <c r="ICX41" s="528"/>
      <c r="ICY41" s="528"/>
      <c r="ICZ41" s="528"/>
      <c r="IDA41" s="528"/>
      <c r="IDB41" s="528"/>
      <c r="IDC41" s="528"/>
      <c r="IDD41" s="528"/>
      <c r="IDE41" s="528"/>
      <c r="IDF41" s="528"/>
      <c r="IDG41" s="528"/>
      <c r="IDH41" s="528"/>
      <c r="IDI41" s="528"/>
      <c r="IDJ41" s="528"/>
      <c r="IDK41" s="528"/>
      <c r="IDL41" s="528"/>
      <c r="IDM41" s="528"/>
      <c r="IDN41" s="528"/>
      <c r="IDO41" s="528"/>
      <c r="IDP41" s="528"/>
      <c r="IDQ41" s="528"/>
      <c r="IDR41" s="528"/>
      <c r="IDS41" s="528"/>
      <c r="IDT41" s="528"/>
      <c r="IDU41" s="528"/>
      <c r="IDV41" s="528"/>
      <c r="IDW41" s="528"/>
      <c r="IDX41" s="528"/>
      <c r="IDY41" s="528"/>
      <c r="IDZ41" s="528"/>
      <c r="IEA41" s="528"/>
      <c r="IEB41" s="528"/>
      <c r="IEC41" s="528"/>
      <c r="IED41" s="528"/>
      <c r="IEE41" s="528"/>
      <c r="IEF41" s="528"/>
      <c r="IEG41" s="528"/>
      <c r="IEH41" s="528"/>
      <c r="IEI41" s="528"/>
      <c r="IEJ41" s="528"/>
      <c r="IEK41" s="528"/>
      <c r="IEL41" s="528"/>
      <c r="IEM41" s="528"/>
      <c r="IEN41" s="528"/>
      <c r="IEO41" s="528"/>
      <c r="IEP41" s="528"/>
      <c r="IEQ41" s="528"/>
      <c r="IER41" s="528"/>
      <c r="IES41" s="528"/>
      <c r="IET41" s="528"/>
      <c r="IEU41" s="528"/>
      <c r="IEV41" s="528"/>
      <c r="IEW41" s="528"/>
      <c r="IEX41" s="528"/>
      <c r="IEY41" s="528"/>
      <c r="IEZ41" s="528"/>
      <c r="IFA41" s="528"/>
      <c r="IFB41" s="528"/>
      <c r="IFC41" s="528"/>
      <c r="IFD41" s="528"/>
      <c r="IFE41" s="528"/>
      <c r="IFF41" s="528"/>
      <c r="IFG41" s="528"/>
      <c r="IFH41" s="528"/>
      <c r="IFI41" s="528"/>
      <c r="IFJ41" s="528"/>
      <c r="IFK41" s="528"/>
      <c r="IFL41" s="528"/>
      <c r="IFM41" s="528"/>
      <c r="IFN41" s="528"/>
      <c r="IFO41" s="528"/>
      <c r="IFP41" s="528"/>
      <c r="IFQ41" s="528"/>
      <c r="IFR41" s="528"/>
      <c r="IFS41" s="528"/>
      <c r="IFT41" s="528"/>
      <c r="IFU41" s="528"/>
      <c r="IFV41" s="528"/>
      <c r="IFW41" s="528"/>
      <c r="IFX41" s="528"/>
      <c r="IFY41" s="528"/>
      <c r="IFZ41" s="528"/>
      <c r="IGA41" s="528"/>
      <c r="IGB41" s="528"/>
      <c r="IGC41" s="528"/>
      <c r="IGD41" s="528"/>
      <c r="IGE41" s="528"/>
      <c r="IGF41" s="528"/>
      <c r="IGG41" s="528"/>
      <c r="IGH41" s="528"/>
      <c r="IGI41" s="528"/>
      <c r="IGJ41" s="528"/>
      <c r="IGK41" s="528"/>
      <c r="IGL41" s="528"/>
      <c r="IGM41" s="528"/>
      <c r="IGN41" s="528"/>
      <c r="IGO41" s="528"/>
      <c r="IGP41" s="528"/>
      <c r="IGQ41" s="528"/>
      <c r="IGR41" s="528"/>
      <c r="IGS41" s="528"/>
      <c r="IGT41" s="528"/>
      <c r="IGU41" s="528"/>
      <c r="IGV41" s="528"/>
      <c r="IGW41" s="528"/>
      <c r="IGX41" s="528"/>
      <c r="IGY41" s="528"/>
      <c r="IGZ41" s="528"/>
      <c r="IHA41" s="528"/>
      <c r="IHB41" s="528"/>
      <c r="IHC41" s="528"/>
      <c r="IHD41" s="528"/>
      <c r="IHE41" s="528"/>
      <c r="IHF41" s="528"/>
      <c r="IHG41" s="528"/>
      <c r="IHH41" s="528"/>
      <c r="IHI41" s="528"/>
      <c r="IHJ41" s="528"/>
      <c r="IHK41" s="528"/>
      <c r="IHL41" s="528"/>
      <c r="IHM41" s="528"/>
      <c r="IHN41" s="528"/>
      <c r="IHO41" s="528"/>
      <c r="IHP41" s="528"/>
      <c r="IHQ41" s="528"/>
      <c r="IHR41" s="528"/>
      <c r="IHS41" s="528"/>
      <c r="IHT41" s="528"/>
      <c r="IHU41" s="528"/>
      <c r="IHV41" s="528"/>
      <c r="IHW41" s="528"/>
      <c r="IHX41" s="528"/>
      <c r="IHY41" s="528"/>
      <c r="IHZ41" s="528"/>
      <c r="IIA41" s="528"/>
      <c r="IIB41" s="528"/>
      <c r="IIC41" s="528"/>
      <c r="IID41" s="528"/>
      <c r="IIE41" s="528"/>
      <c r="IIF41" s="528"/>
      <c r="IIG41" s="528"/>
      <c r="IIH41" s="528"/>
      <c r="III41" s="528"/>
      <c r="IIJ41" s="528"/>
      <c r="IIK41" s="528"/>
      <c r="IIL41" s="528"/>
      <c r="IIM41" s="528"/>
      <c r="IIN41" s="528"/>
      <c r="IIO41" s="528"/>
      <c r="IIP41" s="528"/>
      <c r="IIQ41" s="528"/>
      <c r="IIR41" s="528"/>
      <c r="IIS41" s="528"/>
      <c r="IIT41" s="528"/>
      <c r="IIU41" s="528"/>
      <c r="IIV41" s="528"/>
      <c r="IIW41" s="528"/>
      <c r="IIX41" s="528"/>
      <c r="IIY41" s="528"/>
      <c r="IIZ41" s="528"/>
      <c r="IJA41" s="528"/>
      <c r="IJB41" s="528"/>
      <c r="IJC41" s="528"/>
      <c r="IJD41" s="528"/>
      <c r="IJE41" s="528"/>
      <c r="IJF41" s="528"/>
      <c r="IJG41" s="528"/>
      <c r="IJH41" s="528"/>
      <c r="IJI41" s="528"/>
      <c r="IJJ41" s="528"/>
      <c r="IJK41" s="528"/>
      <c r="IJL41" s="528"/>
      <c r="IJM41" s="528"/>
      <c r="IJN41" s="528"/>
      <c r="IJO41" s="528"/>
      <c r="IJP41" s="528"/>
      <c r="IJQ41" s="528"/>
      <c r="IJR41" s="528"/>
      <c r="IJS41" s="528"/>
      <c r="IJT41" s="528"/>
      <c r="IJU41" s="528"/>
      <c r="IJV41" s="528"/>
      <c r="IJW41" s="528"/>
      <c r="IJX41" s="528"/>
      <c r="IJY41" s="528"/>
      <c r="IJZ41" s="528"/>
      <c r="IKA41" s="528"/>
      <c r="IKB41" s="528"/>
      <c r="IKC41" s="528"/>
      <c r="IKD41" s="528"/>
      <c r="IKE41" s="528"/>
      <c r="IKF41" s="528"/>
      <c r="IKG41" s="528"/>
      <c r="IKH41" s="528"/>
      <c r="IKI41" s="528"/>
      <c r="IKJ41" s="528"/>
      <c r="IKK41" s="528"/>
      <c r="IKL41" s="528"/>
      <c r="IKM41" s="528"/>
      <c r="IKN41" s="528"/>
      <c r="IKO41" s="528"/>
      <c r="IKP41" s="528"/>
      <c r="IKQ41" s="528"/>
      <c r="IKR41" s="528"/>
      <c r="IKS41" s="528"/>
      <c r="IKT41" s="528"/>
      <c r="IKU41" s="528"/>
      <c r="IKV41" s="528"/>
      <c r="IKW41" s="528"/>
      <c r="IKX41" s="528"/>
      <c r="IKY41" s="528"/>
      <c r="IKZ41" s="528"/>
      <c r="ILA41" s="528"/>
      <c r="ILB41" s="528"/>
      <c r="ILC41" s="528"/>
      <c r="ILD41" s="528"/>
      <c r="ILE41" s="528"/>
      <c r="ILF41" s="528"/>
      <c r="ILG41" s="528"/>
      <c r="ILH41" s="528"/>
      <c r="ILI41" s="528"/>
      <c r="ILJ41" s="528"/>
      <c r="ILK41" s="528"/>
      <c r="ILL41" s="528"/>
      <c r="ILM41" s="528"/>
      <c r="ILN41" s="528"/>
      <c r="ILO41" s="528"/>
      <c r="ILP41" s="528"/>
      <c r="ILQ41" s="528"/>
      <c r="ILR41" s="528"/>
      <c r="ILS41" s="528"/>
      <c r="ILT41" s="528"/>
      <c r="ILU41" s="528"/>
      <c r="ILV41" s="528"/>
      <c r="ILW41" s="528"/>
      <c r="ILX41" s="528"/>
      <c r="ILY41" s="528"/>
      <c r="ILZ41" s="528"/>
      <c r="IMA41" s="528"/>
      <c r="IMB41" s="528"/>
      <c r="IMC41" s="528"/>
      <c r="IMD41" s="528"/>
      <c r="IME41" s="528"/>
      <c r="IMF41" s="528"/>
      <c r="IMG41" s="528"/>
      <c r="IMH41" s="528"/>
      <c r="IMI41" s="528"/>
      <c r="IMJ41" s="528"/>
      <c r="IMK41" s="528"/>
      <c r="IML41" s="528"/>
      <c r="IMM41" s="528"/>
      <c r="IMN41" s="528"/>
      <c r="IMO41" s="528"/>
      <c r="IMP41" s="528"/>
      <c r="IMQ41" s="528"/>
      <c r="IMR41" s="528"/>
      <c r="IMS41" s="528"/>
      <c r="IMT41" s="528"/>
      <c r="IMU41" s="528"/>
      <c r="IMV41" s="528"/>
      <c r="IMW41" s="528"/>
      <c r="IMX41" s="528"/>
      <c r="IMY41" s="528"/>
      <c r="IMZ41" s="528"/>
      <c r="INA41" s="528"/>
      <c r="INB41" s="528"/>
      <c r="INC41" s="528"/>
      <c r="IND41" s="528"/>
      <c r="INE41" s="528"/>
      <c r="INF41" s="528"/>
      <c r="ING41" s="528"/>
      <c r="INH41" s="528"/>
      <c r="INI41" s="528"/>
      <c r="INJ41" s="528"/>
      <c r="INK41" s="528"/>
      <c r="INL41" s="528"/>
      <c r="INM41" s="528"/>
      <c r="INN41" s="528"/>
      <c r="INO41" s="528"/>
      <c r="INP41" s="528"/>
      <c r="INQ41" s="528"/>
      <c r="INR41" s="528"/>
      <c r="INS41" s="528"/>
      <c r="INT41" s="528"/>
      <c r="INU41" s="528"/>
      <c r="INV41" s="528"/>
      <c r="INW41" s="528"/>
      <c r="INX41" s="528"/>
      <c r="INY41" s="528"/>
      <c r="INZ41" s="528"/>
      <c r="IOA41" s="528"/>
      <c r="IOB41" s="528"/>
      <c r="IOC41" s="528"/>
      <c r="IOD41" s="528"/>
      <c r="IOE41" s="528"/>
      <c r="IOF41" s="528"/>
      <c r="IOG41" s="528"/>
      <c r="IOH41" s="528"/>
      <c r="IOI41" s="528"/>
      <c r="IOJ41" s="528"/>
      <c r="IOK41" s="528"/>
      <c r="IOL41" s="528"/>
      <c r="IOM41" s="528"/>
      <c r="ION41" s="528"/>
      <c r="IOO41" s="528"/>
      <c r="IOP41" s="528"/>
      <c r="IOQ41" s="528"/>
      <c r="IOR41" s="528"/>
      <c r="IOS41" s="528"/>
      <c r="IOT41" s="528"/>
      <c r="IOU41" s="528"/>
      <c r="IOV41" s="528"/>
      <c r="IOW41" s="528"/>
      <c r="IOX41" s="528"/>
      <c r="IOY41" s="528"/>
      <c r="IOZ41" s="528"/>
      <c r="IPA41" s="528"/>
      <c r="IPB41" s="528"/>
      <c r="IPC41" s="528"/>
      <c r="IPD41" s="528"/>
      <c r="IPE41" s="528"/>
      <c r="IPF41" s="528"/>
      <c r="IPG41" s="528"/>
      <c r="IPH41" s="528"/>
      <c r="IPI41" s="528"/>
      <c r="IPJ41" s="528"/>
      <c r="IPK41" s="528"/>
      <c r="IPL41" s="528"/>
      <c r="IPM41" s="528"/>
      <c r="IPN41" s="528"/>
      <c r="IPO41" s="528"/>
      <c r="IPP41" s="528"/>
      <c r="IPQ41" s="528"/>
      <c r="IPR41" s="528"/>
      <c r="IPS41" s="528"/>
      <c r="IPT41" s="528"/>
      <c r="IPU41" s="528"/>
      <c r="IPV41" s="528"/>
      <c r="IPW41" s="528"/>
      <c r="IPX41" s="528"/>
      <c r="IPY41" s="528"/>
      <c r="IPZ41" s="528"/>
      <c r="IQA41" s="528"/>
      <c r="IQB41" s="528"/>
      <c r="IQC41" s="528"/>
      <c r="IQD41" s="528"/>
      <c r="IQE41" s="528"/>
      <c r="IQF41" s="528"/>
      <c r="IQG41" s="528"/>
      <c r="IQH41" s="528"/>
      <c r="IQI41" s="528"/>
      <c r="IQJ41" s="528"/>
      <c r="IQK41" s="528"/>
      <c r="IQL41" s="528"/>
      <c r="IQM41" s="528"/>
      <c r="IQN41" s="528"/>
      <c r="IQO41" s="528"/>
      <c r="IQP41" s="528"/>
      <c r="IQQ41" s="528"/>
      <c r="IQR41" s="528"/>
      <c r="IQS41" s="528"/>
      <c r="IQT41" s="528"/>
      <c r="IQU41" s="528"/>
      <c r="IQV41" s="528"/>
      <c r="IQW41" s="528"/>
      <c r="IQX41" s="528"/>
      <c r="IQY41" s="528"/>
      <c r="IQZ41" s="528"/>
      <c r="IRA41" s="528"/>
      <c r="IRB41" s="528"/>
      <c r="IRC41" s="528"/>
      <c r="IRD41" s="528"/>
      <c r="IRE41" s="528"/>
      <c r="IRF41" s="528"/>
      <c r="IRG41" s="528"/>
      <c r="IRH41" s="528"/>
      <c r="IRI41" s="528"/>
      <c r="IRJ41" s="528"/>
      <c r="IRK41" s="528"/>
      <c r="IRL41" s="528"/>
      <c r="IRM41" s="528"/>
      <c r="IRN41" s="528"/>
      <c r="IRO41" s="528"/>
      <c r="IRP41" s="528"/>
      <c r="IRQ41" s="528"/>
      <c r="IRR41" s="528"/>
      <c r="IRS41" s="528"/>
      <c r="IRT41" s="528"/>
      <c r="IRU41" s="528"/>
      <c r="IRV41" s="528"/>
      <c r="IRW41" s="528"/>
      <c r="IRX41" s="528"/>
      <c r="IRY41" s="528"/>
      <c r="IRZ41" s="528"/>
      <c r="ISA41" s="528"/>
      <c r="ISB41" s="528"/>
      <c r="ISC41" s="528"/>
      <c r="ISD41" s="528"/>
      <c r="ISE41" s="528"/>
      <c r="ISF41" s="528"/>
      <c r="ISG41" s="528"/>
      <c r="ISH41" s="528"/>
      <c r="ISI41" s="528"/>
      <c r="ISJ41" s="528"/>
      <c r="ISK41" s="528"/>
      <c r="ISL41" s="528"/>
      <c r="ISM41" s="528"/>
      <c r="ISN41" s="528"/>
      <c r="ISO41" s="528"/>
      <c r="ISP41" s="528"/>
      <c r="ISQ41" s="528"/>
      <c r="ISR41" s="528"/>
      <c r="ISS41" s="528"/>
      <c r="IST41" s="528"/>
      <c r="ISU41" s="528"/>
      <c r="ISV41" s="528"/>
      <c r="ISW41" s="528"/>
      <c r="ISX41" s="528"/>
      <c r="ISY41" s="528"/>
      <c r="ISZ41" s="528"/>
      <c r="ITA41" s="528"/>
      <c r="ITB41" s="528"/>
      <c r="ITC41" s="528"/>
      <c r="ITD41" s="528"/>
      <c r="ITE41" s="528"/>
      <c r="ITF41" s="528"/>
      <c r="ITG41" s="528"/>
      <c r="ITH41" s="528"/>
      <c r="ITI41" s="528"/>
      <c r="ITJ41" s="528"/>
      <c r="ITK41" s="528"/>
      <c r="ITL41" s="528"/>
      <c r="ITM41" s="528"/>
      <c r="ITN41" s="528"/>
      <c r="ITO41" s="528"/>
      <c r="ITP41" s="528"/>
      <c r="ITQ41" s="528"/>
      <c r="ITR41" s="528"/>
      <c r="ITS41" s="528"/>
      <c r="ITT41" s="528"/>
      <c r="ITU41" s="528"/>
      <c r="ITV41" s="528"/>
      <c r="ITW41" s="528"/>
      <c r="ITX41" s="528"/>
      <c r="ITY41" s="528"/>
      <c r="ITZ41" s="528"/>
      <c r="IUA41" s="528"/>
      <c r="IUB41" s="528"/>
      <c r="IUC41" s="528"/>
      <c r="IUD41" s="528"/>
      <c r="IUE41" s="528"/>
      <c r="IUF41" s="528"/>
      <c r="IUG41" s="528"/>
      <c r="IUH41" s="528"/>
      <c r="IUI41" s="528"/>
      <c r="IUJ41" s="528"/>
      <c r="IUK41" s="528"/>
      <c r="IUL41" s="528"/>
      <c r="IUM41" s="528"/>
      <c r="IUN41" s="528"/>
      <c r="IUO41" s="528"/>
      <c r="IUP41" s="528"/>
      <c r="IUQ41" s="528"/>
      <c r="IUR41" s="528"/>
      <c r="IUS41" s="528"/>
      <c r="IUT41" s="528"/>
      <c r="IUU41" s="528"/>
      <c r="IUV41" s="528"/>
      <c r="IUW41" s="528"/>
      <c r="IUX41" s="528"/>
      <c r="IUY41" s="528"/>
      <c r="IUZ41" s="528"/>
      <c r="IVA41" s="528"/>
      <c r="IVB41" s="528"/>
      <c r="IVC41" s="528"/>
      <c r="IVD41" s="528"/>
      <c r="IVE41" s="528"/>
      <c r="IVF41" s="528"/>
      <c r="IVG41" s="528"/>
      <c r="IVH41" s="528"/>
      <c r="IVI41" s="528"/>
      <c r="IVJ41" s="528"/>
      <c r="IVK41" s="528"/>
      <c r="IVL41" s="528"/>
      <c r="IVM41" s="528"/>
      <c r="IVN41" s="528"/>
      <c r="IVO41" s="528"/>
      <c r="IVP41" s="528"/>
      <c r="IVQ41" s="528"/>
      <c r="IVR41" s="528"/>
      <c r="IVS41" s="528"/>
      <c r="IVT41" s="528"/>
      <c r="IVU41" s="528"/>
      <c r="IVV41" s="528"/>
      <c r="IVW41" s="528"/>
      <c r="IVX41" s="528"/>
      <c r="IVY41" s="528"/>
      <c r="IVZ41" s="528"/>
      <c r="IWA41" s="528"/>
      <c r="IWB41" s="528"/>
      <c r="IWC41" s="528"/>
      <c r="IWD41" s="528"/>
      <c r="IWE41" s="528"/>
      <c r="IWF41" s="528"/>
      <c r="IWG41" s="528"/>
      <c r="IWH41" s="528"/>
      <c r="IWI41" s="528"/>
      <c r="IWJ41" s="528"/>
      <c r="IWK41" s="528"/>
      <c r="IWL41" s="528"/>
      <c r="IWM41" s="528"/>
      <c r="IWN41" s="528"/>
      <c r="IWO41" s="528"/>
      <c r="IWP41" s="528"/>
      <c r="IWQ41" s="528"/>
      <c r="IWR41" s="528"/>
      <c r="IWS41" s="528"/>
      <c r="IWT41" s="528"/>
      <c r="IWU41" s="528"/>
      <c r="IWV41" s="528"/>
      <c r="IWW41" s="528"/>
      <c r="IWX41" s="528"/>
      <c r="IWY41" s="528"/>
      <c r="IWZ41" s="528"/>
      <c r="IXA41" s="528"/>
      <c r="IXB41" s="528"/>
      <c r="IXC41" s="528"/>
      <c r="IXD41" s="528"/>
      <c r="IXE41" s="528"/>
      <c r="IXF41" s="528"/>
      <c r="IXG41" s="528"/>
      <c r="IXH41" s="528"/>
      <c r="IXI41" s="528"/>
      <c r="IXJ41" s="528"/>
      <c r="IXK41" s="528"/>
      <c r="IXL41" s="528"/>
      <c r="IXM41" s="528"/>
      <c r="IXN41" s="528"/>
      <c r="IXO41" s="528"/>
      <c r="IXP41" s="528"/>
      <c r="IXQ41" s="528"/>
      <c r="IXR41" s="528"/>
      <c r="IXS41" s="528"/>
      <c r="IXT41" s="528"/>
      <c r="IXU41" s="528"/>
      <c r="IXV41" s="528"/>
      <c r="IXW41" s="528"/>
      <c r="IXX41" s="528"/>
      <c r="IXY41" s="528"/>
      <c r="IXZ41" s="528"/>
      <c r="IYA41" s="528"/>
      <c r="IYB41" s="528"/>
      <c r="IYC41" s="528"/>
      <c r="IYD41" s="528"/>
      <c r="IYE41" s="528"/>
      <c r="IYF41" s="528"/>
      <c r="IYG41" s="528"/>
      <c r="IYH41" s="528"/>
      <c r="IYI41" s="528"/>
      <c r="IYJ41" s="528"/>
      <c r="IYK41" s="528"/>
      <c r="IYL41" s="528"/>
      <c r="IYM41" s="528"/>
      <c r="IYN41" s="528"/>
      <c r="IYO41" s="528"/>
      <c r="IYP41" s="528"/>
      <c r="IYQ41" s="528"/>
      <c r="IYR41" s="528"/>
      <c r="IYS41" s="528"/>
      <c r="IYT41" s="528"/>
      <c r="IYU41" s="528"/>
      <c r="IYV41" s="528"/>
      <c r="IYW41" s="528"/>
      <c r="IYX41" s="528"/>
      <c r="IYY41" s="528"/>
      <c r="IYZ41" s="528"/>
      <c r="IZA41" s="528"/>
      <c r="IZB41" s="528"/>
      <c r="IZC41" s="528"/>
      <c r="IZD41" s="528"/>
      <c r="IZE41" s="528"/>
      <c r="IZF41" s="528"/>
      <c r="IZG41" s="528"/>
      <c r="IZH41" s="528"/>
      <c r="IZI41" s="528"/>
      <c r="IZJ41" s="528"/>
      <c r="IZK41" s="528"/>
      <c r="IZL41" s="528"/>
      <c r="IZM41" s="528"/>
      <c r="IZN41" s="528"/>
      <c r="IZO41" s="528"/>
      <c r="IZP41" s="528"/>
      <c r="IZQ41" s="528"/>
      <c r="IZR41" s="528"/>
      <c r="IZS41" s="528"/>
      <c r="IZT41" s="528"/>
      <c r="IZU41" s="528"/>
      <c r="IZV41" s="528"/>
      <c r="IZW41" s="528"/>
      <c r="IZX41" s="528"/>
      <c r="IZY41" s="528"/>
      <c r="IZZ41" s="528"/>
      <c r="JAA41" s="528"/>
      <c r="JAB41" s="528"/>
      <c r="JAC41" s="528"/>
      <c r="JAD41" s="528"/>
      <c r="JAE41" s="528"/>
      <c r="JAF41" s="528"/>
      <c r="JAG41" s="528"/>
      <c r="JAH41" s="528"/>
      <c r="JAI41" s="528"/>
      <c r="JAJ41" s="528"/>
      <c r="JAK41" s="528"/>
      <c r="JAL41" s="528"/>
      <c r="JAM41" s="528"/>
      <c r="JAN41" s="528"/>
      <c r="JAO41" s="528"/>
      <c r="JAP41" s="528"/>
      <c r="JAQ41" s="528"/>
      <c r="JAR41" s="528"/>
      <c r="JAS41" s="528"/>
      <c r="JAT41" s="528"/>
      <c r="JAU41" s="528"/>
      <c r="JAV41" s="528"/>
      <c r="JAW41" s="528"/>
      <c r="JAX41" s="528"/>
      <c r="JAY41" s="528"/>
      <c r="JAZ41" s="528"/>
      <c r="JBA41" s="528"/>
      <c r="JBB41" s="528"/>
      <c r="JBC41" s="528"/>
      <c r="JBD41" s="528"/>
      <c r="JBE41" s="528"/>
      <c r="JBF41" s="528"/>
      <c r="JBG41" s="528"/>
      <c r="JBH41" s="528"/>
      <c r="JBI41" s="528"/>
      <c r="JBJ41" s="528"/>
      <c r="JBK41" s="528"/>
      <c r="JBL41" s="528"/>
      <c r="JBM41" s="528"/>
      <c r="JBN41" s="528"/>
      <c r="JBO41" s="528"/>
      <c r="JBP41" s="528"/>
      <c r="JBQ41" s="528"/>
      <c r="JBR41" s="528"/>
      <c r="JBS41" s="528"/>
      <c r="JBT41" s="528"/>
      <c r="JBU41" s="528"/>
      <c r="JBV41" s="528"/>
      <c r="JBW41" s="528"/>
      <c r="JBX41" s="528"/>
      <c r="JBY41" s="528"/>
      <c r="JBZ41" s="528"/>
      <c r="JCA41" s="528"/>
      <c r="JCB41" s="528"/>
      <c r="JCC41" s="528"/>
      <c r="JCD41" s="528"/>
      <c r="JCE41" s="528"/>
      <c r="JCF41" s="528"/>
      <c r="JCG41" s="528"/>
      <c r="JCH41" s="528"/>
      <c r="JCI41" s="528"/>
      <c r="JCJ41" s="528"/>
      <c r="JCK41" s="528"/>
      <c r="JCL41" s="528"/>
      <c r="JCM41" s="528"/>
      <c r="JCN41" s="528"/>
      <c r="JCO41" s="528"/>
      <c r="JCP41" s="528"/>
      <c r="JCQ41" s="528"/>
      <c r="JCR41" s="528"/>
      <c r="JCS41" s="528"/>
      <c r="JCT41" s="528"/>
      <c r="JCU41" s="528"/>
      <c r="JCV41" s="528"/>
      <c r="JCW41" s="528"/>
      <c r="JCX41" s="528"/>
      <c r="JCY41" s="528"/>
      <c r="JCZ41" s="528"/>
      <c r="JDA41" s="528"/>
      <c r="JDB41" s="528"/>
      <c r="JDC41" s="528"/>
      <c r="JDD41" s="528"/>
      <c r="JDE41" s="528"/>
      <c r="JDF41" s="528"/>
      <c r="JDG41" s="528"/>
      <c r="JDH41" s="528"/>
      <c r="JDI41" s="528"/>
      <c r="JDJ41" s="528"/>
      <c r="JDK41" s="528"/>
      <c r="JDL41" s="528"/>
      <c r="JDM41" s="528"/>
      <c r="JDN41" s="528"/>
      <c r="JDO41" s="528"/>
      <c r="JDP41" s="528"/>
      <c r="JDQ41" s="528"/>
      <c r="JDR41" s="528"/>
      <c r="JDS41" s="528"/>
      <c r="JDT41" s="528"/>
      <c r="JDU41" s="528"/>
      <c r="JDV41" s="528"/>
      <c r="JDW41" s="528"/>
      <c r="JDX41" s="528"/>
      <c r="JDY41" s="528"/>
      <c r="JDZ41" s="528"/>
      <c r="JEA41" s="528"/>
      <c r="JEB41" s="528"/>
      <c r="JEC41" s="528"/>
      <c r="JED41" s="528"/>
      <c r="JEE41" s="528"/>
      <c r="JEF41" s="528"/>
      <c r="JEG41" s="528"/>
      <c r="JEH41" s="528"/>
      <c r="JEI41" s="528"/>
      <c r="JEJ41" s="528"/>
      <c r="JEK41" s="528"/>
      <c r="JEL41" s="528"/>
      <c r="JEM41" s="528"/>
      <c r="JEN41" s="528"/>
      <c r="JEO41" s="528"/>
      <c r="JEP41" s="528"/>
      <c r="JEQ41" s="528"/>
      <c r="JER41" s="528"/>
      <c r="JES41" s="528"/>
      <c r="JET41" s="528"/>
      <c r="JEU41" s="528"/>
      <c r="JEV41" s="528"/>
      <c r="JEW41" s="528"/>
      <c r="JEX41" s="528"/>
      <c r="JEY41" s="528"/>
      <c r="JEZ41" s="528"/>
      <c r="JFA41" s="528"/>
      <c r="JFB41" s="528"/>
      <c r="JFC41" s="528"/>
      <c r="JFD41" s="528"/>
      <c r="JFE41" s="528"/>
      <c r="JFF41" s="528"/>
      <c r="JFG41" s="528"/>
      <c r="JFH41" s="528"/>
      <c r="JFI41" s="528"/>
      <c r="JFJ41" s="528"/>
      <c r="JFK41" s="528"/>
      <c r="JFL41" s="528"/>
      <c r="JFM41" s="528"/>
      <c r="JFN41" s="528"/>
      <c r="JFO41" s="528"/>
      <c r="JFP41" s="528"/>
      <c r="JFQ41" s="528"/>
      <c r="JFR41" s="528"/>
      <c r="JFS41" s="528"/>
      <c r="JFT41" s="528"/>
      <c r="JFU41" s="528"/>
      <c r="JFV41" s="528"/>
      <c r="JFW41" s="528"/>
      <c r="JFX41" s="528"/>
      <c r="JFY41" s="528"/>
      <c r="JFZ41" s="528"/>
      <c r="JGA41" s="528"/>
      <c r="JGB41" s="528"/>
      <c r="JGC41" s="528"/>
      <c r="JGD41" s="528"/>
      <c r="JGE41" s="528"/>
      <c r="JGF41" s="528"/>
      <c r="JGG41" s="528"/>
      <c r="JGH41" s="528"/>
      <c r="JGI41" s="528"/>
      <c r="JGJ41" s="528"/>
      <c r="JGK41" s="528"/>
      <c r="JGL41" s="528"/>
      <c r="JGM41" s="528"/>
      <c r="JGN41" s="528"/>
      <c r="JGO41" s="528"/>
      <c r="JGP41" s="528"/>
      <c r="JGQ41" s="528"/>
      <c r="JGR41" s="528"/>
      <c r="JGS41" s="528"/>
      <c r="JGT41" s="528"/>
      <c r="JGU41" s="528"/>
      <c r="JGV41" s="528"/>
      <c r="JGW41" s="528"/>
      <c r="JGX41" s="528"/>
      <c r="JGY41" s="528"/>
      <c r="JGZ41" s="528"/>
      <c r="JHA41" s="528"/>
      <c r="JHB41" s="528"/>
      <c r="JHC41" s="528"/>
      <c r="JHD41" s="528"/>
      <c r="JHE41" s="528"/>
      <c r="JHF41" s="528"/>
      <c r="JHG41" s="528"/>
      <c r="JHH41" s="528"/>
      <c r="JHI41" s="528"/>
      <c r="JHJ41" s="528"/>
      <c r="JHK41" s="528"/>
      <c r="JHL41" s="528"/>
      <c r="JHM41" s="528"/>
      <c r="JHN41" s="528"/>
      <c r="JHO41" s="528"/>
      <c r="JHP41" s="528"/>
      <c r="JHQ41" s="528"/>
      <c r="JHR41" s="528"/>
      <c r="JHS41" s="528"/>
      <c r="JHT41" s="528"/>
      <c r="JHU41" s="528"/>
      <c r="JHV41" s="528"/>
      <c r="JHW41" s="528"/>
      <c r="JHX41" s="528"/>
      <c r="JHY41" s="528"/>
      <c r="JHZ41" s="528"/>
      <c r="JIA41" s="528"/>
      <c r="JIB41" s="528"/>
      <c r="JIC41" s="528"/>
      <c r="JID41" s="528"/>
      <c r="JIE41" s="528"/>
      <c r="JIF41" s="528"/>
      <c r="JIG41" s="528"/>
      <c r="JIH41" s="528"/>
      <c r="JII41" s="528"/>
      <c r="JIJ41" s="528"/>
      <c r="JIK41" s="528"/>
      <c r="JIL41" s="528"/>
      <c r="JIM41" s="528"/>
      <c r="JIN41" s="528"/>
      <c r="JIO41" s="528"/>
      <c r="JIP41" s="528"/>
      <c r="JIQ41" s="528"/>
      <c r="JIR41" s="528"/>
      <c r="JIS41" s="528"/>
      <c r="JIT41" s="528"/>
      <c r="JIU41" s="528"/>
      <c r="JIV41" s="528"/>
      <c r="JIW41" s="528"/>
      <c r="JIX41" s="528"/>
      <c r="JIY41" s="528"/>
      <c r="JIZ41" s="528"/>
      <c r="JJA41" s="528"/>
      <c r="JJB41" s="528"/>
      <c r="JJC41" s="528"/>
      <c r="JJD41" s="528"/>
      <c r="JJE41" s="528"/>
      <c r="JJF41" s="528"/>
      <c r="JJG41" s="528"/>
      <c r="JJH41" s="528"/>
      <c r="JJI41" s="528"/>
      <c r="JJJ41" s="528"/>
      <c r="JJK41" s="528"/>
      <c r="JJL41" s="528"/>
      <c r="JJM41" s="528"/>
      <c r="JJN41" s="528"/>
      <c r="JJO41" s="528"/>
      <c r="JJP41" s="528"/>
      <c r="JJQ41" s="528"/>
      <c r="JJR41" s="528"/>
      <c r="JJS41" s="528"/>
      <c r="JJT41" s="528"/>
      <c r="JJU41" s="528"/>
      <c r="JJV41" s="528"/>
      <c r="JJW41" s="528"/>
      <c r="JJX41" s="528"/>
      <c r="JJY41" s="528"/>
      <c r="JJZ41" s="528"/>
      <c r="JKA41" s="528"/>
      <c r="JKB41" s="528"/>
      <c r="JKC41" s="528"/>
      <c r="JKD41" s="528"/>
      <c r="JKE41" s="528"/>
      <c r="JKF41" s="528"/>
      <c r="JKG41" s="528"/>
      <c r="JKH41" s="528"/>
      <c r="JKI41" s="528"/>
      <c r="JKJ41" s="528"/>
      <c r="JKK41" s="528"/>
      <c r="JKL41" s="528"/>
      <c r="JKM41" s="528"/>
      <c r="JKN41" s="528"/>
      <c r="JKO41" s="528"/>
      <c r="JKP41" s="528"/>
      <c r="JKQ41" s="528"/>
      <c r="JKR41" s="528"/>
      <c r="JKS41" s="528"/>
      <c r="JKT41" s="528"/>
      <c r="JKU41" s="528"/>
      <c r="JKV41" s="528"/>
      <c r="JKW41" s="528"/>
      <c r="JKX41" s="528"/>
      <c r="JKY41" s="528"/>
      <c r="JKZ41" s="528"/>
      <c r="JLA41" s="528"/>
      <c r="JLB41" s="528"/>
      <c r="JLC41" s="528"/>
      <c r="JLD41" s="528"/>
      <c r="JLE41" s="528"/>
      <c r="JLF41" s="528"/>
      <c r="JLG41" s="528"/>
      <c r="JLH41" s="528"/>
      <c r="JLI41" s="528"/>
      <c r="JLJ41" s="528"/>
      <c r="JLK41" s="528"/>
      <c r="JLL41" s="528"/>
      <c r="JLM41" s="528"/>
      <c r="JLN41" s="528"/>
      <c r="JLO41" s="528"/>
      <c r="JLP41" s="528"/>
      <c r="JLQ41" s="528"/>
      <c r="JLR41" s="528"/>
      <c r="JLS41" s="528"/>
      <c r="JLT41" s="528"/>
      <c r="JLU41" s="528"/>
      <c r="JLV41" s="528"/>
      <c r="JLW41" s="528"/>
      <c r="JLX41" s="528"/>
      <c r="JLY41" s="528"/>
      <c r="JLZ41" s="528"/>
      <c r="JMA41" s="528"/>
      <c r="JMB41" s="528"/>
      <c r="JMC41" s="528"/>
      <c r="JMD41" s="528"/>
      <c r="JME41" s="528"/>
      <c r="JMF41" s="528"/>
      <c r="JMG41" s="528"/>
      <c r="JMH41" s="528"/>
      <c r="JMI41" s="528"/>
      <c r="JMJ41" s="528"/>
      <c r="JMK41" s="528"/>
      <c r="JML41" s="528"/>
      <c r="JMM41" s="528"/>
      <c r="JMN41" s="528"/>
      <c r="JMO41" s="528"/>
      <c r="JMP41" s="528"/>
      <c r="JMQ41" s="528"/>
      <c r="JMR41" s="528"/>
      <c r="JMS41" s="528"/>
      <c r="JMT41" s="528"/>
      <c r="JMU41" s="528"/>
      <c r="JMV41" s="528"/>
      <c r="JMW41" s="528"/>
      <c r="JMX41" s="528"/>
      <c r="JMY41" s="528"/>
      <c r="JMZ41" s="528"/>
      <c r="JNA41" s="528"/>
      <c r="JNB41" s="528"/>
      <c r="JNC41" s="528"/>
      <c r="JND41" s="528"/>
      <c r="JNE41" s="528"/>
      <c r="JNF41" s="528"/>
      <c r="JNG41" s="528"/>
      <c r="JNH41" s="528"/>
      <c r="JNI41" s="528"/>
      <c r="JNJ41" s="528"/>
      <c r="JNK41" s="528"/>
      <c r="JNL41" s="528"/>
      <c r="JNM41" s="528"/>
      <c r="JNN41" s="528"/>
      <c r="JNO41" s="528"/>
      <c r="JNP41" s="528"/>
      <c r="JNQ41" s="528"/>
      <c r="JNR41" s="528"/>
      <c r="JNS41" s="528"/>
      <c r="JNT41" s="528"/>
      <c r="JNU41" s="528"/>
      <c r="JNV41" s="528"/>
      <c r="JNW41" s="528"/>
      <c r="JNX41" s="528"/>
      <c r="JNY41" s="528"/>
      <c r="JNZ41" s="528"/>
      <c r="JOA41" s="528"/>
      <c r="JOB41" s="528"/>
      <c r="JOC41" s="528"/>
      <c r="JOD41" s="528"/>
      <c r="JOE41" s="528"/>
      <c r="JOF41" s="528"/>
      <c r="JOG41" s="528"/>
      <c r="JOH41" s="528"/>
      <c r="JOI41" s="528"/>
      <c r="JOJ41" s="528"/>
      <c r="JOK41" s="528"/>
      <c r="JOL41" s="528"/>
      <c r="JOM41" s="528"/>
      <c r="JON41" s="528"/>
      <c r="JOO41" s="528"/>
      <c r="JOP41" s="528"/>
      <c r="JOQ41" s="528"/>
      <c r="JOR41" s="528"/>
      <c r="JOS41" s="528"/>
      <c r="JOT41" s="528"/>
      <c r="JOU41" s="528"/>
      <c r="JOV41" s="528"/>
      <c r="JOW41" s="528"/>
      <c r="JOX41" s="528"/>
      <c r="JOY41" s="528"/>
      <c r="JOZ41" s="528"/>
      <c r="JPA41" s="528"/>
      <c r="JPB41" s="528"/>
      <c r="JPC41" s="528"/>
      <c r="JPD41" s="528"/>
      <c r="JPE41" s="528"/>
      <c r="JPF41" s="528"/>
      <c r="JPG41" s="528"/>
      <c r="JPH41" s="528"/>
      <c r="JPI41" s="528"/>
      <c r="JPJ41" s="528"/>
      <c r="JPK41" s="528"/>
      <c r="JPL41" s="528"/>
      <c r="JPM41" s="528"/>
      <c r="JPN41" s="528"/>
      <c r="JPO41" s="528"/>
      <c r="JPP41" s="528"/>
      <c r="JPQ41" s="528"/>
      <c r="JPR41" s="528"/>
      <c r="JPS41" s="528"/>
      <c r="JPT41" s="528"/>
      <c r="JPU41" s="528"/>
      <c r="JPV41" s="528"/>
      <c r="JPW41" s="528"/>
      <c r="JPX41" s="528"/>
      <c r="JPY41" s="528"/>
      <c r="JPZ41" s="528"/>
      <c r="JQA41" s="528"/>
      <c r="JQB41" s="528"/>
      <c r="JQC41" s="528"/>
      <c r="JQD41" s="528"/>
      <c r="JQE41" s="528"/>
      <c r="JQF41" s="528"/>
      <c r="JQG41" s="528"/>
      <c r="JQH41" s="528"/>
      <c r="JQI41" s="528"/>
      <c r="JQJ41" s="528"/>
      <c r="JQK41" s="528"/>
      <c r="JQL41" s="528"/>
      <c r="JQM41" s="528"/>
      <c r="JQN41" s="528"/>
      <c r="JQO41" s="528"/>
      <c r="JQP41" s="528"/>
      <c r="JQQ41" s="528"/>
      <c r="JQR41" s="528"/>
      <c r="JQS41" s="528"/>
      <c r="JQT41" s="528"/>
      <c r="JQU41" s="528"/>
      <c r="JQV41" s="528"/>
      <c r="JQW41" s="528"/>
      <c r="JQX41" s="528"/>
      <c r="JQY41" s="528"/>
      <c r="JQZ41" s="528"/>
      <c r="JRA41" s="528"/>
      <c r="JRB41" s="528"/>
      <c r="JRC41" s="528"/>
      <c r="JRD41" s="528"/>
      <c r="JRE41" s="528"/>
      <c r="JRF41" s="528"/>
      <c r="JRG41" s="528"/>
      <c r="JRH41" s="528"/>
      <c r="JRI41" s="528"/>
      <c r="JRJ41" s="528"/>
      <c r="JRK41" s="528"/>
      <c r="JRL41" s="528"/>
      <c r="JRM41" s="528"/>
      <c r="JRN41" s="528"/>
      <c r="JRO41" s="528"/>
      <c r="JRP41" s="528"/>
      <c r="JRQ41" s="528"/>
      <c r="JRR41" s="528"/>
      <c r="JRS41" s="528"/>
      <c r="JRT41" s="528"/>
      <c r="JRU41" s="528"/>
      <c r="JRV41" s="528"/>
      <c r="JRW41" s="528"/>
      <c r="JRX41" s="528"/>
      <c r="JRY41" s="528"/>
      <c r="JRZ41" s="528"/>
      <c r="JSA41" s="528"/>
      <c r="JSB41" s="528"/>
      <c r="JSC41" s="528"/>
      <c r="JSD41" s="528"/>
      <c r="JSE41" s="528"/>
      <c r="JSF41" s="528"/>
      <c r="JSG41" s="528"/>
      <c r="JSH41" s="528"/>
      <c r="JSI41" s="528"/>
      <c r="JSJ41" s="528"/>
      <c r="JSK41" s="528"/>
      <c r="JSL41" s="528"/>
      <c r="JSM41" s="528"/>
      <c r="JSN41" s="528"/>
      <c r="JSO41" s="528"/>
      <c r="JSP41" s="528"/>
      <c r="JSQ41" s="528"/>
      <c r="JSR41" s="528"/>
      <c r="JSS41" s="528"/>
      <c r="JST41" s="528"/>
      <c r="JSU41" s="528"/>
      <c r="JSV41" s="528"/>
      <c r="JSW41" s="528"/>
      <c r="JSX41" s="528"/>
      <c r="JSY41" s="528"/>
      <c r="JSZ41" s="528"/>
      <c r="JTA41" s="528"/>
      <c r="JTB41" s="528"/>
      <c r="JTC41" s="528"/>
      <c r="JTD41" s="528"/>
      <c r="JTE41" s="528"/>
      <c r="JTF41" s="528"/>
      <c r="JTG41" s="528"/>
      <c r="JTH41" s="528"/>
      <c r="JTI41" s="528"/>
      <c r="JTJ41" s="528"/>
      <c r="JTK41" s="528"/>
      <c r="JTL41" s="528"/>
      <c r="JTM41" s="528"/>
      <c r="JTN41" s="528"/>
      <c r="JTO41" s="528"/>
      <c r="JTP41" s="528"/>
      <c r="JTQ41" s="528"/>
      <c r="JTR41" s="528"/>
      <c r="JTS41" s="528"/>
      <c r="JTT41" s="528"/>
      <c r="JTU41" s="528"/>
      <c r="JTV41" s="528"/>
      <c r="JTW41" s="528"/>
      <c r="JTX41" s="528"/>
      <c r="JTY41" s="528"/>
      <c r="JTZ41" s="528"/>
      <c r="JUA41" s="528"/>
      <c r="JUB41" s="528"/>
      <c r="JUC41" s="528"/>
      <c r="JUD41" s="528"/>
      <c r="JUE41" s="528"/>
      <c r="JUF41" s="528"/>
      <c r="JUG41" s="528"/>
      <c r="JUH41" s="528"/>
      <c r="JUI41" s="528"/>
      <c r="JUJ41" s="528"/>
      <c r="JUK41" s="528"/>
      <c r="JUL41" s="528"/>
      <c r="JUM41" s="528"/>
      <c r="JUN41" s="528"/>
      <c r="JUO41" s="528"/>
      <c r="JUP41" s="528"/>
      <c r="JUQ41" s="528"/>
      <c r="JUR41" s="528"/>
      <c r="JUS41" s="528"/>
      <c r="JUT41" s="528"/>
      <c r="JUU41" s="528"/>
      <c r="JUV41" s="528"/>
      <c r="JUW41" s="528"/>
      <c r="JUX41" s="528"/>
      <c r="JUY41" s="528"/>
      <c r="JUZ41" s="528"/>
      <c r="JVA41" s="528"/>
      <c r="JVB41" s="528"/>
      <c r="JVC41" s="528"/>
      <c r="JVD41" s="528"/>
      <c r="JVE41" s="528"/>
      <c r="JVF41" s="528"/>
      <c r="JVG41" s="528"/>
      <c r="JVH41" s="528"/>
      <c r="JVI41" s="528"/>
      <c r="JVJ41" s="528"/>
      <c r="JVK41" s="528"/>
      <c r="JVL41" s="528"/>
      <c r="JVM41" s="528"/>
      <c r="JVN41" s="528"/>
      <c r="JVO41" s="528"/>
      <c r="JVP41" s="528"/>
      <c r="JVQ41" s="528"/>
      <c r="JVR41" s="528"/>
      <c r="JVS41" s="528"/>
      <c r="JVT41" s="528"/>
      <c r="JVU41" s="528"/>
      <c r="JVV41" s="528"/>
      <c r="JVW41" s="528"/>
      <c r="JVX41" s="528"/>
      <c r="JVY41" s="528"/>
      <c r="JVZ41" s="528"/>
      <c r="JWA41" s="528"/>
      <c r="JWB41" s="528"/>
      <c r="JWC41" s="528"/>
      <c r="JWD41" s="528"/>
      <c r="JWE41" s="528"/>
      <c r="JWF41" s="528"/>
      <c r="JWG41" s="528"/>
      <c r="JWH41" s="528"/>
      <c r="JWI41" s="528"/>
      <c r="JWJ41" s="528"/>
      <c r="JWK41" s="528"/>
      <c r="JWL41" s="528"/>
      <c r="JWM41" s="528"/>
      <c r="JWN41" s="528"/>
      <c r="JWO41" s="528"/>
      <c r="JWP41" s="528"/>
      <c r="JWQ41" s="528"/>
      <c r="JWR41" s="528"/>
      <c r="JWS41" s="528"/>
      <c r="JWT41" s="528"/>
      <c r="JWU41" s="528"/>
      <c r="JWV41" s="528"/>
      <c r="JWW41" s="528"/>
      <c r="JWX41" s="528"/>
      <c r="JWY41" s="528"/>
      <c r="JWZ41" s="528"/>
      <c r="JXA41" s="528"/>
      <c r="JXB41" s="528"/>
      <c r="JXC41" s="528"/>
      <c r="JXD41" s="528"/>
      <c r="JXE41" s="528"/>
      <c r="JXF41" s="528"/>
      <c r="JXG41" s="528"/>
      <c r="JXH41" s="528"/>
      <c r="JXI41" s="528"/>
      <c r="JXJ41" s="528"/>
      <c r="JXK41" s="528"/>
      <c r="JXL41" s="528"/>
      <c r="JXM41" s="528"/>
      <c r="JXN41" s="528"/>
      <c r="JXO41" s="528"/>
      <c r="JXP41" s="528"/>
      <c r="JXQ41" s="528"/>
      <c r="JXR41" s="528"/>
      <c r="JXS41" s="528"/>
      <c r="JXT41" s="528"/>
      <c r="JXU41" s="528"/>
      <c r="JXV41" s="528"/>
      <c r="JXW41" s="528"/>
      <c r="JXX41" s="528"/>
      <c r="JXY41" s="528"/>
      <c r="JXZ41" s="528"/>
      <c r="JYA41" s="528"/>
      <c r="JYB41" s="528"/>
      <c r="JYC41" s="528"/>
      <c r="JYD41" s="528"/>
      <c r="JYE41" s="528"/>
      <c r="JYF41" s="528"/>
      <c r="JYG41" s="528"/>
      <c r="JYH41" s="528"/>
      <c r="JYI41" s="528"/>
      <c r="JYJ41" s="528"/>
      <c r="JYK41" s="528"/>
      <c r="JYL41" s="528"/>
      <c r="JYM41" s="528"/>
      <c r="JYN41" s="528"/>
      <c r="JYO41" s="528"/>
      <c r="JYP41" s="528"/>
      <c r="JYQ41" s="528"/>
      <c r="JYR41" s="528"/>
      <c r="JYS41" s="528"/>
      <c r="JYT41" s="528"/>
      <c r="JYU41" s="528"/>
      <c r="JYV41" s="528"/>
      <c r="JYW41" s="528"/>
      <c r="JYX41" s="528"/>
      <c r="JYY41" s="528"/>
      <c r="JYZ41" s="528"/>
      <c r="JZA41" s="528"/>
      <c r="JZB41" s="528"/>
      <c r="JZC41" s="528"/>
      <c r="JZD41" s="528"/>
      <c r="JZE41" s="528"/>
      <c r="JZF41" s="528"/>
      <c r="JZG41" s="528"/>
      <c r="JZH41" s="528"/>
      <c r="JZI41" s="528"/>
      <c r="JZJ41" s="528"/>
      <c r="JZK41" s="528"/>
      <c r="JZL41" s="528"/>
      <c r="JZM41" s="528"/>
      <c r="JZN41" s="528"/>
      <c r="JZO41" s="528"/>
      <c r="JZP41" s="528"/>
      <c r="JZQ41" s="528"/>
      <c r="JZR41" s="528"/>
      <c r="JZS41" s="528"/>
      <c r="JZT41" s="528"/>
      <c r="JZU41" s="528"/>
      <c r="JZV41" s="528"/>
      <c r="JZW41" s="528"/>
      <c r="JZX41" s="528"/>
      <c r="JZY41" s="528"/>
      <c r="JZZ41" s="528"/>
      <c r="KAA41" s="528"/>
      <c r="KAB41" s="528"/>
      <c r="KAC41" s="528"/>
      <c r="KAD41" s="528"/>
      <c r="KAE41" s="528"/>
      <c r="KAF41" s="528"/>
      <c r="KAG41" s="528"/>
      <c r="KAH41" s="528"/>
      <c r="KAI41" s="528"/>
      <c r="KAJ41" s="528"/>
      <c r="KAK41" s="528"/>
      <c r="KAL41" s="528"/>
      <c r="KAM41" s="528"/>
      <c r="KAN41" s="528"/>
      <c r="KAO41" s="528"/>
      <c r="KAP41" s="528"/>
      <c r="KAQ41" s="528"/>
      <c r="KAR41" s="528"/>
      <c r="KAS41" s="528"/>
      <c r="KAT41" s="528"/>
      <c r="KAU41" s="528"/>
      <c r="KAV41" s="528"/>
      <c r="KAW41" s="528"/>
      <c r="KAX41" s="528"/>
      <c r="KAY41" s="528"/>
      <c r="KAZ41" s="528"/>
      <c r="KBA41" s="528"/>
      <c r="KBB41" s="528"/>
      <c r="KBC41" s="528"/>
      <c r="KBD41" s="528"/>
      <c r="KBE41" s="528"/>
      <c r="KBF41" s="528"/>
      <c r="KBG41" s="528"/>
      <c r="KBH41" s="528"/>
      <c r="KBI41" s="528"/>
      <c r="KBJ41" s="528"/>
      <c r="KBK41" s="528"/>
      <c r="KBL41" s="528"/>
      <c r="KBM41" s="528"/>
      <c r="KBN41" s="528"/>
      <c r="KBO41" s="528"/>
      <c r="KBP41" s="528"/>
      <c r="KBQ41" s="528"/>
      <c r="KBR41" s="528"/>
      <c r="KBS41" s="528"/>
      <c r="KBT41" s="528"/>
      <c r="KBU41" s="528"/>
      <c r="KBV41" s="528"/>
      <c r="KBW41" s="528"/>
      <c r="KBX41" s="528"/>
      <c r="KBY41" s="528"/>
      <c r="KBZ41" s="528"/>
      <c r="KCA41" s="528"/>
      <c r="KCB41" s="528"/>
      <c r="KCC41" s="528"/>
      <c r="KCD41" s="528"/>
      <c r="KCE41" s="528"/>
      <c r="KCF41" s="528"/>
      <c r="KCG41" s="528"/>
      <c r="KCH41" s="528"/>
      <c r="KCI41" s="528"/>
      <c r="KCJ41" s="528"/>
      <c r="KCK41" s="528"/>
      <c r="KCL41" s="528"/>
      <c r="KCM41" s="528"/>
      <c r="KCN41" s="528"/>
      <c r="KCO41" s="528"/>
      <c r="KCP41" s="528"/>
      <c r="KCQ41" s="528"/>
      <c r="KCR41" s="528"/>
      <c r="KCS41" s="528"/>
      <c r="KCT41" s="528"/>
      <c r="KCU41" s="528"/>
      <c r="KCV41" s="528"/>
      <c r="KCW41" s="528"/>
      <c r="KCX41" s="528"/>
      <c r="KCY41" s="528"/>
      <c r="KCZ41" s="528"/>
      <c r="KDA41" s="528"/>
      <c r="KDB41" s="528"/>
      <c r="KDC41" s="528"/>
      <c r="KDD41" s="528"/>
      <c r="KDE41" s="528"/>
      <c r="KDF41" s="528"/>
      <c r="KDG41" s="528"/>
      <c r="KDH41" s="528"/>
      <c r="KDI41" s="528"/>
      <c r="KDJ41" s="528"/>
      <c r="KDK41" s="528"/>
      <c r="KDL41" s="528"/>
      <c r="KDM41" s="528"/>
      <c r="KDN41" s="528"/>
      <c r="KDO41" s="528"/>
      <c r="KDP41" s="528"/>
      <c r="KDQ41" s="528"/>
      <c r="KDR41" s="528"/>
      <c r="KDS41" s="528"/>
      <c r="KDT41" s="528"/>
      <c r="KDU41" s="528"/>
      <c r="KDV41" s="528"/>
      <c r="KDW41" s="528"/>
      <c r="KDX41" s="528"/>
      <c r="KDY41" s="528"/>
      <c r="KDZ41" s="528"/>
      <c r="KEA41" s="528"/>
      <c r="KEB41" s="528"/>
      <c r="KEC41" s="528"/>
      <c r="KED41" s="528"/>
      <c r="KEE41" s="528"/>
      <c r="KEF41" s="528"/>
      <c r="KEG41" s="528"/>
      <c r="KEH41" s="528"/>
      <c r="KEI41" s="528"/>
      <c r="KEJ41" s="528"/>
      <c r="KEK41" s="528"/>
      <c r="KEL41" s="528"/>
      <c r="KEM41" s="528"/>
      <c r="KEN41" s="528"/>
      <c r="KEO41" s="528"/>
      <c r="KEP41" s="528"/>
      <c r="KEQ41" s="528"/>
      <c r="KER41" s="528"/>
      <c r="KES41" s="528"/>
      <c r="KET41" s="528"/>
      <c r="KEU41" s="528"/>
      <c r="KEV41" s="528"/>
      <c r="KEW41" s="528"/>
      <c r="KEX41" s="528"/>
      <c r="KEY41" s="528"/>
      <c r="KEZ41" s="528"/>
      <c r="KFA41" s="528"/>
      <c r="KFB41" s="528"/>
      <c r="KFC41" s="528"/>
      <c r="KFD41" s="528"/>
      <c r="KFE41" s="528"/>
      <c r="KFF41" s="528"/>
      <c r="KFG41" s="528"/>
      <c r="KFH41" s="528"/>
      <c r="KFI41" s="528"/>
      <c r="KFJ41" s="528"/>
      <c r="KFK41" s="528"/>
      <c r="KFL41" s="528"/>
      <c r="KFM41" s="528"/>
      <c r="KFN41" s="528"/>
      <c r="KFO41" s="528"/>
      <c r="KFP41" s="528"/>
      <c r="KFQ41" s="528"/>
      <c r="KFR41" s="528"/>
      <c r="KFS41" s="528"/>
      <c r="KFT41" s="528"/>
      <c r="KFU41" s="528"/>
      <c r="KFV41" s="528"/>
      <c r="KFW41" s="528"/>
      <c r="KFX41" s="528"/>
      <c r="KFY41" s="528"/>
      <c r="KFZ41" s="528"/>
      <c r="KGA41" s="528"/>
      <c r="KGB41" s="528"/>
      <c r="KGC41" s="528"/>
      <c r="KGD41" s="528"/>
      <c r="KGE41" s="528"/>
      <c r="KGF41" s="528"/>
      <c r="KGG41" s="528"/>
      <c r="KGH41" s="528"/>
      <c r="KGI41" s="528"/>
      <c r="KGJ41" s="528"/>
      <c r="KGK41" s="528"/>
      <c r="KGL41" s="528"/>
      <c r="KGM41" s="528"/>
      <c r="KGN41" s="528"/>
      <c r="KGO41" s="528"/>
      <c r="KGP41" s="528"/>
      <c r="KGQ41" s="528"/>
      <c r="KGR41" s="528"/>
      <c r="KGS41" s="528"/>
      <c r="KGT41" s="528"/>
      <c r="KGU41" s="528"/>
      <c r="KGV41" s="528"/>
      <c r="KGW41" s="528"/>
      <c r="KGX41" s="528"/>
      <c r="KGY41" s="528"/>
      <c r="KGZ41" s="528"/>
      <c r="KHA41" s="528"/>
      <c r="KHB41" s="528"/>
      <c r="KHC41" s="528"/>
      <c r="KHD41" s="528"/>
      <c r="KHE41" s="528"/>
      <c r="KHF41" s="528"/>
      <c r="KHG41" s="528"/>
      <c r="KHH41" s="528"/>
      <c r="KHI41" s="528"/>
      <c r="KHJ41" s="528"/>
      <c r="KHK41" s="528"/>
      <c r="KHL41" s="528"/>
      <c r="KHM41" s="528"/>
      <c r="KHN41" s="528"/>
      <c r="KHO41" s="528"/>
      <c r="KHP41" s="528"/>
      <c r="KHQ41" s="528"/>
      <c r="KHR41" s="528"/>
      <c r="KHS41" s="528"/>
      <c r="KHT41" s="528"/>
      <c r="KHU41" s="528"/>
      <c r="KHV41" s="528"/>
      <c r="KHW41" s="528"/>
      <c r="KHX41" s="528"/>
      <c r="KHY41" s="528"/>
      <c r="KHZ41" s="528"/>
      <c r="KIA41" s="528"/>
      <c r="KIB41" s="528"/>
      <c r="KIC41" s="528"/>
      <c r="KID41" s="528"/>
      <c r="KIE41" s="528"/>
      <c r="KIF41" s="528"/>
      <c r="KIG41" s="528"/>
      <c r="KIH41" s="528"/>
      <c r="KII41" s="528"/>
      <c r="KIJ41" s="528"/>
      <c r="KIK41" s="528"/>
      <c r="KIL41" s="528"/>
      <c r="KIM41" s="528"/>
      <c r="KIN41" s="528"/>
      <c r="KIO41" s="528"/>
      <c r="KIP41" s="528"/>
      <c r="KIQ41" s="528"/>
      <c r="KIR41" s="528"/>
      <c r="KIS41" s="528"/>
      <c r="KIT41" s="528"/>
      <c r="KIU41" s="528"/>
      <c r="KIV41" s="528"/>
      <c r="KIW41" s="528"/>
      <c r="KIX41" s="528"/>
      <c r="KIY41" s="528"/>
      <c r="KIZ41" s="528"/>
      <c r="KJA41" s="528"/>
      <c r="KJB41" s="528"/>
      <c r="KJC41" s="528"/>
      <c r="KJD41" s="528"/>
      <c r="KJE41" s="528"/>
      <c r="KJF41" s="528"/>
      <c r="KJG41" s="528"/>
      <c r="KJH41" s="528"/>
      <c r="KJI41" s="528"/>
      <c r="KJJ41" s="528"/>
      <c r="KJK41" s="528"/>
      <c r="KJL41" s="528"/>
      <c r="KJM41" s="528"/>
      <c r="KJN41" s="528"/>
      <c r="KJO41" s="528"/>
      <c r="KJP41" s="528"/>
      <c r="KJQ41" s="528"/>
      <c r="KJR41" s="528"/>
      <c r="KJS41" s="528"/>
      <c r="KJT41" s="528"/>
      <c r="KJU41" s="528"/>
      <c r="KJV41" s="528"/>
      <c r="KJW41" s="528"/>
      <c r="KJX41" s="528"/>
      <c r="KJY41" s="528"/>
      <c r="KJZ41" s="528"/>
      <c r="KKA41" s="528"/>
      <c r="KKB41" s="528"/>
      <c r="KKC41" s="528"/>
      <c r="KKD41" s="528"/>
      <c r="KKE41" s="528"/>
      <c r="KKF41" s="528"/>
      <c r="KKG41" s="528"/>
      <c r="KKH41" s="528"/>
      <c r="KKI41" s="528"/>
      <c r="KKJ41" s="528"/>
      <c r="KKK41" s="528"/>
      <c r="KKL41" s="528"/>
      <c r="KKM41" s="528"/>
      <c r="KKN41" s="528"/>
      <c r="KKO41" s="528"/>
      <c r="KKP41" s="528"/>
      <c r="KKQ41" s="528"/>
      <c r="KKR41" s="528"/>
      <c r="KKS41" s="528"/>
      <c r="KKT41" s="528"/>
      <c r="KKU41" s="528"/>
      <c r="KKV41" s="528"/>
      <c r="KKW41" s="528"/>
      <c r="KKX41" s="528"/>
      <c r="KKY41" s="528"/>
      <c r="KKZ41" s="528"/>
      <c r="KLA41" s="528"/>
      <c r="KLB41" s="528"/>
      <c r="KLC41" s="528"/>
      <c r="KLD41" s="528"/>
      <c r="KLE41" s="528"/>
      <c r="KLF41" s="528"/>
      <c r="KLG41" s="528"/>
      <c r="KLH41" s="528"/>
      <c r="KLI41" s="528"/>
      <c r="KLJ41" s="528"/>
      <c r="KLK41" s="528"/>
      <c r="KLL41" s="528"/>
      <c r="KLM41" s="528"/>
      <c r="KLN41" s="528"/>
      <c r="KLO41" s="528"/>
      <c r="KLP41" s="528"/>
      <c r="KLQ41" s="528"/>
      <c r="KLR41" s="528"/>
      <c r="KLS41" s="528"/>
      <c r="KLT41" s="528"/>
      <c r="KLU41" s="528"/>
      <c r="KLV41" s="528"/>
      <c r="KLW41" s="528"/>
      <c r="KLX41" s="528"/>
      <c r="KLY41" s="528"/>
      <c r="KLZ41" s="528"/>
      <c r="KMA41" s="528"/>
      <c r="KMB41" s="528"/>
      <c r="KMC41" s="528"/>
      <c r="KMD41" s="528"/>
      <c r="KME41" s="528"/>
      <c r="KMF41" s="528"/>
      <c r="KMG41" s="528"/>
      <c r="KMH41" s="528"/>
      <c r="KMI41" s="528"/>
      <c r="KMJ41" s="528"/>
      <c r="KMK41" s="528"/>
      <c r="KML41" s="528"/>
      <c r="KMM41" s="528"/>
      <c r="KMN41" s="528"/>
      <c r="KMO41" s="528"/>
      <c r="KMP41" s="528"/>
      <c r="KMQ41" s="528"/>
      <c r="KMR41" s="528"/>
      <c r="KMS41" s="528"/>
      <c r="KMT41" s="528"/>
      <c r="KMU41" s="528"/>
      <c r="KMV41" s="528"/>
      <c r="KMW41" s="528"/>
      <c r="KMX41" s="528"/>
      <c r="KMY41" s="528"/>
      <c r="KMZ41" s="528"/>
      <c r="KNA41" s="528"/>
      <c r="KNB41" s="528"/>
      <c r="KNC41" s="528"/>
      <c r="KND41" s="528"/>
      <c r="KNE41" s="528"/>
      <c r="KNF41" s="528"/>
      <c r="KNG41" s="528"/>
      <c r="KNH41" s="528"/>
      <c r="KNI41" s="528"/>
      <c r="KNJ41" s="528"/>
      <c r="KNK41" s="528"/>
      <c r="KNL41" s="528"/>
      <c r="KNM41" s="528"/>
      <c r="KNN41" s="528"/>
      <c r="KNO41" s="528"/>
      <c r="KNP41" s="528"/>
      <c r="KNQ41" s="528"/>
      <c r="KNR41" s="528"/>
      <c r="KNS41" s="528"/>
      <c r="KNT41" s="528"/>
      <c r="KNU41" s="528"/>
      <c r="KNV41" s="528"/>
      <c r="KNW41" s="528"/>
      <c r="KNX41" s="528"/>
      <c r="KNY41" s="528"/>
      <c r="KNZ41" s="528"/>
      <c r="KOA41" s="528"/>
      <c r="KOB41" s="528"/>
      <c r="KOC41" s="528"/>
      <c r="KOD41" s="528"/>
      <c r="KOE41" s="528"/>
      <c r="KOF41" s="528"/>
      <c r="KOG41" s="528"/>
      <c r="KOH41" s="528"/>
      <c r="KOI41" s="528"/>
      <c r="KOJ41" s="528"/>
      <c r="KOK41" s="528"/>
      <c r="KOL41" s="528"/>
      <c r="KOM41" s="528"/>
      <c r="KON41" s="528"/>
      <c r="KOO41" s="528"/>
      <c r="KOP41" s="528"/>
      <c r="KOQ41" s="528"/>
      <c r="KOR41" s="528"/>
      <c r="KOS41" s="528"/>
      <c r="KOT41" s="528"/>
      <c r="KOU41" s="528"/>
      <c r="KOV41" s="528"/>
      <c r="KOW41" s="528"/>
      <c r="KOX41" s="528"/>
      <c r="KOY41" s="528"/>
      <c r="KOZ41" s="528"/>
      <c r="KPA41" s="528"/>
      <c r="KPB41" s="528"/>
      <c r="KPC41" s="528"/>
      <c r="KPD41" s="528"/>
      <c r="KPE41" s="528"/>
      <c r="KPF41" s="528"/>
      <c r="KPG41" s="528"/>
      <c r="KPH41" s="528"/>
      <c r="KPI41" s="528"/>
      <c r="KPJ41" s="528"/>
      <c r="KPK41" s="528"/>
      <c r="KPL41" s="528"/>
      <c r="KPM41" s="528"/>
      <c r="KPN41" s="528"/>
      <c r="KPO41" s="528"/>
      <c r="KPP41" s="528"/>
      <c r="KPQ41" s="528"/>
      <c r="KPR41" s="528"/>
      <c r="KPS41" s="528"/>
      <c r="KPT41" s="528"/>
      <c r="KPU41" s="528"/>
      <c r="KPV41" s="528"/>
      <c r="KPW41" s="528"/>
      <c r="KPX41" s="528"/>
      <c r="KPY41" s="528"/>
      <c r="KPZ41" s="528"/>
      <c r="KQA41" s="528"/>
      <c r="KQB41" s="528"/>
      <c r="KQC41" s="528"/>
      <c r="KQD41" s="528"/>
      <c r="KQE41" s="528"/>
      <c r="KQF41" s="528"/>
      <c r="KQG41" s="528"/>
      <c r="KQH41" s="528"/>
      <c r="KQI41" s="528"/>
      <c r="KQJ41" s="528"/>
      <c r="KQK41" s="528"/>
      <c r="KQL41" s="528"/>
      <c r="KQM41" s="528"/>
      <c r="KQN41" s="528"/>
      <c r="KQO41" s="528"/>
      <c r="KQP41" s="528"/>
      <c r="KQQ41" s="528"/>
      <c r="KQR41" s="528"/>
      <c r="KQS41" s="528"/>
      <c r="KQT41" s="528"/>
      <c r="KQU41" s="528"/>
      <c r="KQV41" s="528"/>
      <c r="KQW41" s="528"/>
      <c r="KQX41" s="528"/>
      <c r="KQY41" s="528"/>
      <c r="KQZ41" s="528"/>
      <c r="KRA41" s="528"/>
      <c r="KRB41" s="528"/>
      <c r="KRC41" s="528"/>
      <c r="KRD41" s="528"/>
      <c r="KRE41" s="528"/>
      <c r="KRF41" s="528"/>
      <c r="KRG41" s="528"/>
      <c r="KRH41" s="528"/>
      <c r="KRI41" s="528"/>
      <c r="KRJ41" s="528"/>
      <c r="KRK41" s="528"/>
      <c r="KRL41" s="528"/>
      <c r="KRM41" s="528"/>
      <c r="KRN41" s="528"/>
      <c r="KRO41" s="528"/>
      <c r="KRP41" s="528"/>
      <c r="KRQ41" s="528"/>
      <c r="KRR41" s="528"/>
      <c r="KRS41" s="528"/>
      <c r="KRT41" s="528"/>
      <c r="KRU41" s="528"/>
      <c r="KRV41" s="528"/>
      <c r="KRW41" s="528"/>
      <c r="KRX41" s="528"/>
      <c r="KRY41" s="528"/>
      <c r="KRZ41" s="528"/>
      <c r="KSA41" s="528"/>
      <c r="KSB41" s="528"/>
      <c r="KSC41" s="528"/>
      <c r="KSD41" s="528"/>
      <c r="KSE41" s="528"/>
      <c r="KSF41" s="528"/>
      <c r="KSG41" s="528"/>
      <c r="KSH41" s="528"/>
      <c r="KSI41" s="528"/>
      <c r="KSJ41" s="528"/>
      <c r="KSK41" s="528"/>
      <c r="KSL41" s="528"/>
      <c r="KSM41" s="528"/>
      <c r="KSN41" s="528"/>
      <c r="KSO41" s="528"/>
      <c r="KSP41" s="528"/>
      <c r="KSQ41" s="528"/>
      <c r="KSR41" s="528"/>
      <c r="KSS41" s="528"/>
      <c r="KST41" s="528"/>
      <c r="KSU41" s="528"/>
      <c r="KSV41" s="528"/>
      <c r="KSW41" s="528"/>
      <c r="KSX41" s="528"/>
      <c r="KSY41" s="528"/>
      <c r="KSZ41" s="528"/>
      <c r="KTA41" s="528"/>
      <c r="KTB41" s="528"/>
      <c r="KTC41" s="528"/>
      <c r="KTD41" s="528"/>
      <c r="KTE41" s="528"/>
      <c r="KTF41" s="528"/>
      <c r="KTG41" s="528"/>
      <c r="KTH41" s="528"/>
      <c r="KTI41" s="528"/>
      <c r="KTJ41" s="528"/>
      <c r="KTK41" s="528"/>
      <c r="KTL41" s="528"/>
      <c r="KTM41" s="528"/>
      <c r="KTN41" s="528"/>
      <c r="KTO41" s="528"/>
      <c r="KTP41" s="528"/>
      <c r="KTQ41" s="528"/>
      <c r="KTR41" s="528"/>
      <c r="KTS41" s="528"/>
      <c r="KTT41" s="528"/>
      <c r="KTU41" s="528"/>
      <c r="KTV41" s="528"/>
      <c r="KTW41" s="528"/>
      <c r="KTX41" s="528"/>
      <c r="KTY41" s="528"/>
      <c r="KTZ41" s="528"/>
      <c r="KUA41" s="528"/>
      <c r="KUB41" s="528"/>
      <c r="KUC41" s="528"/>
      <c r="KUD41" s="528"/>
      <c r="KUE41" s="528"/>
      <c r="KUF41" s="528"/>
      <c r="KUG41" s="528"/>
      <c r="KUH41" s="528"/>
      <c r="KUI41" s="528"/>
      <c r="KUJ41" s="528"/>
      <c r="KUK41" s="528"/>
      <c r="KUL41" s="528"/>
      <c r="KUM41" s="528"/>
      <c r="KUN41" s="528"/>
      <c r="KUO41" s="528"/>
      <c r="KUP41" s="528"/>
      <c r="KUQ41" s="528"/>
      <c r="KUR41" s="528"/>
      <c r="KUS41" s="528"/>
      <c r="KUT41" s="528"/>
      <c r="KUU41" s="528"/>
      <c r="KUV41" s="528"/>
      <c r="KUW41" s="528"/>
      <c r="KUX41" s="528"/>
      <c r="KUY41" s="528"/>
      <c r="KUZ41" s="528"/>
      <c r="KVA41" s="528"/>
      <c r="KVB41" s="528"/>
      <c r="KVC41" s="528"/>
      <c r="KVD41" s="528"/>
      <c r="KVE41" s="528"/>
      <c r="KVF41" s="528"/>
      <c r="KVG41" s="528"/>
      <c r="KVH41" s="528"/>
      <c r="KVI41" s="528"/>
      <c r="KVJ41" s="528"/>
      <c r="KVK41" s="528"/>
      <c r="KVL41" s="528"/>
      <c r="KVM41" s="528"/>
      <c r="KVN41" s="528"/>
      <c r="KVO41" s="528"/>
      <c r="KVP41" s="528"/>
      <c r="KVQ41" s="528"/>
      <c r="KVR41" s="528"/>
      <c r="KVS41" s="528"/>
      <c r="KVT41" s="528"/>
      <c r="KVU41" s="528"/>
      <c r="KVV41" s="528"/>
      <c r="KVW41" s="528"/>
      <c r="KVX41" s="528"/>
      <c r="KVY41" s="528"/>
      <c r="KVZ41" s="528"/>
      <c r="KWA41" s="528"/>
      <c r="KWB41" s="528"/>
      <c r="KWC41" s="528"/>
      <c r="KWD41" s="528"/>
      <c r="KWE41" s="528"/>
      <c r="KWF41" s="528"/>
      <c r="KWG41" s="528"/>
      <c r="KWH41" s="528"/>
      <c r="KWI41" s="528"/>
      <c r="KWJ41" s="528"/>
      <c r="KWK41" s="528"/>
      <c r="KWL41" s="528"/>
      <c r="KWM41" s="528"/>
      <c r="KWN41" s="528"/>
      <c r="KWO41" s="528"/>
      <c r="KWP41" s="528"/>
      <c r="KWQ41" s="528"/>
      <c r="KWR41" s="528"/>
      <c r="KWS41" s="528"/>
      <c r="KWT41" s="528"/>
      <c r="KWU41" s="528"/>
      <c r="KWV41" s="528"/>
      <c r="KWW41" s="528"/>
      <c r="KWX41" s="528"/>
      <c r="KWY41" s="528"/>
      <c r="KWZ41" s="528"/>
      <c r="KXA41" s="528"/>
      <c r="KXB41" s="528"/>
      <c r="KXC41" s="528"/>
      <c r="KXD41" s="528"/>
      <c r="KXE41" s="528"/>
      <c r="KXF41" s="528"/>
      <c r="KXG41" s="528"/>
      <c r="KXH41" s="528"/>
      <c r="KXI41" s="528"/>
      <c r="KXJ41" s="528"/>
      <c r="KXK41" s="528"/>
      <c r="KXL41" s="528"/>
      <c r="KXM41" s="528"/>
      <c r="KXN41" s="528"/>
      <c r="KXO41" s="528"/>
      <c r="KXP41" s="528"/>
      <c r="KXQ41" s="528"/>
      <c r="KXR41" s="528"/>
      <c r="KXS41" s="528"/>
      <c r="KXT41" s="528"/>
      <c r="KXU41" s="528"/>
      <c r="KXV41" s="528"/>
      <c r="KXW41" s="528"/>
      <c r="KXX41" s="528"/>
      <c r="KXY41" s="528"/>
      <c r="KXZ41" s="528"/>
      <c r="KYA41" s="528"/>
      <c r="KYB41" s="528"/>
      <c r="KYC41" s="528"/>
      <c r="KYD41" s="528"/>
      <c r="KYE41" s="528"/>
      <c r="KYF41" s="528"/>
      <c r="KYG41" s="528"/>
      <c r="KYH41" s="528"/>
      <c r="KYI41" s="528"/>
      <c r="KYJ41" s="528"/>
      <c r="KYK41" s="528"/>
      <c r="KYL41" s="528"/>
      <c r="KYM41" s="528"/>
      <c r="KYN41" s="528"/>
      <c r="KYO41" s="528"/>
      <c r="KYP41" s="528"/>
      <c r="KYQ41" s="528"/>
      <c r="KYR41" s="528"/>
      <c r="KYS41" s="528"/>
      <c r="KYT41" s="528"/>
      <c r="KYU41" s="528"/>
      <c r="KYV41" s="528"/>
      <c r="KYW41" s="528"/>
      <c r="KYX41" s="528"/>
      <c r="KYY41" s="528"/>
      <c r="KYZ41" s="528"/>
      <c r="KZA41" s="528"/>
      <c r="KZB41" s="528"/>
      <c r="KZC41" s="528"/>
      <c r="KZD41" s="528"/>
      <c r="KZE41" s="528"/>
      <c r="KZF41" s="528"/>
      <c r="KZG41" s="528"/>
      <c r="KZH41" s="528"/>
      <c r="KZI41" s="528"/>
      <c r="KZJ41" s="528"/>
      <c r="KZK41" s="528"/>
      <c r="KZL41" s="528"/>
      <c r="KZM41" s="528"/>
      <c r="KZN41" s="528"/>
      <c r="KZO41" s="528"/>
      <c r="KZP41" s="528"/>
      <c r="KZQ41" s="528"/>
      <c r="KZR41" s="528"/>
      <c r="KZS41" s="528"/>
      <c r="KZT41" s="528"/>
      <c r="KZU41" s="528"/>
      <c r="KZV41" s="528"/>
      <c r="KZW41" s="528"/>
      <c r="KZX41" s="528"/>
      <c r="KZY41" s="528"/>
      <c r="KZZ41" s="528"/>
      <c r="LAA41" s="528"/>
      <c r="LAB41" s="528"/>
      <c r="LAC41" s="528"/>
      <c r="LAD41" s="528"/>
      <c r="LAE41" s="528"/>
      <c r="LAF41" s="528"/>
      <c r="LAG41" s="528"/>
      <c r="LAH41" s="528"/>
      <c r="LAI41" s="528"/>
      <c r="LAJ41" s="528"/>
      <c r="LAK41" s="528"/>
      <c r="LAL41" s="528"/>
      <c r="LAM41" s="528"/>
      <c r="LAN41" s="528"/>
      <c r="LAO41" s="528"/>
      <c r="LAP41" s="528"/>
      <c r="LAQ41" s="528"/>
      <c r="LAR41" s="528"/>
      <c r="LAS41" s="528"/>
      <c r="LAT41" s="528"/>
      <c r="LAU41" s="528"/>
      <c r="LAV41" s="528"/>
      <c r="LAW41" s="528"/>
      <c r="LAX41" s="528"/>
      <c r="LAY41" s="528"/>
      <c r="LAZ41" s="528"/>
      <c r="LBA41" s="528"/>
      <c r="LBB41" s="528"/>
      <c r="LBC41" s="528"/>
      <c r="LBD41" s="528"/>
      <c r="LBE41" s="528"/>
      <c r="LBF41" s="528"/>
      <c r="LBG41" s="528"/>
      <c r="LBH41" s="528"/>
      <c r="LBI41" s="528"/>
      <c r="LBJ41" s="528"/>
      <c r="LBK41" s="528"/>
      <c r="LBL41" s="528"/>
      <c r="LBM41" s="528"/>
      <c r="LBN41" s="528"/>
      <c r="LBO41" s="528"/>
      <c r="LBP41" s="528"/>
      <c r="LBQ41" s="528"/>
      <c r="LBR41" s="528"/>
      <c r="LBS41" s="528"/>
      <c r="LBT41" s="528"/>
      <c r="LBU41" s="528"/>
      <c r="LBV41" s="528"/>
      <c r="LBW41" s="528"/>
      <c r="LBX41" s="528"/>
      <c r="LBY41" s="528"/>
      <c r="LBZ41" s="528"/>
      <c r="LCA41" s="528"/>
      <c r="LCB41" s="528"/>
      <c r="LCC41" s="528"/>
      <c r="LCD41" s="528"/>
      <c r="LCE41" s="528"/>
      <c r="LCF41" s="528"/>
      <c r="LCG41" s="528"/>
      <c r="LCH41" s="528"/>
      <c r="LCI41" s="528"/>
      <c r="LCJ41" s="528"/>
      <c r="LCK41" s="528"/>
      <c r="LCL41" s="528"/>
      <c r="LCM41" s="528"/>
      <c r="LCN41" s="528"/>
      <c r="LCO41" s="528"/>
      <c r="LCP41" s="528"/>
      <c r="LCQ41" s="528"/>
      <c r="LCR41" s="528"/>
      <c r="LCS41" s="528"/>
      <c r="LCT41" s="528"/>
      <c r="LCU41" s="528"/>
      <c r="LCV41" s="528"/>
      <c r="LCW41" s="528"/>
      <c r="LCX41" s="528"/>
      <c r="LCY41" s="528"/>
      <c r="LCZ41" s="528"/>
      <c r="LDA41" s="528"/>
      <c r="LDB41" s="528"/>
      <c r="LDC41" s="528"/>
      <c r="LDD41" s="528"/>
      <c r="LDE41" s="528"/>
      <c r="LDF41" s="528"/>
      <c r="LDG41" s="528"/>
      <c r="LDH41" s="528"/>
      <c r="LDI41" s="528"/>
      <c r="LDJ41" s="528"/>
      <c r="LDK41" s="528"/>
      <c r="LDL41" s="528"/>
      <c r="LDM41" s="528"/>
      <c r="LDN41" s="528"/>
      <c r="LDO41" s="528"/>
      <c r="LDP41" s="528"/>
      <c r="LDQ41" s="528"/>
      <c r="LDR41" s="528"/>
      <c r="LDS41" s="528"/>
      <c r="LDT41" s="528"/>
      <c r="LDU41" s="528"/>
      <c r="LDV41" s="528"/>
      <c r="LDW41" s="528"/>
      <c r="LDX41" s="528"/>
      <c r="LDY41" s="528"/>
      <c r="LDZ41" s="528"/>
      <c r="LEA41" s="528"/>
      <c r="LEB41" s="528"/>
      <c r="LEC41" s="528"/>
      <c r="LED41" s="528"/>
      <c r="LEE41" s="528"/>
      <c r="LEF41" s="528"/>
      <c r="LEG41" s="528"/>
      <c r="LEH41" s="528"/>
      <c r="LEI41" s="528"/>
      <c r="LEJ41" s="528"/>
      <c r="LEK41" s="528"/>
      <c r="LEL41" s="528"/>
      <c r="LEM41" s="528"/>
      <c r="LEN41" s="528"/>
      <c r="LEO41" s="528"/>
      <c r="LEP41" s="528"/>
      <c r="LEQ41" s="528"/>
      <c r="LER41" s="528"/>
      <c r="LES41" s="528"/>
      <c r="LET41" s="528"/>
      <c r="LEU41" s="528"/>
      <c r="LEV41" s="528"/>
      <c r="LEW41" s="528"/>
      <c r="LEX41" s="528"/>
      <c r="LEY41" s="528"/>
      <c r="LEZ41" s="528"/>
      <c r="LFA41" s="528"/>
      <c r="LFB41" s="528"/>
      <c r="LFC41" s="528"/>
      <c r="LFD41" s="528"/>
      <c r="LFE41" s="528"/>
      <c r="LFF41" s="528"/>
      <c r="LFG41" s="528"/>
      <c r="LFH41" s="528"/>
      <c r="LFI41" s="528"/>
      <c r="LFJ41" s="528"/>
      <c r="LFK41" s="528"/>
      <c r="LFL41" s="528"/>
      <c r="LFM41" s="528"/>
      <c r="LFN41" s="528"/>
      <c r="LFO41" s="528"/>
      <c r="LFP41" s="528"/>
      <c r="LFQ41" s="528"/>
      <c r="LFR41" s="528"/>
      <c r="LFS41" s="528"/>
      <c r="LFT41" s="528"/>
      <c r="LFU41" s="528"/>
      <c r="LFV41" s="528"/>
      <c r="LFW41" s="528"/>
      <c r="LFX41" s="528"/>
      <c r="LFY41" s="528"/>
      <c r="LFZ41" s="528"/>
      <c r="LGA41" s="528"/>
      <c r="LGB41" s="528"/>
      <c r="LGC41" s="528"/>
      <c r="LGD41" s="528"/>
      <c r="LGE41" s="528"/>
      <c r="LGF41" s="528"/>
      <c r="LGG41" s="528"/>
      <c r="LGH41" s="528"/>
      <c r="LGI41" s="528"/>
      <c r="LGJ41" s="528"/>
      <c r="LGK41" s="528"/>
      <c r="LGL41" s="528"/>
      <c r="LGM41" s="528"/>
      <c r="LGN41" s="528"/>
      <c r="LGO41" s="528"/>
      <c r="LGP41" s="528"/>
      <c r="LGQ41" s="528"/>
      <c r="LGR41" s="528"/>
      <c r="LGS41" s="528"/>
      <c r="LGT41" s="528"/>
      <c r="LGU41" s="528"/>
      <c r="LGV41" s="528"/>
      <c r="LGW41" s="528"/>
      <c r="LGX41" s="528"/>
      <c r="LGY41" s="528"/>
      <c r="LGZ41" s="528"/>
      <c r="LHA41" s="528"/>
      <c r="LHB41" s="528"/>
      <c r="LHC41" s="528"/>
      <c r="LHD41" s="528"/>
      <c r="LHE41" s="528"/>
      <c r="LHF41" s="528"/>
      <c r="LHG41" s="528"/>
      <c r="LHH41" s="528"/>
      <c r="LHI41" s="528"/>
      <c r="LHJ41" s="528"/>
      <c r="LHK41" s="528"/>
      <c r="LHL41" s="528"/>
      <c r="LHM41" s="528"/>
      <c r="LHN41" s="528"/>
      <c r="LHO41" s="528"/>
      <c r="LHP41" s="528"/>
      <c r="LHQ41" s="528"/>
      <c r="LHR41" s="528"/>
      <c r="LHS41" s="528"/>
      <c r="LHT41" s="528"/>
      <c r="LHU41" s="528"/>
      <c r="LHV41" s="528"/>
      <c r="LHW41" s="528"/>
      <c r="LHX41" s="528"/>
      <c r="LHY41" s="528"/>
      <c r="LHZ41" s="528"/>
      <c r="LIA41" s="528"/>
      <c r="LIB41" s="528"/>
      <c r="LIC41" s="528"/>
      <c r="LID41" s="528"/>
      <c r="LIE41" s="528"/>
      <c r="LIF41" s="528"/>
      <c r="LIG41" s="528"/>
      <c r="LIH41" s="528"/>
      <c r="LII41" s="528"/>
      <c r="LIJ41" s="528"/>
      <c r="LIK41" s="528"/>
      <c r="LIL41" s="528"/>
      <c r="LIM41" s="528"/>
      <c r="LIN41" s="528"/>
      <c r="LIO41" s="528"/>
      <c r="LIP41" s="528"/>
      <c r="LIQ41" s="528"/>
      <c r="LIR41" s="528"/>
      <c r="LIS41" s="528"/>
      <c r="LIT41" s="528"/>
      <c r="LIU41" s="528"/>
      <c r="LIV41" s="528"/>
      <c r="LIW41" s="528"/>
      <c r="LIX41" s="528"/>
      <c r="LIY41" s="528"/>
      <c r="LIZ41" s="528"/>
      <c r="LJA41" s="528"/>
      <c r="LJB41" s="528"/>
      <c r="LJC41" s="528"/>
      <c r="LJD41" s="528"/>
      <c r="LJE41" s="528"/>
      <c r="LJF41" s="528"/>
      <c r="LJG41" s="528"/>
      <c r="LJH41" s="528"/>
      <c r="LJI41" s="528"/>
      <c r="LJJ41" s="528"/>
      <c r="LJK41" s="528"/>
      <c r="LJL41" s="528"/>
      <c r="LJM41" s="528"/>
      <c r="LJN41" s="528"/>
      <c r="LJO41" s="528"/>
      <c r="LJP41" s="528"/>
      <c r="LJQ41" s="528"/>
      <c r="LJR41" s="528"/>
      <c r="LJS41" s="528"/>
      <c r="LJT41" s="528"/>
      <c r="LJU41" s="528"/>
      <c r="LJV41" s="528"/>
      <c r="LJW41" s="528"/>
      <c r="LJX41" s="528"/>
      <c r="LJY41" s="528"/>
      <c r="LJZ41" s="528"/>
      <c r="LKA41" s="528"/>
      <c r="LKB41" s="528"/>
      <c r="LKC41" s="528"/>
      <c r="LKD41" s="528"/>
      <c r="LKE41" s="528"/>
      <c r="LKF41" s="528"/>
      <c r="LKG41" s="528"/>
      <c r="LKH41" s="528"/>
      <c r="LKI41" s="528"/>
      <c r="LKJ41" s="528"/>
      <c r="LKK41" s="528"/>
      <c r="LKL41" s="528"/>
      <c r="LKM41" s="528"/>
      <c r="LKN41" s="528"/>
      <c r="LKO41" s="528"/>
      <c r="LKP41" s="528"/>
      <c r="LKQ41" s="528"/>
      <c r="LKR41" s="528"/>
      <c r="LKS41" s="528"/>
      <c r="LKT41" s="528"/>
      <c r="LKU41" s="528"/>
      <c r="LKV41" s="528"/>
      <c r="LKW41" s="528"/>
      <c r="LKX41" s="528"/>
      <c r="LKY41" s="528"/>
      <c r="LKZ41" s="528"/>
      <c r="LLA41" s="528"/>
      <c r="LLB41" s="528"/>
      <c r="LLC41" s="528"/>
      <c r="LLD41" s="528"/>
      <c r="LLE41" s="528"/>
      <c r="LLF41" s="528"/>
      <c r="LLG41" s="528"/>
      <c r="LLH41" s="528"/>
      <c r="LLI41" s="528"/>
      <c r="LLJ41" s="528"/>
      <c r="LLK41" s="528"/>
      <c r="LLL41" s="528"/>
      <c r="LLM41" s="528"/>
      <c r="LLN41" s="528"/>
      <c r="LLO41" s="528"/>
      <c r="LLP41" s="528"/>
      <c r="LLQ41" s="528"/>
      <c r="LLR41" s="528"/>
      <c r="LLS41" s="528"/>
      <c r="LLT41" s="528"/>
      <c r="LLU41" s="528"/>
      <c r="LLV41" s="528"/>
      <c r="LLW41" s="528"/>
      <c r="LLX41" s="528"/>
      <c r="LLY41" s="528"/>
      <c r="LLZ41" s="528"/>
      <c r="LMA41" s="528"/>
      <c r="LMB41" s="528"/>
      <c r="LMC41" s="528"/>
      <c r="LMD41" s="528"/>
      <c r="LME41" s="528"/>
      <c r="LMF41" s="528"/>
      <c r="LMG41" s="528"/>
      <c r="LMH41" s="528"/>
      <c r="LMI41" s="528"/>
      <c r="LMJ41" s="528"/>
      <c r="LMK41" s="528"/>
      <c r="LML41" s="528"/>
      <c r="LMM41" s="528"/>
      <c r="LMN41" s="528"/>
      <c r="LMO41" s="528"/>
      <c r="LMP41" s="528"/>
      <c r="LMQ41" s="528"/>
      <c r="LMR41" s="528"/>
      <c r="LMS41" s="528"/>
      <c r="LMT41" s="528"/>
      <c r="LMU41" s="528"/>
      <c r="LMV41" s="528"/>
      <c r="LMW41" s="528"/>
      <c r="LMX41" s="528"/>
      <c r="LMY41" s="528"/>
      <c r="LMZ41" s="528"/>
      <c r="LNA41" s="528"/>
      <c r="LNB41" s="528"/>
      <c r="LNC41" s="528"/>
      <c r="LND41" s="528"/>
      <c r="LNE41" s="528"/>
      <c r="LNF41" s="528"/>
      <c r="LNG41" s="528"/>
      <c r="LNH41" s="528"/>
      <c r="LNI41" s="528"/>
      <c r="LNJ41" s="528"/>
      <c r="LNK41" s="528"/>
      <c r="LNL41" s="528"/>
      <c r="LNM41" s="528"/>
      <c r="LNN41" s="528"/>
      <c r="LNO41" s="528"/>
      <c r="LNP41" s="528"/>
      <c r="LNQ41" s="528"/>
      <c r="LNR41" s="528"/>
      <c r="LNS41" s="528"/>
      <c r="LNT41" s="528"/>
      <c r="LNU41" s="528"/>
      <c r="LNV41" s="528"/>
      <c r="LNW41" s="528"/>
      <c r="LNX41" s="528"/>
      <c r="LNY41" s="528"/>
      <c r="LNZ41" s="528"/>
      <c r="LOA41" s="528"/>
      <c r="LOB41" s="528"/>
      <c r="LOC41" s="528"/>
      <c r="LOD41" s="528"/>
      <c r="LOE41" s="528"/>
      <c r="LOF41" s="528"/>
      <c r="LOG41" s="528"/>
      <c r="LOH41" s="528"/>
      <c r="LOI41" s="528"/>
      <c r="LOJ41" s="528"/>
      <c r="LOK41" s="528"/>
      <c r="LOL41" s="528"/>
      <c r="LOM41" s="528"/>
      <c r="LON41" s="528"/>
      <c r="LOO41" s="528"/>
      <c r="LOP41" s="528"/>
      <c r="LOQ41" s="528"/>
      <c r="LOR41" s="528"/>
      <c r="LOS41" s="528"/>
      <c r="LOT41" s="528"/>
      <c r="LOU41" s="528"/>
      <c r="LOV41" s="528"/>
      <c r="LOW41" s="528"/>
      <c r="LOX41" s="528"/>
      <c r="LOY41" s="528"/>
      <c r="LOZ41" s="528"/>
      <c r="LPA41" s="528"/>
      <c r="LPB41" s="528"/>
      <c r="LPC41" s="528"/>
      <c r="LPD41" s="528"/>
      <c r="LPE41" s="528"/>
      <c r="LPF41" s="528"/>
      <c r="LPG41" s="528"/>
      <c r="LPH41" s="528"/>
      <c r="LPI41" s="528"/>
      <c r="LPJ41" s="528"/>
      <c r="LPK41" s="528"/>
      <c r="LPL41" s="528"/>
      <c r="LPM41" s="528"/>
      <c r="LPN41" s="528"/>
      <c r="LPO41" s="528"/>
      <c r="LPP41" s="528"/>
      <c r="LPQ41" s="528"/>
      <c r="LPR41" s="528"/>
      <c r="LPS41" s="528"/>
      <c r="LPT41" s="528"/>
      <c r="LPU41" s="528"/>
      <c r="LPV41" s="528"/>
      <c r="LPW41" s="528"/>
      <c r="LPX41" s="528"/>
      <c r="LPY41" s="528"/>
      <c r="LPZ41" s="528"/>
      <c r="LQA41" s="528"/>
      <c r="LQB41" s="528"/>
      <c r="LQC41" s="528"/>
      <c r="LQD41" s="528"/>
      <c r="LQE41" s="528"/>
      <c r="LQF41" s="528"/>
      <c r="LQG41" s="528"/>
      <c r="LQH41" s="528"/>
      <c r="LQI41" s="528"/>
      <c r="LQJ41" s="528"/>
      <c r="LQK41" s="528"/>
      <c r="LQL41" s="528"/>
      <c r="LQM41" s="528"/>
      <c r="LQN41" s="528"/>
      <c r="LQO41" s="528"/>
      <c r="LQP41" s="528"/>
      <c r="LQQ41" s="528"/>
      <c r="LQR41" s="528"/>
      <c r="LQS41" s="528"/>
      <c r="LQT41" s="528"/>
      <c r="LQU41" s="528"/>
      <c r="LQV41" s="528"/>
      <c r="LQW41" s="528"/>
      <c r="LQX41" s="528"/>
      <c r="LQY41" s="528"/>
      <c r="LQZ41" s="528"/>
      <c r="LRA41" s="528"/>
      <c r="LRB41" s="528"/>
      <c r="LRC41" s="528"/>
      <c r="LRD41" s="528"/>
      <c r="LRE41" s="528"/>
      <c r="LRF41" s="528"/>
      <c r="LRG41" s="528"/>
      <c r="LRH41" s="528"/>
      <c r="LRI41" s="528"/>
      <c r="LRJ41" s="528"/>
      <c r="LRK41" s="528"/>
      <c r="LRL41" s="528"/>
      <c r="LRM41" s="528"/>
      <c r="LRN41" s="528"/>
      <c r="LRO41" s="528"/>
      <c r="LRP41" s="528"/>
      <c r="LRQ41" s="528"/>
      <c r="LRR41" s="528"/>
      <c r="LRS41" s="528"/>
      <c r="LRT41" s="528"/>
      <c r="LRU41" s="528"/>
      <c r="LRV41" s="528"/>
      <c r="LRW41" s="528"/>
      <c r="LRX41" s="528"/>
      <c r="LRY41" s="528"/>
      <c r="LRZ41" s="528"/>
      <c r="LSA41" s="528"/>
      <c r="LSB41" s="528"/>
      <c r="LSC41" s="528"/>
      <c r="LSD41" s="528"/>
      <c r="LSE41" s="528"/>
      <c r="LSF41" s="528"/>
      <c r="LSG41" s="528"/>
      <c r="LSH41" s="528"/>
      <c r="LSI41" s="528"/>
      <c r="LSJ41" s="528"/>
      <c r="LSK41" s="528"/>
      <c r="LSL41" s="528"/>
      <c r="LSM41" s="528"/>
      <c r="LSN41" s="528"/>
      <c r="LSO41" s="528"/>
      <c r="LSP41" s="528"/>
      <c r="LSQ41" s="528"/>
      <c r="LSR41" s="528"/>
      <c r="LSS41" s="528"/>
      <c r="LST41" s="528"/>
      <c r="LSU41" s="528"/>
      <c r="LSV41" s="528"/>
      <c r="LSW41" s="528"/>
      <c r="LSX41" s="528"/>
      <c r="LSY41" s="528"/>
      <c r="LSZ41" s="528"/>
      <c r="LTA41" s="528"/>
      <c r="LTB41" s="528"/>
      <c r="LTC41" s="528"/>
      <c r="LTD41" s="528"/>
      <c r="LTE41" s="528"/>
      <c r="LTF41" s="528"/>
      <c r="LTG41" s="528"/>
      <c r="LTH41" s="528"/>
      <c r="LTI41" s="528"/>
      <c r="LTJ41" s="528"/>
      <c r="LTK41" s="528"/>
      <c r="LTL41" s="528"/>
      <c r="LTM41" s="528"/>
      <c r="LTN41" s="528"/>
      <c r="LTO41" s="528"/>
      <c r="LTP41" s="528"/>
      <c r="LTQ41" s="528"/>
      <c r="LTR41" s="528"/>
      <c r="LTS41" s="528"/>
      <c r="LTT41" s="528"/>
      <c r="LTU41" s="528"/>
      <c r="LTV41" s="528"/>
      <c r="LTW41" s="528"/>
      <c r="LTX41" s="528"/>
      <c r="LTY41" s="528"/>
      <c r="LTZ41" s="528"/>
      <c r="LUA41" s="528"/>
      <c r="LUB41" s="528"/>
      <c r="LUC41" s="528"/>
      <c r="LUD41" s="528"/>
      <c r="LUE41" s="528"/>
      <c r="LUF41" s="528"/>
      <c r="LUG41" s="528"/>
      <c r="LUH41" s="528"/>
      <c r="LUI41" s="528"/>
      <c r="LUJ41" s="528"/>
      <c r="LUK41" s="528"/>
      <c r="LUL41" s="528"/>
      <c r="LUM41" s="528"/>
      <c r="LUN41" s="528"/>
      <c r="LUO41" s="528"/>
      <c r="LUP41" s="528"/>
      <c r="LUQ41" s="528"/>
      <c r="LUR41" s="528"/>
      <c r="LUS41" s="528"/>
      <c r="LUT41" s="528"/>
      <c r="LUU41" s="528"/>
      <c r="LUV41" s="528"/>
      <c r="LUW41" s="528"/>
      <c r="LUX41" s="528"/>
      <c r="LUY41" s="528"/>
      <c r="LUZ41" s="528"/>
      <c r="LVA41" s="528"/>
      <c r="LVB41" s="528"/>
      <c r="LVC41" s="528"/>
      <c r="LVD41" s="528"/>
      <c r="LVE41" s="528"/>
      <c r="LVF41" s="528"/>
      <c r="LVG41" s="528"/>
      <c r="LVH41" s="528"/>
      <c r="LVI41" s="528"/>
      <c r="LVJ41" s="528"/>
      <c r="LVK41" s="528"/>
      <c r="LVL41" s="528"/>
      <c r="LVM41" s="528"/>
      <c r="LVN41" s="528"/>
      <c r="LVO41" s="528"/>
      <c r="LVP41" s="528"/>
      <c r="LVQ41" s="528"/>
      <c r="LVR41" s="528"/>
      <c r="LVS41" s="528"/>
      <c r="LVT41" s="528"/>
      <c r="LVU41" s="528"/>
      <c r="LVV41" s="528"/>
      <c r="LVW41" s="528"/>
      <c r="LVX41" s="528"/>
      <c r="LVY41" s="528"/>
      <c r="LVZ41" s="528"/>
      <c r="LWA41" s="528"/>
      <c r="LWB41" s="528"/>
      <c r="LWC41" s="528"/>
      <c r="LWD41" s="528"/>
      <c r="LWE41" s="528"/>
      <c r="LWF41" s="528"/>
      <c r="LWG41" s="528"/>
      <c r="LWH41" s="528"/>
      <c r="LWI41" s="528"/>
      <c r="LWJ41" s="528"/>
      <c r="LWK41" s="528"/>
      <c r="LWL41" s="528"/>
      <c r="LWM41" s="528"/>
      <c r="LWN41" s="528"/>
      <c r="LWO41" s="528"/>
      <c r="LWP41" s="528"/>
      <c r="LWQ41" s="528"/>
      <c r="LWR41" s="528"/>
      <c r="LWS41" s="528"/>
      <c r="LWT41" s="528"/>
      <c r="LWU41" s="528"/>
      <c r="LWV41" s="528"/>
      <c r="LWW41" s="528"/>
      <c r="LWX41" s="528"/>
      <c r="LWY41" s="528"/>
      <c r="LWZ41" s="528"/>
      <c r="LXA41" s="528"/>
      <c r="LXB41" s="528"/>
      <c r="LXC41" s="528"/>
      <c r="LXD41" s="528"/>
      <c r="LXE41" s="528"/>
      <c r="LXF41" s="528"/>
      <c r="LXG41" s="528"/>
      <c r="LXH41" s="528"/>
      <c r="LXI41" s="528"/>
      <c r="LXJ41" s="528"/>
      <c r="LXK41" s="528"/>
      <c r="LXL41" s="528"/>
      <c r="LXM41" s="528"/>
      <c r="LXN41" s="528"/>
      <c r="LXO41" s="528"/>
      <c r="LXP41" s="528"/>
      <c r="LXQ41" s="528"/>
      <c r="LXR41" s="528"/>
      <c r="LXS41" s="528"/>
      <c r="LXT41" s="528"/>
      <c r="LXU41" s="528"/>
      <c r="LXV41" s="528"/>
      <c r="LXW41" s="528"/>
      <c r="LXX41" s="528"/>
      <c r="LXY41" s="528"/>
      <c r="LXZ41" s="528"/>
      <c r="LYA41" s="528"/>
      <c r="LYB41" s="528"/>
      <c r="LYC41" s="528"/>
      <c r="LYD41" s="528"/>
      <c r="LYE41" s="528"/>
      <c r="LYF41" s="528"/>
      <c r="LYG41" s="528"/>
      <c r="LYH41" s="528"/>
      <c r="LYI41" s="528"/>
      <c r="LYJ41" s="528"/>
      <c r="LYK41" s="528"/>
      <c r="LYL41" s="528"/>
      <c r="LYM41" s="528"/>
      <c r="LYN41" s="528"/>
      <c r="LYO41" s="528"/>
      <c r="LYP41" s="528"/>
      <c r="LYQ41" s="528"/>
      <c r="LYR41" s="528"/>
      <c r="LYS41" s="528"/>
      <c r="LYT41" s="528"/>
      <c r="LYU41" s="528"/>
      <c r="LYV41" s="528"/>
      <c r="LYW41" s="528"/>
      <c r="LYX41" s="528"/>
      <c r="LYY41" s="528"/>
      <c r="LYZ41" s="528"/>
      <c r="LZA41" s="528"/>
      <c r="LZB41" s="528"/>
      <c r="LZC41" s="528"/>
      <c r="LZD41" s="528"/>
      <c r="LZE41" s="528"/>
      <c r="LZF41" s="528"/>
      <c r="LZG41" s="528"/>
      <c r="LZH41" s="528"/>
      <c r="LZI41" s="528"/>
      <c r="LZJ41" s="528"/>
      <c r="LZK41" s="528"/>
      <c r="LZL41" s="528"/>
      <c r="LZM41" s="528"/>
      <c r="LZN41" s="528"/>
      <c r="LZO41" s="528"/>
      <c r="LZP41" s="528"/>
      <c r="LZQ41" s="528"/>
      <c r="LZR41" s="528"/>
      <c r="LZS41" s="528"/>
      <c r="LZT41" s="528"/>
      <c r="LZU41" s="528"/>
      <c r="LZV41" s="528"/>
      <c r="LZW41" s="528"/>
      <c r="LZX41" s="528"/>
      <c r="LZY41" s="528"/>
      <c r="LZZ41" s="528"/>
      <c r="MAA41" s="528"/>
      <c r="MAB41" s="528"/>
      <c r="MAC41" s="528"/>
      <c r="MAD41" s="528"/>
      <c r="MAE41" s="528"/>
      <c r="MAF41" s="528"/>
      <c r="MAG41" s="528"/>
      <c r="MAH41" s="528"/>
      <c r="MAI41" s="528"/>
      <c r="MAJ41" s="528"/>
      <c r="MAK41" s="528"/>
      <c r="MAL41" s="528"/>
      <c r="MAM41" s="528"/>
      <c r="MAN41" s="528"/>
      <c r="MAO41" s="528"/>
      <c r="MAP41" s="528"/>
      <c r="MAQ41" s="528"/>
      <c r="MAR41" s="528"/>
      <c r="MAS41" s="528"/>
      <c r="MAT41" s="528"/>
      <c r="MAU41" s="528"/>
      <c r="MAV41" s="528"/>
      <c r="MAW41" s="528"/>
      <c r="MAX41" s="528"/>
      <c r="MAY41" s="528"/>
      <c r="MAZ41" s="528"/>
      <c r="MBA41" s="528"/>
      <c r="MBB41" s="528"/>
      <c r="MBC41" s="528"/>
      <c r="MBD41" s="528"/>
      <c r="MBE41" s="528"/>
      <c r="MBF41" s="528"/>
      <c r="MBG41" s="528"/>
      <c r="MBH41" s="528"/>
      <c r="MBI41" s="528"/>
      <c r="MBJ41" s="528"/>
      <c r="MBK41" s="528"/>
      <c r="MBL41" s="528"/>
      <c r="MBM41" s="528"/>
      <c r="MBN41" s="528"/>
      <c r="MBO41" s="528"/>
      <c r="MBP41" s="528"/>
      <c r="MBQ41" s="528"/>
      <c r="MBR41" s="528"/>
      <c r="MBS41" s="528"/>
      <c r="MBT41" s="528"/>
      <c r="MBU41" s="528"/>
      <c r="MBV41" s="528"/>
      <c r="MBW41" s="528"/>
      <c r="MBX41" s="528"/>
      <c r="MBY41" s="528"/>
      <c r="MBZ41" s="528"/>
      <c r="MCA41" s="528"/>
      <c r="MCB41" s="528"/>
      <c r="MCC41" s="528"/>
      <c r="MCD41" s="528"/>
      <c r="MCE41" s="528"/>
      <c r="MCF41" s="528"/>
      <c r="MCG41" s="528"/>
      <c r="MCH41" s="528"/>
      <c r="MCI41" s="528"/>
      <c r="MCJ41" s="528"/>
      <c r="MCK41" s="528"/>
      <c r="MCL41" s="528"/>
      <c r="MCM41" s="528"/>
      <c r="MCN41" s="528"/>
      <c r="MCO41" s="528"/>
      <c r="MCP41" s="528"/>
      <c r="MCQ41" s="528"/>
      <c r="MCR41" s="528"/>
      <c r="MCS41" s="528"/>
      <c r="MCT41" s="528"/>
      <c r="MCU41" s="528"/>
      <c r="MCV41" s="528"/>
      <c r="MCW41" s="528"/>
      <c r="MCX41" s="528"/>
      <c r="MCY41" s="528"/>
      <c r="MCZ41" s="528"/>
      <c r="MDA41" s="528"/>
      <c r="MDB41" s="528"/>
      <c r="MDC41" s="528"/>
      <c r="MDD41" s="528"/>
      <c r="MDE41" s="528"/>
      <c r="MDF41" s="528"/>
      <c r="MDG41" s="528"/>
      <c r="MDH41" s="528"/>
      <c r="MDI41" s="528"/>
      <c r="MDJ41" s="528"/>
      <c r="MDK41" s="528"/>
      <c r="MDL41" s="528"/>
      <c r="MDM41" s="528"/>
      <c r="MDN41" s="528"/>
      <c r="MDO41" s="528"/>
      <c r="MDP41" s="528"/>
      <c r="MDQ41" s="528"/>
      <c r="MDR41" s="528"/>
      <c r="MDS41" s="528"/>
      <c r="MDT41" s="528"/>
      <c r="MDU41" s="528"/>
      <c r="MDV41" s="528"/>
      <c r="MDW41" s="528"/>
      <c r="MDX41" s="528"/>
      <c r="MDY41" s="528"/>
      <c r="MDZ41" s="528"/>
      <c r="MEA41" s="528"/>
      <c r="MEB41" s="528"/>
      <c r="MEC41" s="528"/>
      <c r="MED41" s="528"/>
      <c r="MEE41" s="528"/>
      <c r="MEF41" s="528"/>
      <c r="MEG41" s="528"/>
      <c r="MEH41" s="528"/>
      <c r="MEI41" s="528"/>
      <c r="MEJ41" s="528"/>
      <c r="MEK41" s="528"/>
      <c r="MEL41" s="528"/>
      <c r="MEM41" s="528"/>
      <c r="MEN41" s="528"/>
      <c r="MEO41" s="528"/>
      <c r="MEP41" s="528"/>
      <c r="MEQ41" s="528"/>
      <c r="MER41" s="528"/>
      <c r="MES41" s="528"/>
      <c r="MET41" s="528"/>
      <c r="MEU41" s="528"/>
      <c r="MEV41" s="528"/>
      <c r="MEW41" s="528"/>
      <c r="MEX41" s="528"/>
      <c r="MEY41" s="528"/>
      <c r="MEZ41" s="528"/>
      <c r="MFA41" s="528"/>
      <c r="MFB41" s="528"/>
      <c r="MFC41" s="528"/>
      <c r="MFD41" s="528"/>
      <c r="MFE41" s="528"/>
      <c r="MFF41" s="528"/>
      <c r="MFG41" s="528"/>
      <c r="MFH41" s="528"/>
      <c r="MFI41" s="528"/>
      <c r="MFJ41" s="528"/>
      <c r="MFK41" s="528"/>
      <c r="MFL41" s="528"/>
      <c r="MFM41" s="528"/>
      <c r="MFN41" s="528"/>
      <c r="MFO41" s="528"/>
      <c r="MFP41" s="528"/>
      <c r="MFQ41" s="528"/>
      <c r="MFR41" s="528"/>
      <c r="MFS41" s="528"/>
      <c r="MFT41" s="528"/>
      <c r="MFU41" s="528"/>
      <c r="MFV41" s="528"/>
      <c r="MFW41" s="528"/>
      <c r="MFX41" s="528"/>
      <c r="MFY41" s="528"/>
      <c r="MFZ41" s="528"/>
      <c r="MGA41" s="528"/>
      <c r="MGB41" s="528"/>
      <c r="MGC41" s="528"/>
      <c r="MGD41" s="528"/>
      <c r="MGE41" s="528"/>
      <c r="MGF41" s="528"/>
      <c r="MGG41" s="528"/>
      <c r="MGH41" s="528"/>
      <c r="MGI41" s="528"/>
      <c r="MGJ41" s="528"/>
      <c r="MGK41" s="528"/>
      <c r="MGL41" s="528"/>
      <c r="MGM41" s="528"/>
      <c r="MGN41" s="528"/>
      <c r="MGO41" s="528"/>
      <c r="MGP41" s="528"/>
      <c r="MGQ41" s="528"/>
      <c r="MGR41" s="528"/>
      <c r="MGS41" s="528"/>
      <c r="MGT41" s="528"/>
      <c r="MGU41" s="528"/>
      <c r="MGV41" s="528"/>
      <c r="MGW41" s="528"/>
      <c r="MGX41" s="528"/>
      <c r="MGY41" s="528"/>
      <c r="MGZ41" s="528"/>
      <c r="MHA41" s="528"/>
      <c r="MHB41" s="528"/>
      <c r="MHC41" s="528"/>
      <c r="MHD41" s="528"/>
      <c r="MHE41" s="528"/>
      <c r="MHF41" s="528"/>
      <c r="MHG41" s="528"/>
      <c r="MHH41" s="528"/>
      <c r="MHI41" s="528"/>
      <c r="MHJ41" s="528"/>
      <c r="MHK41" s="528"/>
      <c r="MHL41" s="528"/>
      <c r="MHM41" s="528"/>
      <c r="MHN41" s="528"/>
      <c r="MHO41" s="528"/>
      <c r="MHP41" s="528"/>
      <c r="MHQ41" s="528"/>
      <c r="MHR41" s="528"/>
      <c r="MHS41" s="528"/>
      <c r="MHT41" s="528"/>
      <c r="MHU41" s="528"/>
      <c r="MHV41" s="528"/>
      <c r="MHW41" s="528"/>
      <c r="MHX41" s="528"/>
      <c r="MHY41" s="528"/>
      <c r="MHZ41" s="528"/>
      <c r="MIA41" s="528"/>
      <c r="MIB41" s="528"/>
      <c r="MIC41" s="528"/>
      <c r="MID41" s="528"/>
      <c r="MIE41" s="528"/>
      <c r="MIF41" s="528"/>
      <c r="MIG41" s="528"/>
      <c r="MIH41" s="528"/>
      <c r="MII41" s="528"/>
      <c r="MIJ41" s="528"/>
      <c r="MIK41" s="528"/>
      <c r="MIL41" s="528"/>
      <c r="MIM41" s="528"/>
      <c r="MIN41" s="528"/>
      <c r="MIO41" s="528"/>
      <c r="MIP41" s="528"/>
      <c r="MIQ41" s="528"/>
      <c r="MIR41" s="528"/>
      <c r="MIS41" s="528"/>
      <c r="MIT41" s="528"/>
      <c r="MIU41" s="528"/>
      <c r="MIV41" s="528"/>
      <c r="MIW41" s="528"/>
      <c r="MIX41" s="528"/>
      <c r="MIY41" s="528"/>
      <c r="MIZ41" s="528"/>
      <c r="MJA41" s="528"/>
      <c r="MJB41" s="528"/>
      <c r="MJC41" s="528"/>
      <c r="MJD41" s="528"/>
      <c r="MJE41" s="528"/>
      <c r="MJF41" s="528"/>
      <c r="MJG41" s="528"/>
      <c r="MJH41" s="528"/>
      <c r="MJI41" s="528"/>
      <c r="MJJ41" s="528"/>
      <c r="MJK41" s="528"/>
      <c r="MJL41" s="528"/>
      <c r="MJM41" s="528"/>
      <c r="MJN41" s="528"/>
      <c r="MJO41" s="528"/>
      <c r="MJP41" s="528"/>
      <c r="MJQ41" s="528"/>
      <c r="MJR41" s="528"/>
      <c r="MJS41" s="528"/>
      <c r="MJT41" s="528"/>
      <c r="MJU41" s="528"/>
      <c r="MJV41" s="528"/>
      <c r="MJW41" s="528"/>
      <c r="MJX41" s="528"/>
      <c r="MJY41" s="528"/>
      <c r="MJZ41" s="528"/>
      <c r="MKA41" s="528"/>
      <c r="MKB41" s="528"/>
      <c r="MKC41" s="528"/>
      <c r="MKD41" s="528"/>
      <c r="MKE41" s="528"/>
      <c r="MKF41" s="528"/>
      <c r="MKG41" s="528"/>
      <c r="MKH41" s="528"/>
      <c r="MKI41" s="528"/>
      <c r="MKJ41" s="528"/>
      <c r="MKK41" s="528"/>
      <c r="MKL41" s="528"/>
      <c r="MKM41" s="528"/>
      <c r="MKN41" s="528"/>
      <c r="MKO41" s="528"/>
      <c r="MKP41" s="528"/>
      <c r="MKQ41" s="528"/>
      <c r="MKR41" s="528"/>
      <c r="MKS41" s="528"/>
      <c r="MKT41" s="528"/>
      <c r="MKU41" s="528"/>
      <c r="MKV41" s="528"/>
      <c r="MKW41" s="528"/>
      <c r="MKX41" s="528"/>
      <c r="MKY41" s="528"/>
      <c r="MKZ41" s="528"/>
      <c r="MLA41" s="528"/>
      <c r="MLB41" s="528"/>
      <c r="MLC41" s="528"/>
      <c r="MLD41" s="528"/>
      <c r="MLE41" s="528"/>
      <c r="MLF41" s="528"/>
      <c r="MLG41" s="528"/>
      <c r="MLH41" s="528"/>
      <c r="MLI41" s="528"/>
      <c r="MLJ41" s="528"/>
      <c r="MLK41" s="528"/>
      <c r="MLL41" s="528"/>
      <c r="MLM41" s="528"/>
      <c r="MLN41" s="528"/>
      <c r="MLO41" s="528"/>
      <c r="MLP41" s="528"/>
      <c r="MLQ41" s="528"/>
      <c r="MLR41" s="528"/>
      <c r="MLS41" s="528"/>
      <c r="MLT41" s="528"/>
      <c r="MLU41" s="528"/>
      <c r="MLV41" s="528"/>
      <c r="MLW41" s="528"/>
      <c r="MLX41" s="528"/>
      <c r="MLY41" s="528"/>
      <c r="MLZ41" s="528"/>
      <c r="MMA41" s="528"/>
      <c r="MMB41" s="528"/>
      <c r="MMC41" s="528"/>
      <c r="MMD41" s="528"/>
      <c r="MME41" s="528"/>
      <c r="MMF41" s="528"/>
      <c r="MMG41" s="528"/>
      <c r="MMH41" s="528"/>
      <c r="MMI41" s="528"/>
      <c r="MMJ41" s="528"/>
      <c r="MMK41" s="528"/>
      <c r="MML41" s="528"/>
      <c r="MMM41" s="528"/>
      <c r="MMN41" s="528"/>
      <c r="MMO41" s="528"/>
      <c r="MMP41" s="528"/>
      <c r="MMQ41" s="528"/>
      <c r="MMR41" s="528"/>
      <c r="MMS41" s="528"/>
      <c r="MMT41" s="528"/>
      <c r="MMU41" s="528"/>
      <c r="MMV41" s="528"/>
      <c r="MMW41" s="528"/>
      <c r="MMX41" s="528"/>
      <c r="MMY41" s="528"/>
      <c r="MMZ41" s="528"/>
      <c r="MNA41" s="528"/>
      <c r="MNB41" s="528"/>
      <c r="MNC41" s="528"/>
      <c r="MND41" s="528"/>
      <c r="MNE41" s="528"/>
      <c r="MNF41" s="528"/>
      <c r="MNG41" s="528"/>
      <c r="MNH41" s="528"/>
      <c r="MNI41" s="528"/>
      <c r="MNJ41" s="528"/>
      <c r="MNK41" s="528"/>
      <c r="MNL41" s="528"/>
      <c r="MNM41" s="528"/>
      <c r="MNN41" s="528"/>
      <c r="MNO41" s="528"/>
      <c r="MNP41" s="528"/>
      <c r="MNQ41" s="528"/>
      <c r="MNR41" s="528"/>
      <c r="MNS41" s="528"/>
      <c r="MNT41" s="528"/>
      <c r="MNU41" s="528"/>
      <c r="MNV41" s="528"/>
      <c r="MNW41" s="528"/>
      <c r="MNX41" s="528"/>
      <c r="MNY41" s="528"/>
      <c r="MNZ41" s="528"/>
      <c r="MOA41" s="528"/>
      <c r="MOB41" s="528"/>
      <c r="MOC41" s="528"/>
      <c r="MOD41" s="528"/>
      <c r="MOE41" s="528"/>
      <c r="MOF41" s="528"/>
      <c r="MOG41" s="528"/>
      <c r="MOH41" s="528"/>
      <c r="MOI41" s="528"/>
      <c r="MOJ41" s="528"/>
      <c r="MOK41" s="528"/>
      <c r="MOL41" s="528"/>
      <c r="MOM41" s="528"/>
      <c r="MON41" s="528"/>
      <c r="MOO41" s="528"/>
      <c r="MOP41" s="528"/>
      <c r="MOQ41" s="528"/>
      <c r="MOR41" s="528"/>
      <c r="MOS41" s="528"/>
      <c r="MOT41" s="528"/>
      <c r="MOU41" s="528"/>
      <c r="MOV41" s="528"/>
      <c r="MOW41" s="528"/>
      <c r="MOX41" s="528"/>
      <c r="MOY41" s="528"/>
      <c r="MOZ41" s="528"/>
      <c r="MPA41" s="528"/>
      <c r="MPB41" s="528"/>
      <c r="MPC41" s="528"/>
      <c r="MPD41" s="528"/>
      <c r="MPE41" s="528"/>
      <c r="MPF41" s="528"/>
      <c r="MPG41" s="528"/>
      <c r="MPH41" s="528"/>
      <c r="MPI41" s="528"/>
      <c r="MPJ41" s="528"/>
      <c r="MPK41" s="528"/>
      <c r="MPL41" s="528"/>
      <c r="MPM41" s="528"/>
      <c r="MPN41" s="528"/>
      <c r="MPO41" s="528"/>
      <c r="MPP41" s="528"/>
      <c r="MPQ41" s="528"/>
      <c r="MPR41" s="528"/>
      <c r="MPS41" s="528"/>
      <c r="MPT41" s="528"/>
      <c r="MPU41" s="528"/>
      <c r="MPV41" s="528"/>
      <c r="MPW41" s="528"/>
      <c r="MPX41" s="528"/>
      <c r="MPY41" s="528"/>
      <c r="MPZ41" s="528"/>
      <c r="MQA41" s="528"/>
      <c r="MQB41" s="528"/>
      <c r="MQC41" s="528"/>
      <c r="MQD41" s="528"/>
      <c r="MQE41" s="528"/>
      <c r="MQF41" s="528"/>
      <c r="MQG41" s="528"/>
      <c r="MQH41" s="528"/>
      <c r="MQI41" s="528"/>
      <c r="MQJ41" s="528"/>
      <c r="MQK41" s="528"/>
      <c r="MQL41" s="528"/>
      <c r="MQM41" s="528"/>
      <c r="MQN41" s="528"/>
      <c r="MQO41" s="528"/>
      <c r="MQP41" s="528"/>
      <c r="MQQ41" s="528"/>
      <c r="MQR41" s="528"/>
      <c r="MQS41" s="528"/>
      <c r="MQT41" s="528"/>
      <c r="MQU41" s="528"/>
      <c r="MQV41" s="528"/>
      <c r="MQW41" s="528"/>
      <c r="MQX41" s="528"/>
      <c r="MQY41" s="528"/>
      <c r="MQZ41" s="528"/>
      <c r="MRA41" s="528"/>
      <c r="MRB41" s="528"/>
      <c r="MRC41" s="528"/>
      <c r="MRD41" s="528"/>
      <c r="MRE41" s="528"/>
      <c r="MRF41" s="528"/>
      <c r="MRG41" s="528"/>
      <c r="MRH41" s="528"/>
      <c r="MRI41" s="528"/>
      <c r="MRJ41" s="528"/>
      <c r="MRK41" s="528"/>
      <c r="MRL41" s="528"/>
      <c r="MRM41" s="528"/>
      <c r="MRN41" s="528"/>
      <c r="MRO41" s="528"/>
      <c r="MRP41" s="528"/>
      <c r="MRQ41" s="528"/>
      <c r="MRR41" s="528"/>
      <c r="MRS41" s="528"/>
      <c r="MRT41" s="528"/>
      <c r="MRU41" s="528"/>
      <c r="MRV41" s="528"/>
      <c r="MRW41" s="528"/>
      <c r="MRX41" s="528"/>
      <c r="MRY41" s="528"/>
      <c r="MRZ41" s="528"/>
      <c r="MSA41" s="528"/>
      <c r="MSB41" s="528"/>
      <c r="MSC41" s="528"/>
      <c r="MSD41" s="528"/>
      <c r="MSE41" s="528"/>
      <c r="MSF41" s="528"/>
      <c r="MSG41" s="528"/>
      <c r="MSH41" s="528"/>
      <c r="MSI41" s="528"/>
      <c r="MSJ41" s="528"/>
      <c r="MSK41" s="528"/>
      <c r="MSL41" s="528"/>
      <c r="MSM41" s="528"/>
      <c r="MSN41" s="528"/>
      <c r="MSO41" s="528"/>
      <c r="MSP41" s="528"/>
      <c r="MSQ41" s="528"/>
      <c r="MSR41" s="528"/>
      <c r="MSS41" s="528"/>
      <c r="MST41" s="528"/>
      <c r="MSU41" s="528"/>
      <c r="MSV41" s="528"/>
      <c r="MSW41" s="528"/>
      <c r="MSX41" s="528"/>
      <c r="MSY41" s="528"/>
      <c r="MSZ41" s="528"/>
      <c r="MTA41" s="528"/>
      <c r="MTB41" s="528"/>
      <c r="MTC41" s="528"/>
      <c r="MTD41" s="528"/>
      <c r="MTE41" s="528"/>
      <c r="MTF41" s="528"/>
      <c r="MTG41" s="528"/>
      <c r="MTH41" s="528"/>
      <c r="MTI41" s="528"/>
      <c r="MTJ41" s="528"/>
      <c r="MTK41" s="528"/>
      <c r="MTL41" s="528"/>
      <c r="MTM41" s="528"/>
      <c r="MTN41" s="528"/>
      <c r="MTO41" s="528"/>
      <c r="MTP41" s="528"/>
      <c r="MTQ41" s="528"/>
      <c r="MTR41" s="528"/>
      <c r="MTS41" s="528"/>
      <c r="MTT41" s="528"/>
      <c r="MTU41" s="528"/>
      <c r="MTV41" s="528"/>
      <c r="MTW41" s="528"/>
      <c r="MTX41" s="528"/>
      <c r="MTY41" s="528"/>
      <c r="MTZ41" s="528"/>
      <c r="MUA41" s="528"/>
      <c r="MUB41" s="528"/>
      <c r="MUC41" s="528"/>
      <c r="MUD41" s="528"/>
      <c r="MUE41" s="528"/>
      <c r="MUF41" s="528"/>
      <c r="MUG41" s="528"/>
      <c r="MUH41" s="528"/>
      <c r="MUI41" s="528"/>
      <c r="MUJ41" s="528"/>
      <c r="MUK41" s="528"/>
      <c r="MUL41" s="528"/>
      <c r="MUM41" s="528"/>
      <c r="MUN41" s="528"/>
      <c r="MUO41" s="528"/>
      <c r="MUP41" s="528"/>
      <c r="MUQ41" s="528"/>
      <c r="MUR41" s="528"/>
      <c r="MUS41" s="528"/>
      <c r="MUT41" s="528"/>
      <c r="MUU41" s="528"/>
      <c r="MUV41" s="528"/>
      <c r="MUW41" s="528"/>
      <c r="MUX41" s="528"/>
      <c r="MUY41" s="528"/>
      <c r="MUZ41" s="528"/>
      <c r="MVA41" s="528"/>
      <c r="MVB41" s="528"/>
      <c r="MVC41" s="528"/>
      <c r="MVD41" s="528"/>
      <c r="MVE41" s="528"/>
      <c r="MVF41" s="528"/>
      <c r="MVG41" s="528"/>
      <c r="MVH41" s="528"/>
      <c r="MVI41" s="528"/>
      <c r="MVJ41" s="528"/>
      <c r="MVK41" s="528"/>
      <c r="MVL41" s="528"/>
      <c r="MVM41" s="528"/>
      <c r="MVN41" s="528"/>
      <c r="MVO41" s="528"/>
      <c r="MVP41" s="528"/>
      <c r="MVQ41" s="528"/>
      <c r="MVR41" s="528"/>
      <c r="MVS41" s="528"/>
      <c r="MVT41" s="528"/>
      <c r="MVU41" s="528"/>
      <c r="MVV41" s="528"/>
      <c r="MVW41" s="528"/>
      <c r="MVX41" s="528"/>
      <c r="MVY41" s="528"/>
      <c r="MVZ41" s="528"/>
      <c r="MWA41" s="528"/>
      <c r="MWB41" s="528"/>
      <c r="MWC41" s="528"/>
      <c r="MWD41" s="528"/>
      <c r="MWE41" s="528"/>
      <c r="MWF41" s="528"/>
      <c r="MWG41" s="528"/>
      <c r="MWH41" s="528"/>
      <c r="MWI41" s="528"/>
      <c r="MWJ41" s="528"/>
      <c r="MWK41" s="528"/>
      <c r="MWL41" s="528"/>
      <c r="MWM41" s="528"/>
      <c r="MWN41" s="528"/>
      <c r="MWO41" s="528"/>
      <c r="MWP41" s="528"/>
      <c r="MWQ41" s="528"/>
      <c r="MWR41" s="528"/>
      <c r="MWS41" s="528"/>
      <c r="MWT41" s="528"/>
      <c r="MWU41" s="528"/>
      <c r="MWV41" s="528"/>
      <c r="MWW41" s="528"/>
      <c r="MWX41" s="528"/>
      <c r="MWY41" s="528"/>
      <c r="MWZ41" s="528"/>
      <c r="MXA41" s="528"/>
      <c r="MXB41" s="528"/>
      <c r="MXC41" s="528"/>
      <c r="MXD41" s="528"/>
      <c r="MXE41" s="528"/>
      <c r="MXF41" s="528"/>
      <c r="MXG41" s="528"/>
      <c r="MXH41" s="528"/>
      <c r="MXI41" s="528"/>
      <c r="MXJ41" s="528"/>
      <c r="MXK41" s="528"/>
      <c r="MXL41" s="528"/>
      <c r="MXM41" s="528"/>
      <c r="MXN41" s="528"/>
      <c r="MXO41" s="528"/>
      <c r="MXP41" s="528"/>
      <c r="MXQ41" s="528"/>
      <c r="MXR41" s="528"/>
      <c r="MXS41" s="528"/>
      <c r="MXT41" s="528"/>
      <c r="MXU41" s="528"/>
      <c r="MXV41" s="528"/>
      <c r="MXW41" s="528"/>
      <c r="MXX41" s="528"/>
      <c r="MXY41" s="528"/>
      <c r="MXZ41" s="528"/>
      <c r="MYA41" s="528"/>
      <c r="MYB41" s="528"/>
      <c r="MYC41" s="528"/>
      <c r="MYD41" s="528"/>
      <c r="MYE41" s="528"/>
      <c r="MYF41" s="528"/>
      <c r="MYG41" s="528"/>
      <c r="MYH41" s="528"/>
      <c r="MYI41" s="528"/>
      <c r="MYJ41" s="528"/>
      <c r="MYK41" s="528"/>
      <c r="MYL41" s="528"/>
      <c r="MYM41" s="528"/>
      <c r="MYN41" s="528"/>
      <c r="MYO41" s="528"/>
      <c r="MYP41" s="528"/>
      <c r="MYQ41" s="528"/>
      <c r="MYR41" s="528"/>
      <c r="MYS41" s="528"/>
      <c r="MYT41" s="528"/>
      <c r="MYU41" s="528"/>
      <c r="MYV41" s="528"/>
      <c r="MYW41" s="528"/>
      <c r="MYX41" s="528"/>
      <c r="MYY41" s="528"/>
      <c r="MYZ41" s="528"/>
      <c r="MZA41" s="528"/>
      <c r="MZB41" s="528"/>
      <c r="MZC41" s="528"/>
      <c r="MZD41" s="528"/>
      <c r="MZE41" s="528"/>
      <c r="MZF41" s="528"/>
      <c r="MZG41" s="528"/>
      <c r="MZH41" s="528"/>
      <c r="MZI41" s="528"/>
      <c r="MZJ41" s="528"/>
      <c r="MZK41" s="528"/>
      <c r="MZL41" s="528"/>
      <c r="MZM41" s="528"/>
      <c r="MZN41" s="528"/>
      <c r="MZO41" s="528"/>
      <c r="MZP41" s="528"/>
      <c r="MZQ41" s="528"/>
      <c r="MZR41" s="528"/>
      <c r="MZS41" s="528"/>
      <c r="MZT41" s="528"/>
      <c r="MZU41" s="528"/>
      <c r="MZV41" s="528"/>
      <c r="MZW41" s="528"/>
      <c r="MZX41" s="528"/>
      <c r="MZY41" s="528"/>
      <c r="MZZ41" s="528"/>
      <c r="NAA41" s="528"/>
      <c r="NAB41" s="528"/>
      <c r="NAC41" s="528"/>
      <c r="NAD41" s="528"/>
      <c r="NAE41" s="528"/>
      <c r="NAF41" s="528"/>
      <c r="NAG41" s="528"/>
      <c r="NAH41" s="528"/>
      <c r="NAI41" s="528"/>
      <c r="NAJ41" s="528"/>
      <c r="NAK41" s="528"/>
      <c r="NAL41" s="528"/>
      <c r="NAM41" s="528"/>
      <c r="NAN41" s="528"/>
      <c r="NAO41" s="528"/>
      <c r="NAP41" s="528"/>
      <c r="NAQ41" s="528"/>
      <c r="NAR41" s="528"/>
      <c r="NAS41" s="528"/>
      <c r="NAT41" s="528"/>
      <c r="NAU41" s="528"/>
      <c r="NAV41" s="528"/>
      <c r="NAW41" s="528"/>
      <c r="NAX41" s="528"/>
      <c r="NAY41" s="528"/>
      <c r="NAZ41" s="528"/>
      <c r="NBA41" s="528"/>
      <c r="NBB41" s="528"/>
      <c r="NBC41" s="528"/>
      <c r="NBD41" s="528"/>
      <c r="NBE41" s="528"/>
      <c r="NBF41" s="528"/>
      <c r="NBG41" s="528"/>
      <c r="NBH41" s="528"/>
      <c r="NBI41" s="528"/>
      <c r="NBJ41" s="528"/>
      <c r="NBK41" s="528"/>
      <c r="NBL41" s="528"/>
      <c r="NBM41" s="528"/>
      <c r="NBN41" s="528"/>
      <c r="NBO41" s="528"/>
      <c r="NBP41" s="528"/>
      <c r="NBQ41" s="528"/>
      <c r="NBR41" s="528"/>
      <c r="NBS41" s="528"/>
      <c r="NBT41" s="528"/>
      <c r="NBU41" s="528"/>
      <c r="NBV41" s="528"/>
      <c r="NBW41" s="528"/>
      <c r="NBX41" s="528"/>
      <c r="NBY41" s="528"/>
      <c r="NBZ41" s="528"/>
      <c r="NCA41" s="528"/>
      <c r="NCB41" s="528"/>
      <c r="NCC41" s="528"/>
      <c r="NCD41" s="528"/>
      <c r="NCE41" s="528"/>
      <c r="NCF41" s="528"/>
      <c r="NCG41" s="528"/>
      <c r="NCH41" s="528"/>
      <c r="NCI41" s="528"/>
      <c r="NCJ41" s="528"/>
      <c r="NCK41" s="528"/>
      <c r="NCL41" s="528"/>
      <c r="NCM41" s="528"/>
      <c r="NCN41" s="528"/>
      <c r="NCO41" s="528"/>
      <c r="NCP41" s="528"/>
      <c r="NCQ41" s="528"/>
      <c r="NCR41" s="528"/>
      <c r="NCS41" s="528"/>
      <c r="NCT41" s="528"/>
      <c r="NCU41" s="528"/>
      <c r="NCV41" s="528"/>
      <c r="NCW41" s="528"/>
      <c r="NCX41" s="528"/>
      <c r="NCY41" s="528"/>
      <c r="NCZ41" s="528"/>
      <c r="NDA41" s="528"/>
      <c r="NDB41" s="528"/>
      <c r="NDC41" s="528"/>
      <c r="NDD41" s="528"/>
      <c r="NDE41" s="528"/>
      <c r="NDF41" s="528"/>
      <c r="NDG41" s="528"/>
      <c r="NDH41" s="528"/>
      <c r="NDI41" s="528"/>
      <c r="NDJ41" s="528"/>
      <c r="NDK41" s="528"/>
      <c r="NDL41" s="528"/>
      <c r="NDM41" s="528"/>
      <c r="NDN41" s="528"/>
      <c r="NDO41" s="528"/>
      <c r="NDP41" s="528"/>
      <c r="NDQ41" s="528"/>
      <c r="NDR41" s="528"/>
      <c r="NDS41" s="528"/>
      <c r="NDT41" s="528"/>
      <c r="NDU41" s="528"/>
      <c r="NDV41" s="528"/>
      <c r="NDW41" s="528"/>
      <c r="NDX41" s="528"/>
      <c r="NDY41" s="528"/>
      <c r="NDZ41" s="528"/>
      <c r="NEA41" s="528"/>
      <c r="NEB41" s="528"/>
      <c r="NEC41" s="528"/>
      <c r="NED41" s="528"/>
      <c r="NEE41" s="528"/>
      <c r="NEF41" s="528"/>
      <c r="NEG41" s="528"/>
      <c r="NEH41" s="528"/>
      <c r="NEI41" s="528"/>
      <c r="NEJ41" s="528"/>
      <c r="NEK41" s="528"/>
      <c r="NEL41" s="528"/>
      <c r="NEM41" s="528"/>
      <c r="NEN41" s="528"/>
      <c r="NEO41" s="528"/>
      <c r="NEP41" s="528"/>
      <c r="NEQ41" s="528"/>
      <c r="NER41" s="528"/>
      <c r="NES41" s="528"/>
      <c r="NET41" s="528"/>
      <c r="NEU41" s="528"/>
      <c r="NEV41" s="528"/>
      <c r="NEW41" s="528"/>
      <c r="NEX41" s="528"/>
      <c r="NEY41" s="528"/>
      <c r="NEZ41" s="528"/>
      <c r="NFA41" s="528"/>
      <c r="NFB41" s="528"/>
      <c r="NFC41" s="528"/>
      <c r="NFD41" s="528"/>
      <c r="NFE41" s="528"/>
      <c r="NFF41" s="528"/>
      <c r="NFG41" s="528"/>
      <c r="NFH41" s="528"/>
      <c r="NFI41" s="528"/>
      <c r="NFJ41" s="528"/>
      <c r="NFK41" s="528"/>
      <c r="NFL41" s="528"/>
      <c r="NFM41" s="528"/>
      <c r="NFN41" s="528"/>
      <c r="NFO41" s="528"/>
      <c r="NFP41" s="528"/>
      <c r="NFQ41" s="528"/>
      <c r="NFR41" s="528"/>
      <c r="NFS41" s="528"/>
      <c r="NFT41" s="528"/>
      <c r="NFU41" s="528"/>
      <c r="NFV41" s="528"/>
      <c r="NFW41" s="528"/>
      <c r="NFX41" s="528"/>
      <c r="NFY41" s="528"/>
      <c r="NFZ41" s="528"/>
      <c r="NGA41" s="528"/>
      <c r="NGB41" s="528"/>
      <c r="NGC41" s="528"/>
      <c r="NGD41" s="528"/>
      <c r="NGE41" s="528"/>
      <c r="NGF41" s="528"/>
      <c r="NGG41" s="528"/>
      <c r="NGH41" s="528"/>
      <c r="NGI41" s="528"/>
      <c r="NGJ41" s="528"/>
      <c r="NGK41" s="528"/>
      <c r="NGL41" s="528"/>
      <c r="NGM41" s="528"/>
      <c r="NGN41" s="528"/>
      <c r="NGO41" s="528"/>
      <c r="NGP41" s="528"/>
      <c r="NGQ41" s="528"/>
      <c r="NGR41" s="528"/>
      <c r="NGS41" s="528"/>
      <c r="NGT41" s="528"/>
      <c r="NGU41" s="528"/>
      <c r="NGV41" s="528"/>
      <c r="NGW41" s="528"/>
      <c r="NGX41" s="528"/>
      <c r="NGY41" s="528"/>
      <c r="NGZ41" s="528"/>
      <c r="NHA41" s="528"/>
      <c r="NHB41" s="528"/>
      <c r="NHC41" s="528"/>
      <c r="NHD41" s="528"/>
      <c r="NHE41" s="528"/>
      <c r="NHF41" s="528"/>
      <c r="NHG41" s="528"/>
      <c r="NHH41" s="528"/>
      <c r="NHI41" s="528"/>
      <c r="NHJ41" s="528"/>
      <c r="NHK41" s="528"/>
      <c r="NHL41" s="528"/>
      <c r="NHM41" s="528"/>
      <c r="NHN41" s="528"/>
      <c r="NHO41" s="528"/>
      <c r="NHP41" s="528"/>
      <c r="NHQ41" s="528"/>
      <c r="NHR41" s="528"/>
      <c r="NHS41" s="528"/>
      <c r="NHT41" s="528"/>
      <c r="NHU41" s="528"/>
      <c r="NHV41" s="528"/>
      <c r="NHW41" s="528"/>
      <c r="NHX41" s="528"/>
      <c r="NHY41" s="528"/>
      <c r="NHZ41" s="528"/>
      <c r="NIA41" s="528"/>
      <c r="NIB41" s="528"/>
      <c r="NIC41" s="528"/>
      <c r="NID41" s="528"/>
      <c r="NIE41" s="528"/>
      <c r="NIF41" s="528"/>
      <c r="NIG41" s="528"/>
      <c r="NIH41" s="528"/>
      <c r="NII41" s="528"/>
      <c r="NIJ41" s="528"/>
      <c r="NIK41" s="528"/>
      <c r="NIL41" s="528"/>
      <c r="NIM41" s="528"/>
      <c r="NIN41" s="528"/>
      <c r="NIO41" s="528"/>
      <c r="NIP41" s="528"/>
      <c r="NIQ41" s="528"/>
      <c r="NIR41" s="528"/>
      <c r="NIS41" s="528"/>
      <c r="NIT41" s="528"/>
      <c r="NIU41" s="528"/>
      <c r="NIV41" s="528"/>
      <c r="NIW41" s="528"/>
      <c r="NIX41" s="528"/>
      <c r="NIY41" s="528"/>
      <c r="NIZ41" s="528"/>
      <c r="NJA41" s="528"/>
      <c r="NJB41" s="528"/>
      <c r="NJC41" s="528"/>
      <c r="NJD41" s="528"/>
      <c r="NJE41" s="528"/>
      <c r="NJF41" s="528"/>
      <c r="NJG41" s="528"/>
      <c r="NJH41" s="528"/>
      <c r="NJI41" s="528"/>
      <c r="NJJ41" s="528"/>
      <c r="NJK41" s="528"/>
      <c r="NJL41" s="528"/>
      <c r="NJM41" s="528"/>
      <c r="NJN41" s="528"/>
      <c r="NJO41" s="528"/>
      <c r="NJP41" s="528"/>
      <c r="NJQ41" s="528"/>
      <c r="NJR41" s="528"/>
      <c r="NJS41" s="528"/>
      <c r="NJT41" s="528"/>
      <c r="NJU41" s="528"/>
      <c r="NJV41" s="528"/>
      <c r="NJW41" s="528"/>
      <c r="NJX41" s="528"/>
      <c r="NJY41" s="528"/>
      <c r="NJZ41" s="528"/>
      <c r="NKA41" s="528"/>
      <c r="NKB41" s="528"/>
      <c r="NKC41" s="528"/>
      <c r="NKD41" s="528"/>
      <c r="NKE41" s="528"/>
      <c r="NKF41" s="528"/>
      <c r="NKG41" s="528"/>
      <c r="NKH41" s="528"/>
      <c r="NKI41" s="528"/>
      <c r="NKJ41" s="528"/>
      <c r="NKK41" s="528"/>
      <c r="NKL41" s="528"/>
      <c r="NKM41" s="528"/>
      <c r="NKN41" s="528"/>
      <c r="NKO41" s="528"/>
      <c r="NKP41" s="528"/>
      <c r="NKQ41" s="528"/>
      <c r="NKR41" s="528"/>
      <c r="NKS41" s="528"/>
      <c r="NKT41" s="528"/>
      <c r="NKU41" s="528"/>
      <c r="NKV41" s="528"/>
      <c r="NKW41" s="528"/>
      <c r="NKX41" s="528"/>
      <c r="NKY41" s="528"/>
      <c r="NKZ41" s="528"/>
      <c r="NLA41" s="528"/>
      <c r="NLB41" s="528"/>
      <c r="NLC41" s="528"/>
      <c r="NLD41" s="528"/>
      <c r="NLE41" s="528"/>
      <c r="NLF41" s="528"/>
      <c r="NLG41" s="528"/>
      <c r="NLH41" s="528"/>
      <c r="NLI41" s="528"/>
      <c r="NLJ41" s="528"/>
      <c r="NLK41" s="528"/>
      <c r="NLL41" s="528"/>
      <c r="NLM41" s="528"/>
      <c r="NLN41" s="528"/>
      <c r="NLO41" s="528"/>
      <c r="NLP41" s="528"/>
      <c r="NLQ41" s="528"/>
      <c r="NLR41" s="528"/>
      <c r="NLS41" s="528"/>
      <c r="NLT41" s="528"/>
      <c r="NLU41" s="528"/>
      <c r="NLV41" s="528"/>
      <c r="NLW41" s="528"/>
      <c r="NLX41" s="528"/>
      <c r="NLY41" s="528"/>
      <c r="NLZ41" s="528"/>
      <c r="NMA41" s="528"/>
      <c r="NMB41" s="528"/>
      <c r="NMC41" s="528"/>
      <c r="NMD41" s="528"/>
      <c r="NME41" s="528"/>
      <c r="NMF41" s="528"/>
      <c r="NMG41" s="528"/>
      <c r="NMH41" s="528"/>
      <c r="NMI41" s="528"/>
      <c r="NMJ41" s="528"/>
      <c r="NMK41" s="528"/>
      <c r="NML41" s="528"/>
      <c r="NMM41" s="528"/>
      <c r="NMN41" s="528"/>
      <c r="NMO41" s="528"/>
      <c r="NMP41" s="528"/>
      <c r="NMQ41" s="528"/>
      <c r="NMR41" s="528"/>
      <c r="NMS41" s="528"/>
      <c r="NMT41" s="528"/>
      <c r="NMU41" s="528"/>
      <c r="NMV41" s="528"/>
      <c r="NMW41" s="528"/>
      <c r="NMX41" s="528"/>
      <c r="NMY41" s="528"/>
      <c r="NMZ41" s="528"/>
      <c r="NNA41" s="528"/>
      <c r="NNB41" s="528"/>
      <c r="NNC41" s="528"/>
      <c r="NND41" s="528"/>
      <c r="NNE41" s="528"/>
      <c r="NNF41" s="528"/>
      <c r="NNG41" s="528"/>
      <c r="NNH41" s="528"/>
      <c r="NNI41" s="528"/>
      <c r="NNJ41" s="528"/>
      <c r="NNK41" s="528"/>
      <c r="NNL41" s="528"/>
      <c r="NNM41" s="528"/>
      <c r="NNN41" s="528"/>
      <c r="NNO41" s="528"/>
      <c r="NNP41" s="528"/>
      <c r="NNQ41" s="528"/>
      <c r="NNR41" s="528"/>
      <c r="NNS41" s="528"/>
      <c r="NNT41" s="528"/>
      <c r="NNU41" s="528"/>
      <c r="NNV41" s="528"/>
      <c r="NNW41" s="528"/>
      <c r="NNX41" s="528"/>
      <c r="NNY41" s="528"/>
      <c r="NNZ41" s="528"/>
      <c r="NOA41" s="528"/>
      <c r="NOB41" s="528"/>
      <c r="NOC41" s="528"/>
      <c r="NOD41" s="528"/>
      <c r="NOE41" s="528"/>
      <c r="NOF41" s="528"/>
      <c r="NOG41" s="528"/>
      <c r="NOH41" s="528"/>
      <c r="NOI41" s="528"/>
      <c r="NOJ41" s="528"/>
      <c r="NOK41" s="528"/>
      <c r="NOL41" s="528"/>
      <c r="NOM41" s="528"/>
      <c r="NON41" s="528"/>
      <c r="NOO41" s="528"/>
      <c r="NOP41" s="528"/>
      <c r="NOQ41" s="528"/>
      <c r="NOR41" s="528"/>
      <c r="NOS41" s="528"/>
      <c r="NOT41" s="528"/>
      <c r="NOU41" s="528"/>
      <c r="NOV41" s="528"/>
      <c r="NOW41" s="528"/>
      <c r="NOX41" s="528"/>
      <c r="NOY41" s="528"/>
      <c r="NOZ41" s="528"/>
      <c r="NPA41" s="528"/>
      <c r="NPB41" s="528"/>
      <c r="NPC41" s="528"/>
      <c r="NPD41" s="528"/>
      <c r="NPE41" s="528"/>
      <c r="NPF41" s="528"/>
      <c r="NPG41" s="528"/>
      <c r="NPH41" s="528"/>
      <c r="NPI41" s="528"/>
      <c r="NPJ41" s="528"/>
      <c r="NPK41" s="528"/>
      <c r="NPL41" s="528"/>
      <c r="NPM41" s="528"/>
      <c r="NPN41" s="528"/>
      <c r="NPO41" s="528"/>
      <c r="NPP41" s="528"/>
      <c r="NPQ41" s="528"/>
      <c r="NPR41" s="528"/>
      <c r="NPS41" s="528"/>
      <c r="NPT41" s="528"/>
      <c r="NPU41" s="528"/>
      <c r="NPV41" s="528"/>
      <c r="NPW41" s="528"/>
      <c r="NPX41" s="528"/>
      <c r="NPY41" s="528"/>
      <c r="NPZ41" s="528"/>
      <c r="NQA41" s="528"/>
      <c r="NQB41" s="528"/>
      <c r="NQC41" s="528"/>
      <c r="NQD41" s="528"/>
      <c r="NQE41" s="528"/>
      <c r="NQF41" s="528"/>
      <c r="NQG41" s="528"/>
      <c r="NQH41" s="528"/>
      <c r="NQI41" s="528"/>
      <c r="NQJ41" s="528"/>
      <c r="NQK41" s="528"/>
      <c r="NQL41" s="528"/>
      <c r="NQM41" s="528"/>
      <c r="NQN41" s="528"/>
      <c r="NQO41" s="528"/>
      <c r="NQP41" s="528"/>
      <c r="NQQ41" s="528"/>
      <c r="NQR41" s="528"/>
      <c r="NQS41" s="528"/>
      <c r="NQT41" s="528"/>
      <c r="NQU41" s="528"/>
      <c r="NQV41" s="528"/>
      <c r="NQW41" s="528"/>
      <c r="NQX41" s="528"/>
      <c r="NQY41" s="528"/>
      <c r="NQZ41" s="528"/>
      <c r="NRA41" s="528"/>
      <c r="NRB41" s="528"/>
      <c r="NRC41" s="528"/>
      <c r="NRD41" s="528"/>
      <c r="NRE41" s="528"/>
      <c r="NRF41" s="528"/>
      <c r="NRG41" s="528"/>
      <c r="NRH41" s="528"/>
      <c r="NRI41" s="528"/>
      <c r="NRJ41" s="528"/>
      <c r="NRK41" s="528"/>
      <c r="NRL41" s="528"/>
      <c r="NRM41" s="528"/>
      <c r="NRN41" s="528"/>
      <c r="NRO41" s="528"/>
      <c r="NRP41" s="528"/>
      <c r="NRQ41" s="528"/>
      <c r="NRR41" s="528"/>
      <c r="NRS41" s="528"/>
      <c r="NRT41" s="528"/>
      <c r="NRU41" s="528"/>
      <c r="NRV41" s="528"/>
      <c r="NRW41" s="528"/>
      <c r="NRX41" s="528"/>
      <c r="NRY41" s="528"/>
      <c r="NRZ41" s="528"/>
      <c r="NSA41" s="528"/>
      <c r="NSB41" s="528"/>
      <c r="NSC41" s="528"/>
      <c r="NSD41" s="528"/>
      <c r="NSE41" s="528"/>
      <c r="NSF41" s="528"/>
      <c r="NSG41" s="528"/>
      <c r="NSH41" s="528"/>
      <c r="NSI41" s="528"/>
      <c r="NSJ41" s="528"/>
      <c r="NSK41" s="528"/>
      <c r="NSL41" s="528"/>
      <c r="NSM41" s="528"/>
      <c r="NSN41" s="528"/>
      <c r="NSO41" s="528"/>
      <c r="NSP41" s="528"/>
      <c r="NSQ41" s="528"/>
      <c r="NSR41" s="528"/>
      <c r="NSS41" s="528"/>
      <c r="NST41" s="528"/>
      <c r="NSU41" s="528"/>
      <c r="NSV41" s="528"/>
      <c r="NSW41" s="528"/>
      <c r="NSX41" s="528"/>
      <c r="NSY41" s="528"/>
      <c r="NSZ41" s="528"/>
      <c r="NTA41" s="528"/>
      <c r="NTB41" s="528"/>
      <c r="NTC41" s="528"/>
      <c r="NTD41" s="528"/>
      <c r="NTE41" s="528"/>
      <c r="NTF41" s="528"/>
      <c r="NTG41" s="528"/>
      <c r="NTH41" s="528"/>
      <c r="NTI41" s="528"/>
      <c r="NTJ41" s="528"/>
      <c r="NTK41" s="528"/>
      <c r="NTL41" s="528"/>
      <c r="NTM41" s="528"/>
      <c r="NTN41" s="528"/>
      <c r="NTO41" s="528"/>
      <c r="NTP41" s="528"/>
      <c r="NTQ41" s="528"/>
      <c r="NTR41" s="528"/>
      <c r="NTS41" s="528"/>
      <c r="NTT41" s="528"/>
      <c r="NTU41" s="528"/>
      <c r="NTV41" s="528"/>
      <c r="NTW41" s="528"/>
      <c r="NTX41" s="528"/>
      <c r="NTY41" s="528"/>
      <c r="NTZ41" s="528"/>
      <c r="NUA41" s="528"/>
      <c r="NUB41" s="528"/>
      <c r="NUC41" s="528"/>
      <c r="NUD41" s="528"/>
      <c r="NUE41" s="528"/>
      <c r="NUF41" s="528"/>
      <c r="NUG41" s="528"/>
      <c r="NUH41" s="528"/>
      <c r="NUI41" s="528"/>
      <c r="NUJ41" s="528"/>
      <c r="NUK41" s="528"/>
      <c r="NUL41" s="528"/>
      <c r="NUM41" s="528"/>
      <c r="NUN41" s="528"/>
      <c r="NUO41" s="528"/>
      <c r="NUP41" s="528"/>
      <c r="NUQ41" s="528"/>
      <c r="NUR41" s="528"/>
      <c r="NUS41" s="528"/>
      <c r="NUT41" s="528"/>
      <c r="NUU41" s="528"/>
      <c r="NUV41" s="528"/>
      <c r="NUW41" s="528"/>
      <c r="NUX41" s="528"/>
      <c r="NUY41" s="528"/>
      <c r="NUZ41" s="528"/>
      <c r="NVA41" s="528"/>
      <c r="NVB41" s="528"/>
      <c r="NVC41" s="528"/>
      <c r="NVD41" s="528"/>
      <c r="NVE41" s="528"/>
      <c r="NVF41" s="528"/>
      <c r="NVG41" s="528"/>
      <c r="NVH41" s="528"/>
      <c r="NVI41" s="528"/>
      <c r="NVJ41" s="528"/>
      <c r="NVK41" s="528"/>
      <c r="NVL41" s="528"/>
      <c r="NVM41" s="528"/>
      <c r="NVN41" s="528"/>
      <c r="NVO41" s="528"/>
      <c r="NVP41" s="528"/>
      <c r="NVQ41" s="528"/>
      <c r="NVR41" s="528"/>
      <c r="NVS41" s="528"/>
      <c r="NVT41" s="528"/>
      <c r="NVU41" s="528"/>
      <c r="NVV41" s="528"/>
      <c r="NVW41" s="528"/>
      <c r="NVX41" s="528"/>
      <c r="NVY41" s="528"/>
      <c r="NVZ41" s="528"/>
      <c r="NWA41" s="528"/>
      <c r="NWB41" s="528"/>
      <c r="NWC41" s="528"/>
      <c r="NWD41" s="528"/>
      <c r="NWE41" s="528"/>
      <c r="NWF41" s="528"/>
      <c r="NWG41" s="528"/>
      <c r="NWH41" s="528"/>
      <c r="NWI41" s="528"/>
      <c r="NWJ41" s="528"/>
      <c r="NWK41" s="528"/>
      <c r="NWL41" s="528"/>
      <c r="NWM41" s="528"/>
      <c r="NWN41" s="528"/>
      <c r="NWO41" s="528"/>
      <c r="NWP41" s="528"/>
      <c r="NWQ41" s="528"/>
      <c r="NWR41" s="528"/>
      <c r="NWS41" s="528"/>
      <c r="NWT41" s="528"/>
      <c r="NWU41" s="528"/>
      <c r="NWV41" s="528"/>
      <c r="NWW41" s="528"/>
      <c r="NWX41" s="528"/>
      <c r="NWY41" s="528"/>
      <c r="NWZ41" s="528"/>
      <c r="NXA41" s="528"/>
      <c r="NXB41" s="528"/>
      <c r="NXC41" s="528"/>
      <c r="NXD41" s="528"/>
      <c r="NXE41" s="528"/>
      <c r="NXF41" s="528"/>
      <c r="NXG41" s="528"/>
      <c r="NXH41" s="528"/>
      <c r="NXI41" s="528"/>
      <c r="NXJ41" s="528"/>
      <c r="NXK41" s="528"/>
      <c r="NXL41" s="528"/>
      <c r="NXM41" s="528"/>
      <c r="NXN41" s="528"/>
      <c r="NXO41" s="528"/>
      <c r="NXP41" s="528"/>
      <c r="NXQ41" s="528"/>
      <c r="NXR41" s="528"/>
      <c r="NXS41" s="528"/>
      <c r="NXT41" s="528"/>
      <c r="NXU41" s="528"/>
      <c r="NXV41" s="528"/>
      <c r="NXW41" s="528"/>
      <c r="NXX41" s="528"/>
      <c r="NXY41" s="528"/>
      <c r="NXZ41" s="528"/>
      <c r="NYA41" s="528"/>
      <c r="NYB41" s="528"/>
      <c r="NYC41" s="528"/>
      <c r="NYD41" s="528"/>
      <c r="NYE41" s="528"/>
      <c r="NYF41" s="528"/>
      <c r="NYG41" s="528"/>
      <c r="NYH41" s="528"/>
      <c r="NYI41" s="528"/>
      <c r="NYJ41" s="528"/>
      <c r="NYK41" s="528"/>
      <c r="NYL41" s="528"/>
      <c r="NYM41" s="528"/>
      <c r="NYN41" s="528"/>
      <c r="NYO41" s="528"/>
      <c r="NYP41" s="528"/>
      <c r="NYQ41" s="528"/>
      <c r="NYR41" s="528"/>
      <c r="NYS41" s="528"/>
      <c r="NYT41" s="528"/>
      <c r="NYU41" s="528"/>
      <c r="NYV41" s="528"/>
      <c r="NYW41" s="528"/>
      <c r="NYX41" s="528"/>
      <c r="NYY41" s="528"/>
      <c r="NYZ41" s="528"/>
      <c r="NZA41" s="528"/>
      <c r="NZB41" s="528"/>
      <c r="NZC41" s="528"/>
      <c r="NZD41" s="528"/>
      <c r="NZE41" s="528"/>
      <c r="NZF41" s="528"/>
      <c r="NZG41" s="528"/>
      <c r="NZH41" s="528"/>
      <c r="NZI41" s="528"/>
      <c r="NZJ41" s="528"/>
      <c r="NZK41" s="528"/>
      <c r="NZL41" s="528"/>
      <c r="NZM41" s="528"/>
      <c r="NZN41" s="528"/>
      <c r="NZO41" s="528"/>
      <c r="NZP41" s="528"/>
      <c r="NZQ41" s="528"/>
      <c r="NZR41" s="528"/>
      <c r="NZS41" s="528"/>
      <c r="NZT41" s="528"/>
      <c r="NZU41" s="528"/>
      <c r="NZV41" s="528"/>
      <c r="NZW41" s="528"/>
      <c r="NZX41" s="528"/>
      <c r="NZY41" s="528"/>
      <c r="NZZ41" s="528"/>
      <c r="OAA41" s="528"/>
      <c r="OAB41" s="528"/>
      <c r="OAC41" s="528"/>
      <c r="OAD41" s="528"/>
      <c r="OAE41" s="528"/>
      <c r="OAF41" s="528"/>
      <c r="OAG41" s="528"/>
      <c r="OAH41" s="528"/>
      <c r="OAI41" s="528"/>
      <c r="OAJ41" s="528"/>
      <c r="OAK41" s="528"/>
      <c r="OAL41" s="528"/>
      <c r="OAM41" s="528"/>
      <c r="OAN41" s="528"/>
      <c r="OAO41" s="528"/>
      <c r="OAP41" s="528"/>
      <c r="OAQ41" s="528"/>
      <c r="OAR41" s="528"/>
      <c r="OAS41" s="528"/>
      <c r="OAT41" s="528"/>
      <c r="OAU41" s="528"/>
      <c r="OAV41" s="528"/>
      <c r="OAW41" s="528"/>
      <c r="OAX41" s="528"/>
      <c r="OAY41" s="528"/>
      <c r="OAZ41" s="528"/>
      <c r="OBA41" s="528"/>
      <c r="OBB41" s="528"/>
      <c r="OBC41" s="528"/>
      <c r="OBD41" s="528"/>
      <c r="OBE41" s="528"/>
      <c r="OBF41" s="528"/>
      <c r="OBG41" s="528"/>
      <c r="OBH41" s="528"/>
      <c r="OBI41" s="528"/>
      <c r="OBJ41" s="528"/>
      <c r="OBK41" s="528"/>
      <c r="OBL41" s="528"/>
      <c r="OBM41" s="528"/>
      <c r="OBN41" s="528"/>
      <c r="OBO41" s="528"/>
      <c r="OBP41" s="528"/>
      <c r="OBQ41" s="528"/>
      <c r="OBR41" s="528"/>
      <c r="OBS41" s="528"/>
      <c r="OBT41" s="528"/>
      <c r="OBU41" s="528"/>
      <c r="OBV41" s="528"/>
      <c r="OBW41" s="528"/>
      <c r="OBX41" s="528"/>
      <c r="OBY41" s="528"/>
      <c r="OBZ41" s="528"/>
      <c r="OCA41" s="528"/>
      <c r="OCB41" s="528"/>
      <c r="OCC41" s="528"/>
      <c r="OCD41" s="528"/>
      <c r="OCE41" s="528"/>
      <c r="OCF41" s="528"/>
      <c r="OCG41" s="528"/>
      <c r="OCH41" s="528"/>
      <c r="OCI41" s="528"/>
      <c r="OCJ41" s="528"/>
      <c r="OCK41" s="528"/>
      <c r="OCL41" s="528"/>
      <c r="OCM41" s="528"/>
      <c r="OCN41" s="528"/>
      <c r="OCO41" s="528"/>
      <c r="OCP41" s="528"/>
      <c r="OCQ41" s="528"/>
      <c r="OCR41" s="528"/>
      <c r="OCS41" s="528"/>
      <c r="OCT41" s="528"/>
      <c r="OCU41" s="528"/>
      <c r="OCV41" s="528"/>
      <c r="OCW41" s="528"/>
      <c r="OCX41" s="528"/>
      <c r="OCY41" s="528"/>
      <c r="OCZ41" s="528"/>
      <c r="ODA41" s="528"/>
      <c r="ODB41" s="528"/>
      <c r="ODC41" s="528"/>
      <c r="ODD41" s="528"/>
      <c r="ODE41" s="528"/>
      <c r="ODF41" s="528"/>
      <c r="ODG41" s="528"/>
      <c r="ODH41" s="528"/>
      <c r="ODI41" s="528"/>
      <c r="ODJ41" s="528"/>
      <c r="ODK41" s="528"/>
      <c r="ODL41" s="528"/>
      <c r="ODM41" s="528"/>
      <c r="ODN41" s="528"/>
      <c r="ODO41" s="528"/>
      <c r="ODP41" s="528"/>
      <c r="ODQ41" s="528"/>
      <c r="ODR41" s="528"/>
      <c r="ODS41" s="528"/>
      <c r="ODT41" s="528"/>
      <c r="ODU41" s="528"/>
      <c r="ODV41" s="528"/>
      <c r="ODW41" s="528"/>
      <c r="ODX41" s="528"/>
      <c r="ODY41" s="528"/>
      <c r="ODZ41" s="528"/>
      <c r="OEA41" s="528"/>
      <c r="OEB41" s="528"/>
      <c r="OEC41" s="528"/>
      <c r="OED41" s="528"/>
      <c r="OEE41" s="528"/>
      <c r="OEF41" s="528"/>
      <c r="OEG41" s="528"/>
      <c r="OEH41" s="528"/>
      <c r="OEI41" s="528"/>
      <c r="OEJ41" s="528"/>
      <c r="OEK41" s="528"/>
      <c r="OEL41" s="528"/>
      <c r="OEM41" s="528"/>
      <c r="OEN41" s="528"/>
      <c r="OEO41" s="528"/>
      <c r="OEP41" s="528"/>
      <c r="OEQ41" s="528"/>
      <c r="OER41" s="528"/>
      <c r="OES41" s="528"/>
      <c r="OET41" s="528"/>
      <c r="OEU41" s="528"/>
      <c r="OEV41" s="528"/>
      <c r="OEW41" s="528"/>
      <c r="OEX41" s="528"/>
      <c r="OEY41" s="528"/>
      <c r="OEZ41" s="528"/>
      <c r="OFA41" s="528"/>
      <c r="OFB41" s="528"/>
      <c r="OFC41" s="528"/>
      <c r="OFD41" s="528"/>
      <c r="OFE41" s="528"/>
      <c r="OFF41" s="528"/>
      <c r="OFG41" s="528"/>
      <c r="OFH41" s="528"/>
      <c r="OFI41" s="528"/>
      <c r="OFJ41" s="528"/>
      <c r="OFK41" s="528"/>
      <c r="OFL41" s="528"/>
      <c r="OFM41" s="528"/>
      <c r="OFN41" s="528"/>
      <c r="OFO41" s="528"/>
      <c r="OFP41" s="528"/>
      <c r="OFQ41" s="528"/>
      <c r="OFR41" s="528"/>
      <c r="OFS41" s="528"/>
      <c r="OFT41" s="528"/>
      <c r="OFU41" s="528"/>
      <c r="OFV41" s="528"/>
      <c r="OFW41" s="528"/>
      <c r="OFX41" s="528"/>
      <c r="OFY41" s="528"/>
      <c r="OFZ41" s="528"/>
      <c r="OGA41" s="528"/>
      <c r="OGB41" s="528"/>
      <c r="OGC41" s="528"/>
      <c r="OGD41" s="528"/>
      <c r="OGE41" s="528"/>
      <c r="OGF41" s="528"/>
      <c r="OGG41" s="528"/>
      <c r="OGH41" s="528"/>
      <c r="OGI41" s="528"/>
      <c r="OGJ41" s="528"/>
      <c r="OGK41" s="528"/>
      <c r="OGL41" s="528"/>
      <c r="OGM41" s="528"/>
      <c r="OGN41" s="528"/>
      <c r="OGO41" s="528"/>
      <c r="OGP41" s="528"/>
      <c r="OGQ41" s="528"/>
      <c r="OGR41" s="528"/>
      <c r="OGS41" s="528"/>
      <c r="OGT41" s="528"/>
      <c r="OGU41" s="528"/>
      <c r="OGV41" s="528"/>
      <c r="OGW41" s="528"/>
      <c r="OGX41" s="528"/>
      <c r="OGY41" s="528"/>
      <c r="OGZ41" s="528"/>
      <c r="OHA41" s="528"/>
      <c r="OHB41" s="528"/>
      <c r="OHC41" s="528"/>
      <c r="OHD41" s="528"/>
      <c r="OHE41" s="528"/>
      <c r="OHF41" s="528"/>
      <c r="OHG41" s="528"/>
      <c r="OHH41" s="528"/>
      <c r="OHI41" s="528"/>
      <c r="OHJ41" s="528"/>
      <c r="OHK41" s="528"/>
      <c r="OHL41" s="528"/>
      <c r="OHM41" s="528"/>
      <c r="OHN41" s="528"/>
      <c r="OHO41" s="528"/>
      <c r="OHP41" s="528"/>
      <c r="OHQ41" s="528"/>
      <c r="OHR41" s="528"/>
      <c r="OHS41" s="528"/>
      <c r="OHT41" s="528"/>
      <c r="OHU41" s="528"/>
      <c r="OHV41" s="528"/>
      <c r="OHW41" s="528"/>
      <c r="OHX41" s="528"/>
      <c r="OHY41" s="528"/>
      <c r="OHZ41" s="528"/>
      <c r="OIA41" s="528"/>
      <c r="OIB41" s="528"/>
      <c r="OIC41" s="528"/>
      <c r="OID41" s="528"/>
      <c r="OIE41" s="528"/>
      <c r="OIF41" s="528"/>
      <c r="OIG41" s="528"/>
      <c r="OIH41" s="528"/>
      <c r="OII41" s="528"/>
      <c r="OIJ41" s="528"/>
      <c r="OIK41" s="528"/>
      <c r="OIL41" s="528"/>
      <c r="OIM41" s="528"/>
      <c r="OIN41" s="528"/>
      <c r="OIO41" s="528"/>
      <c r="OIP41" s="528"/>
      <c r="OIQ41" s="528"/>
      <c r="OIR41" s="528"/>
      <c r="OIS41" s="528"/>
      <c r="OIT41" s="528"/>
      <c r="OIU41" s="528"/>
      <c r="OIV41" s="528"/>
      <c r="OIW41" s="528"/>
      <c r="OIX41" s="528"/>
      <c r="OIY41" s="528"/>
      <c r="OIZ41" s="528"/>
      <c r="OJA41" s="528"/>
      <c r="OJB41" s="528"/>
      <c r="OJC41" s="528"/>
      <c r="OJD41" s="528"/>
      <c r="OJE41" s="528"/>
      <c r="OJF41" s="528"/>
      <c r="OJG41" s="528"/>
      <c r="OJH41" s="528"/>
      <c r="OJI41" s="528"/>
      <c r="OJJ41" s="528"/>
      <c r="OJK41" s="528"/>
      <c r="OJL41" s="528"/>
      <c r="OJM41" s="528"/>
      <c r="OJN41" s="528"/>
      <c r="OJO41" s="528"/>
      <c r="OJP41" s="528"/>
      <c r="OJQ41" s="528"/>
      <c r="OJR41" s="528"/>
      <c r="OJS41" s="528"/>
      <c r="OJT41" s="528"/>
      <c r="OJU41" s="528"/>
      <c r="OJV41" s="528"/>
      <c r="OJW41" s="528"/>
      <c r="OJX41" s="528"/>
      <c r="OJY41" s="528"/>
      <c r="OJZ41" s="528"/>
      <c r="OKA41" s="528"/>
      <c r="OKB41" s="528"/>
      <c r="OKC41" s="528"/>
      <c r="OKD41" s="528"/>
      <c r="OKE41" s="528"/>
      <c r="OKF41" s="528"/>
      <c r="OKG41" s="528"/>
      <c r="OKH41" s="528"/>
      <c r="OKI41" s="528"/>
      <c r="OKJ41" s="528"/>
      <c r="OKK41" s="528"/>
      <c r="OKL41" s="528"/>
      <c r="OKM41" s="528"/>
      <c r="OKN41" s="528"/>
      <c r="OKO41" s="528"/>
      <c r="OKP41" s="528"/>
      <c r="OKQ41" s="528"/>
      <c r="OKR41" s="528"/>
      <c r="OKS41" s="528"/>
      <c r="OKT41" s="528"/>
      <c r="OKU41" s="528"/>
      <c r="OKV41" s="528"/>
      <c r="OKW41" s="528"/>
      <c r="OKX41" s="528"/>
      <c r="OKY41" s="528"/>
      <c r="OKZ41" s="528"/>
      <c r="OLA41" s="528"/>
      <c r="OLB41" s="528"/>
      <c r="OLC41" s="528"/>
      <c r="OLD41" s="528"/>
      <c r="OLE41" s="528"/>
      <c r="OLF41" s="528"/>
      <c r="OLG41" s="528"/>
      <c r="OLH41" s="528"/>
      <c r="OLI41" s="528"/>
      <c r="OLJ41" s="528"/>
      <c r="OLK41" s="528"/>
      <c r="OLL41" s="528"/>
      <c r="OLM41" s="528"/>
      <c r="OLN41" s="528"/>
      <c r="OLO41" s="528"/>
      <c r="OLP41" s="528"/>
      <c r="OLQ41" s="528"/>
      <c r="OLR41" s="528"/>
      <c r="OLS41" s="528"/>
      <c r="OLT41" s="528"/>
      <c r="OLU41" s="528"/>
      <c r="OLV41" s="528"/>
      <c r="OLW41" s="528"/>
      <c r="OLX41" s="528"/>
      <c r="OLY41" s="528"/>
      <c r="OLZ41" s="528"/>
      <c r="OMA41" s="528"/>
      <c r="OMB41" s="528"/>
      <c r="OMC41" s="528"/>
      <c r="OMD41" s="528"/>
      <c r="OME41" s="528"/>
      <c r="OMF41" s="528"/>
      <c r="OMG41" s="528"/>
      <c r="OMH41" s="528"/>
      <c r="OMI41" s="528"/>
      <c r="OMJ41" s="528"/>
      <c r="OMK41" s="528"/>
      <c r="OML41" s="528"/>
      <c r="OMM41" s="528"/>
      <c r="OMN41" s="528"/>
      <c r="OMO41" s="528"/>
      <c r="OMP41" s="528"/>
      <c r="OMQ41" s="528"/>
      <c r="OMR41" s="528"/>
      <c r="OMS41" s="528"/>
      <c r="OMT41" s="528"/>
      <c r="OMU41" s="528"/>
      <c r="OMV41" s="528"/>
      <c r="OMW41" s="528"/>
      <c r="OMX41" s="528"/>
      <c r="OMY41" s="528"/>
      <c r="OMZ41" s="528"/>
      <c r="ONA41" s="528"/>
      <c r="ONB41" s="528"/>
      <c r="ONC41" s="528"/>
      <c r="OND41" s="528"/>
      <c r="ONE41" s="528"/>
      <c r="ONF41" s="528"/>
      <c r="ONG41" s="528"/>
      <c r="ONH41" s="528"/>
      <c r="ONI41" s="528"/>
      <c r="ONJ41" s="528"/>
      <c r="ONK41" s="528"/>
      <c r="ONL41" s="528"/>
      <c r="ONM41" s="528"/>
      <c r="ONN41" s="528"/>
      <c r="ONO41" s="528"/>
      <c r="ONP41" s="528"/>
      <c r="ONQ41" s="528"/>
      <c r="ONR41" s="528"/>
      <c r="ONS41" s="528"/>
      <c r="ONT41" s="528"/>
      <c r="ONU41" s="528"/>
      <c r="ONV41" s="528"/>
      <c r="ONW41" s="528"/>
      <c r="ONX41" s="528"/>
      <c r="ONY41" s="528"/>
      <c r="ONZ41" s="528"/>
      <c r="OOA41" s="528"/>
      <c r="OOB41" s="528"/>
      <c r="OOC41" s="528"/>
      <c r="OOD41" s="528"/>
      <c r="OOE41" s="528"/>
      <c r="OOF41" s="528"/>
      <c r="OOG41" s="528"/>
      <c r="OOH41" s="528"/>
      <c r="OOI41" s="528"/>
      <c r="OOJ41" s="528"/>
      <c r="OOK41" s="528"/>
      <c r="OOL41" s="528"/>
      <c r="OOM41" s="528"/>
      <c r="OON41" s="528"/>
      <c r="OOO41" s="528"/>
      <c r="OOP41" s="528"/>
      <c r="OOQ41" s="528"/>
      <c r="OOR41" s="528"/>
      <c r="OOS41" s="528"/>
      <c r="OOT41" s="528"/>
      <c r="OOU41" s="528"/>
      <c r="OOV41" s="528"/>
      <c r="OOW41" s="528"/>
      <c r="OOX41" s="528"/>
      <c r="OOY41" s="528"/>
      <c r="OOZ41" s="528"/>
      <c r="OPA41" s="528"/>
      <c r="OPB41" s="528"/>
      <c r="OPC41" s="528"/>
      <c r="OPD41" s="528"/>
      <c r="OPE41" s="528"/>
      <c r="OPF41" s="528"/>
      <c r="OPG41" s="528"/>
      <c r="OPH41" s="528"/>
      <c r="OPI41" s="528"/>
      <c r="OPJ41" s="528"/>
      <c r="OPK41" s="528"/>
      <c r="OPL41" s="528"/>
      <c r="OPM41" s="528"/>
      <c r="OPN41" s="528"/>
      <c r="OPO41" s="528"/>
      <c r="OPP41" s="528"/>
      <c r="OPQ41" s="528"/>
      <c r="OPR41" s="528"/>
      <c r="OPS41" s="528"/>
      <c r="OPT41" s="528"/>
      <c r="OPU41" s="528"/>
      <c r="OPV41" s="528"/>
      <c r="OPW41" s="528"/>
      <c r="OPX41" s="528"/>
      <c r="OPY41" s="528"/>
      <c r="OPZ41" s="528"/>
      <c r="OQA41" s="528"/>
      <c r="OQB41" s="528"/>
      <c r="OQC41" s="528"/>
      <c r="OQD41" s="528"/>
      <c r="OQE41" s="528"/>
      <c r="OQF41" s="528"/>
      <c r="OQG41" s="528"/>
      <c r="OQH41" s="528"/>
      <c r="OQI41" s="528"/>
      <c r="OQJ41" s="528"/>
      <c r="OQK41" s="528"/>
      <c r="OQL41" s="528"/>
      <c r="OQM41" s="528"/>
      <c r="OQN41" s="528"/>
      <c r="OQO41" s="528"/>
      <c r="OQP41" s="528"/>
      <c r="OQQ41" s="528"/>
      <c r="OQR41" s="528"/>
      <c r="OQS41" s="528"/>
      <c r="OQT41" s="528"/>
      <c r="OQU41" s="528"/>
      <c r="OQV41" s="528"/>
      <c r="OQW41" s="528"/>
      <c r="OQX41" s="528"/>
      <c r="OQY41" s="528"/>
      <c r="OQZ41" s="528"/>
      <c r="ORA41" s="528"/>
      <c r="ORB41" s="528"/>
      <c r="ORC41" s="528"/>
      <c r="ORD41" s="528"/>
      <c r="ORE41" s="528"/>
      <c r="ORF41" s="528"/>
      <c r="ORG41" s="528"/>
      <c r="ORH41" s="528"/>
      <c r="ORI41" s="528"/>
      <c r="ORJ41" s="528"/>
      <c r="ORK41" s="528"/>
      <c r="ORL41" s="528"/>
      <c r="ORM41" s="528"/>
      <c r="ORN41" s="528"/>
      <c r="ORO41" s="528"/>
      <c r="ORP41" s="528"/>
      <c r="ORQ41" s="528"/>
      <c r="ORR41" s="528"/>
      <c r="ORS41" s="528"/>
      <c r="ORT41" s="528"/>
      <c r="ORU41" s="528"/>
      <c r="ORV41" s="528"/>
      <c r="ORW41" s="528"/>
      <c r="ORX41" s="528"/>
      <c r="ORY41" s="528"/>
      <c r="ORZ41" s="528"/>
      <c r="OSA41" s="528"/>
      <c r="OSB41" s="528"/>
      <c r="OSC41" s="528"/>
      <c r="OSD41" s="528"/>
      <c r="OSE41" s="528"/>
      <c r="OSF41" s="528"/>
      <c r="OSG41" s="528"/>
      <c r="OSH41" s="528"/>
      <c r="OSI41" s="528"/>
      <c r="OSJ41" s="528"/>
      <c r="OSK41" s="528"/>
      <c r="OSL41" s="528"/>
      <c r="OSM41" s="528"/>
      <c r="OSN41" s="528"/>
      <c r="OSO41" s="528"/>
      <c r="OSP41" s="528"/>
      <c r="OSQ41" s="528"/>
      <c r="OSR41" s="528"/>
      <c r="OSS41" s="528"/>
      <c r="OST41" s="528"/>
      <c r="OSU41" s="528"/>
      <c r="OSV41" s="528"/>
      <c r="OSW41" s="528"/>
      <c r="OSX41" s="528"/>
      <c r="OSY41" s="528"/>
      <c r="OSZ41" s="528"/>
      <c r="OTA41" s="528"/>
      <c r="OTB41" s="528"/>
      <c r="OTC41" s="528"/>
      <c r="OTD41" s="528"/>
      <c r="OTE41" s="528"/>
      <c r="OTF41" s="528"/>
      <c r="OTG41" s="528"/>
      <c r="OTH41" s="528"/>
      <c r="OTI41" s="528"/>
      <c r="OTJ41" s="528"/>
      <c r="OTK41" s="528"/>
      <c r="OTL41" s="528"/>
      <c r="OTM41" s="528"/>
      <c r="OTN41" s="528"/>
      <c r="OTO41" s="528"/>
      <c r="OTP41" s="528"/>
      <c r="OTQ41" s="528"/>
      <c r="OTR41" s="528"/>
      <c r="OTS41" s="528"/>
      <c r="OTT41" s="528"/>
      <c r="OTU41" s="528"/>
      <c r="OTV41" s="528"/>
      <c r="OTW41" s="528"/>
      <c r="OTX41" s="528"/>
      <c r="OTY41" s="528"/>
      <c r="OTZ41" s="528"/>
      <c r="OUA41" s="528"/>
      <c r="OUB41" s="528"/>
      <c r="OUC41" s="528"/>
      <c r="OUD41" s="528"/>
      <c r="OUE41" s="528"/>
      <c r="OUF41" s="528"/>
      <c r="OUG41" s="528"/>
      <c r="OUH41" s="528"/>
      <c r="OUI41" s="528"/>
      <c r="OUJ41" s="528"/>
      <c r="OUK41" s="528"/>
      <c r="OUL41" s="528"/>
      <c r="OUM41" s="528"/>
      <c r="OUN41" s="528"/>
      <c r="OUO41" s="528"/>
      <c r="OUP41" s="528"/>
      <c r="OUQ41" s="528"/>
      <c r="OUR41" s="528"/>
      <c r="OUS41" s="528"/>
      <c r="OUT41" s="528"/>
      <c r="OUU41" s="528"/>
      <c r="OUV41" s="528"/>
      <c r="OUW41" s="528"/>
      <c r="OUX41" s="528"/>
      <c r="OUY41" s="528"/>
      <c r="OUZ41" s="528"/>
      <c r="OVA41" s="528"/>
      <c r="OVB41" s="528"/>
      <c r="OVC41" s="528"/>
      <c r="OVD41" s="528"/>
      <c r="OVE41" s="528"/>
      <c r="OVF41" s="528"/>
      <c r="OVG41" s="528"/>
      <c r="OVH41" s="528"/>
      <c r="OVI41" s="528"/>
      <c r="OVJ41" s="528"/>
      <c r="OVK41" s="528"/>
      <c r="OVL41" s="528"/>
      <c r="OVM41" s="528"/>
      <c r="OVN41" s="528"/>
      <c r="OVO41" s="528"/>
      <c r="OVP41" s="528"/>
      <c r="OVQ41" s="528"/>
      <c r="OVR41" s="528"/>
      <c r="OVS41" s="528"/>
      <c r="OVT41" s="528"/>
      <c r="OVU41" s="528"/>
      <c r="OVV41" s="528"/>
      <c r="OVW41" s="528"/>
      <c r="OVX41" s="528"/>
      <c r="OVY41" s="528"/>
      <c r="OVZ41" s="528"/>
      <c r="OWA41" s="528"/>
      <c r="OWB41" s="528"/>
      <c r="OWC41" s="528"/>
      <c r="OWD41" s="528"/>
      <c r="OWE41" s="528"/>
      <c r="OWF41" s="528"/>
      <c r="OWG41" s="528"/>
      <c r="OWH41" s="528"/>
      <c r="OWI41" s="528"/>
      <c r="OWJ41" s="528"/>
      <c r="OWK41" s="528"/>
      <c r="OWL41" s="528"/>
      <c r="OWM41" s="528"/>
      <c r="OWN41" s="528"/>
      <c r="OWO41" s="528"/>
      <c r="OWP41" s="528"/>
      <c r="OWQ41" s="528"/>
      <c r="OWR41" s="528"/>
      <c r="OWS41" s="528"/>
      <c r="OWT41" s="528"/>
      <c r="OWU41" s="528"/>
      <c r="OWV41" s="528"/>
      <c r="OWW41" s="528"/>
      <c r="OWX41" s="528"/>
      <c r="OWY41" s="528"/>
      <c r="OWZ41" s="528"/>
      <c r="OXA41" s="528"/>
      <c r="OXB41" s="528"/>
      <c r="OXC41" s="528"/>
      <c r="OXD41" s="528"/>
      <c r="OXE41" s="528"/>
      <c r="OXF41" s="528"/>
      <c r="OXG41" s="528"/>
      <c r="OXH41" s="528"/>
      <c r="OXI41" s="528"/>
      <c r="OXJ41" s="528"/>
      <c r="OXK41" s="528"/>
      <c r="OXL41" s="528"/>
      <c r="OXM41" s="528"/>
      <c r="OXN41" s="528"/>
      <c r="OXO41" s="528"/>
      <c r="OXP41" s="528"/>
      <c r="OXQ41" s="528"/>
      <c r="OXR41" s="528"/>
      <c r="OXS41" s="528"/>
      <c r="OXT41" s="528"/>
      <c r="OXU41" s="528"/>
      <c r="OXV41" s="528"/>
      <c r="OXW41" s="528"/>
      <c r="OXX41" s="528"/>
      <c r="OXY41" s="528"/>
      <c r="OXZ41" s="528"/>
      <c r="OYA41" s="528"/>
      <c r="OYB41" s="528"/>
      <c r="OYC41" s="528"/>
      <c r="OYD41" s="528"/>
      <c r="OYE41" s="528"/>
      <c r="OYF41" s="528"/>
      <c r="OYG41" s="528"/>
      <c r="OYH41" s="528"/>
      <c r="OYI41" s="528"/>
      <c r="OYJ41" s="528"/>
      <c r="OYK41" s="528"/>
      <c r="OYL41" s="528"/>
      <c r="OYM41" s="528"/>
      <c r="OYN41" s="528"/>
      <c r="OYO41" s="528"/>
      <c r="OYP41" s="528"/>
      <c r="OYQ41" s="528"/>
      <c r="OYR41" s="528"/>
      <c r="OYS41" s="528"/>
      <c r="OYT41" s="528"/>
      <c r="OYU41" s="528"/>
      <c r="OYV41" s="528"/>
      <c r="OYW41" s="528"/>
      <c r="OYX41" s="528"/>
      <c r="OYY41" s="528"/>
      <c r="OYZ41" s="528"/>
      <c r="OZA41" s="528"/>
      <c r="OZB41" s="528"/>
      <c r="OZC41" s="528"/>
      <c r="OZD41" s="528"/>
      <c r="OZE41" s="528"/>
      <c r="OZF41" s="528"/>
      <c r="OZG41" s="528"/>
      <c r="OZH41" s="528"/>
      <c r="OZI41" s="528"/>
      <c r="OZJ41" s="528"/>
      <c r="OZK41" s="528"/>
      <c r="OZL41" s="528"/>
      <c r="OZM41" s="528"/>
      <c r="OZN41" s="528"/>
      <c r="OZO41" s="528"/>
      <c r="OZP41" s="528"/>
      <c r="OZQ41" s="528"/>
      <c r="OZR41" s="528"/>
      <c r="OZS41" s="528"/>
      <c r="OZT41" s="528"/>
      <c r="OZU41" s="528"/>
      <c r="OZV41" s="528"/>
      <c r="OZW41" s="528"/>
      <c r="OZX41" s="528"/>
      <c r="OZY41" s="528"/>
      <c r="OZZ41" s="528"/>
      <c r="PAA41" s="528"/>
      <c r="PAB41" s="528"/>
      <c r="PAC41" s="528"/>
      <c r="PAD41" s="528"/>
      <c r="PAE41" s="528"/>
      <c r="PAF41" s="528"/>
      <c r="PAG41" s="528"/>
      <c r="PAH41" s="528"/>
      <c r="PAI41" s="528"/>
      <c r="PAJ41" s="528"/>
      <c r="PAK41" s="528"/>
      <c r="PAL41" s="528"/>
      <c r="PAM41" s="528"/>
      <c r="PAN41" s="528"/>
      <c r="PAO41" s="528"/>
      <c r="PAP41" s="528"/>
      <c r="PAQ41" s="528"/>
      <c r="PAR41" s="528"/>
      <c r="PAS41" s="528"/>
      <c r="PAT41" s="528"/>
      <c r="PAU41" s="528"/>
      <c r="PAV41" s="528"/>
      <c r="PAW41" s="528"/>
      <c r="PAX41" s="528"/>
      <c r="PAY41" s="528"/>
      <c r="PAZ41" s="528"/>
      <c r="PBA41" s="528"/>
      <c r="PBB41" s="528"/>
      <c r="PBC41" s="528"/>
      <c r="PBD41" s="528"/>
      <c r="PBE41" s="528"/>
      <c r="PBF41" s="528"/>
      <c r="PBG41" s="528"/>
      <c r="PBH41" s="528"/>
      <c r="PBI41" s="528"/>
      <c r="PBJ41" s="528"/>
      <c r="PBK41" s="528"/>
      <c r="PBL41" s="528"/>
      <c r="PBM41" s="528"/>
      <c r="PBN41" s="528"/>
      <c r="PBO41" s="528"/>
      <c r="PBP41" s="528"/>
      <c r="PBQ41" s="528"/>
      <c r="PBR41" s="528"/>
      <c r="PBS41" s="528"/>
      <c r="PBT41" s="528"/>
      <c r="PBU41" s="528"/>
      <c r="PBV41" s="528"/>
      <c r="PBW41" s="528"/>
      <c r="PBX41" s="528"/>
      <c r="PBY41" s="528"/>
      <c r="PBZ41" s="528"/>
      <c r="PCA41" s="528"/>
      <c r="PCB41" s="528"/>
      <c r="PCC41" s="528"/>
      <c r="PCD41" s="528"/>
      <c r="PCE41" s="528"/>
      <c r="PCF41" s="528"/>
      <c r="PCG41" s="528"/>
      <c r="PCH41" s="528"/>
      <c r="PCI41" s="528"/>
      <c r="PCJ41" s="528"/>
      <c r="PCK41" s="528"/>
      <c r="PCL41" s="528"/>
      <c r="PCM41" s="528"/>
      <c r="PCN41" s="528"/>
      <c r="PCO41" s="528"/>
      <c r="PCP41" s="528"/>
      <c r="PCQ41" s="528"/>
      <c r="PCR41" s="528"/>
      <c r="PCS41" s="528"/>
      <c r="PCT41" s="528"/>
      <c r="PCU41" s="528"/>
      <c r="PCV41" s="528"/>
      <c r="PCW41" s="528"/>
      <c r="PCX41" s="528"/>
      <c r="PCY41" s="528"/>
      <c r="PCZ41" s="528"/>
      <c r="PDA41" s="528"/>
      <c r="PDB41" s="528"/>
      <c r="PDC41" s="528"/>
      <c r="PDD41" s="528"/>
      <c r="PDE41" s="528"/>
      <c r="PDF41" s="528"/>
      <c r="PDG41" s="528"/>
      <c r="PDH41" s="528"/>
      <c r="PDI41" s="528"/>
      <c r="PDJ41" s="528"/>
      <c r="PDK41" s="528"/>
      <c r="PDL41" s="528"/>
      <c r="PDM41" s="528"/>
      <c r="PDN41" s="528"/>
      <c r="PDO41" s="528"/>
      <c r="PDP41" s="528"/>
      <c r="PDQ41" s="528"/>
      <c r="PDR41" s="528"/>
      <c r="PDS41" s="528"/>
      <c r="PDT41" s="528"/>
      <c r="PDU41" s="528"/>
      <c r="PDV41" s="528"/>
      <c r="PDW41" s="528"/>
      <c r="PDX41" s="528"/>
      <c r="PDY41" s="528"/>
      <c r="PDZ41" s="528"/>
      <c r="PEA41" s="528"/>
      <c r="PEB41" s="528"/>
      <c r="PEC41" s="528"/>
      <c r="PED41" s="528"/>
      <c r="PEE41" s="528"/>
      <c r="PEF41" s="528"/>
      <c r="PEG41" s="528"/>
      <c r="PEH41" s="528"/>
      <c r="PEI41" s="528"/>
      <c r="PEJ41" s="528"/>
      <c r="PEK41" s="528"/>
      <c r="PEL41" s="528"/>
      <c r="PEM41" s="528"/>
      <c r="PEN41" s="528"/>
      <c r="PEO41" s="528"/>
      <c r="PEP41" s="528"/>
      <c r="PEQ41" s="528"/>
      <c r="PER41" s="528"/>
      <c r="PES41" s="528"/>
      <c r="PET41" s="528"/>
      <c r="PEU41" s="528"/>
      <c r="PEV41" s="528"/>
      <c r="PEW41" s="528"/>
      <c r="PEX41" s="528"/>
      <c r="PEY41" s="528"/>
      <c r="PEZ41" s="528"/>
      <c r="PFA41" s="528"/>
      <c r="PFB41" s="528"/>
      <c r="PFC41" s="528"/>
      <c r="PFD41" s="528"/>
      <c r="PFE41" s="528"/>
      <c r="PFF41" s="528"/>
      <c r="PFG41" s="528"/>
      <c r="PFH41" s="528"/>
      <c r="PFI41" s="528"/>
      <c r="PFJ41" s="528"/>
      <c r="PFK41" s="528"/>
      <c r="PFL41" s="528"/>
      <c r="PFM41" s="528"/>
      <c r="PFN41" s="528"/>
      <c r="PFO41" s="528"/>
      <c r="PFP41" s="528"/>
      <c r="PFQ41" s="528"/>
      <c r="PFR41" s="528"/>
      <c r="PFS41" s="528"/>
      <c r="PFT41" s="528"/>
      <c r="PFU41" s="528"/>
      <c r="PFV41" s="528"/>
      <c r="PFW41" s="528"/>
      <c r="PFX41" s="528"/>
      <c r="PFY41" s="528"/>
      <c r="PFZ41" s="528"/>
      <c r="PGA41" s="528"/>
      <c r="PGB41" s="528"/>
      <c r="PGC41" s="528"/>
      <c r="PGD41" s="528"/>
      <c r="PGE41" s="528"/>
      <c r="PGF41" s="528"/>
      <c r="PGG41" s="528"/>
      <c r="PGH41" s="528"/>
      <c r="PGI41" s="528"/>
      <c r="PGJ41" s="528"/>
      <c r="PGK41" s="528"/>
      <c r="PGL41" s="528"/>
      <c r="PGM41" s="528"/>
      <c r="PGN41" s="528"/>
      <c r="PGO41" s="528"/>
      <c r="PGP41" s="528"/>
      <c r="PGQ41" s="528"/>
      <c r="PGR41" s="528"/>
      <c r="PGS41" s="528"/>
      <c r="PGT41" s="528"/>
      <c r="PGU41" s="528"/>
      <c r="PGV41" s="528"/>
      <c r="PGW41" s="528"/>
      <c r="PGX41" s="528"/>
      <c r="PGY41" s="528"/>
      <c r="PGZ41" s="528"/>
      <c r="PHA41" s="528"/>
      <c r="PHB41" s="528"/>
      <c r="PHC41" s="528"/>
      <c r="PHD41" s="528"/>
      <c r="PHE41" s="528"/>
      <c r="PHF41" s="528"/>
      <c r="PHG41" s="528"/>
      <c r="PHH41" s="528"/>
      <c r="PHI41" s="528"/>
      <c r="PHJ41" s="528"/>
      <c r="PHK41" s="528"/>
      <c r="PHL41" s="528"/>
      <c r="PHM41" s="528"/>
      <c r="PHN41" s="528"/>
      <c r="PHO41" s="528"/>
      <c r="PHP41" s="528"/>
      <c r="PHQ41" s="528"/>
      <c r="PHR41" s="528"/>
      <c r="PHS41" s="528"/>
      <c r="PHT41" s="528"/>
      <c r="PHU41" s="528"/>
      <c r="PHV41" s="528"/>
      <c r="PHW41" s="528"/>
      <c r="PHX41" s="528"/>
      <c r="PHY41" s="528"/>
      <c r="PHZ41" s="528"/>
      <c r="PIA41" s="528"/>
      <c r="PIB41" s="528"/>
      <c r="PIC41" s="528"/>
      <c r="PID41" s="528"/>
      <c r="PIE41" s="528"/>
      <c r="PIF41" s="528"/>
      <c r="PIG41" s="528"/>
      <c r="PIH41" s="528"/>
      <c r="PII41" s="528"/>
      <c r="PIJ41" s="528"/>
      <c r="PIK41" s="528"/>
      <c r="PIL41" s="528"/>
      <c r="PIM41" s="528"/>
      <c r="PIN41" s="528"/>
      <c r="PIO41" s="528"/>
      <c r="PIP41" s="528"/>
      <c r="PIQ41" s="528"/>
      <c r="PIR41" s="528"/>
      <c r="PIS41" s="528"/>
      <c r="PIT41" s="528"/>
      <c r="PIU41" s="528"/>
      <c r="PIV41" s="528"/>
      <c r="PIW41" s="528"/>
      <c r="PIX41" s="528"/>
      <c r="PIY41" s="528"/>
      <c r="PIZ41" s="528"/>
      <c r="PJA41" s="528"/>
      <c r="PJB41" s="528"/>
      <c r="PJC41" s="528"/>
      <c r="PJD41" s="528"/>
      <c r="PJE41" s="528"/>
      <c r="PJF41" s="528"/>
      <c r="PJG41" s="528"/>
      <c r="PJH41" s="528"/>
      <c r="PJI41" s="528"/>
      <c r="PJJ41" s="528"/>
      <c r="PJK41" s="528"/>
      <c r="PJL41" s="528"/>
      <c r="PJM41" s="528"/>
      <c r="PJN41" s="528"/>
      <c r="PJO41" s="528"/>
      <c r="PJP41" s="528"/>
      <c r="PJQ41" s="528"/>
      <c r="PJR41" s="528"/>
      <c r="PJS41" s="528"/>
      <c r="PJT41" s="528"/>
      <c r="PJU41" s="528"/>
      <c r="PJV41" s="528"/>
      <c r="PJW41" s="528"/>
      <c r="PJX41" s="528"/>
      <c r="PJY41" s="528"/>
      <c r="PJZ41" s="528"/>
      <c r="PKA41" s="528"/>
      <c r="PKB41" s="528"/>
      <c r="PKC41" s="528"/>
      <c r="PKD41" s="528"/>
      <c r="PKE41" s="528"/>
      <c r="PKF41" s="528"/>
      <c r="PKG41" s="528"/>
      <c r="PKH41" s="528"/>
      <c r="PKI41" s="528"/>
      <c r="PKJ41" s="528"/>
      <c r="PKK41" s="528"/>
      <c r="PKL41" s="528"/>
      <c r="PKM41" s="528"/>
      <c r="PKN41" s="528"/>
      <c r="PKO41" s="528"/>
      <c r="PKP41" s="528"/>
      <c r="PKQ41" s="528"/>
      <c r="PKR41" s="528"/>
      <c r="PKS41" s="528"/>
      <c r="PKT41" s="528"/>
      <c r="PKU41" s="528"/>
      <c r="PKV41" s="528"/>
      <c r="PKW41" s="528"/>
      <c r="PKX41" s="528"/>
      <c r="PKY41" s="528"/>
      <c r="PKZ41" s="528"/>
      <c r="PLA41" s="528"/>
      <c r="PLB41" s="528"/>
      <c r="PLC41" s="528"/>
      <c r="PLD41" s="528"/>
      <c r="PLE41" s="528"/>
      <c r="PLF41" s="528"/>
      <c r="PLG41" s="528"/>
      <c r="PLH41" s="528"/>
      <c r="PLI41" s="528"/>
      <c r="PLJ41" s="528"/>
      <c r="PLK41" s="528"/>
      <c r="PLL41" s="528"/>
      <c r="PLM41" s="528"/>
      <c r="PLN41" s="528"/>
      <c r="PLO41" s="528"/>
      <c r="PLP41" s="528"/>
      <c r="PLQ41" s="528"/>
      <c r="PLR41" s="528"/>
      <c r="PLS41" s="528"/>
      <c r="PLT41" s="528"/>
      <c r="PLU41" s="528"/>
      <c r="PLV41" s="528"/>
      <c r="PLW41" s="528"/>
      <c r="PLX41" s="528"/>
      <c r="PLY41" s="528"/>
      <c r="PLZ41" s="528"/>
      <c r="PMA41" s="528"/>
      <c r="PMB41" s="528"/>
      <c r="PMC41" s="528"/>
      <c r="PMD41" s="528"/>
      <c r="PME41" s="528"/>
      <c r="PMF41" s="528"/>
      <c r="PMG41" s="528"/>
      <c r="PMH41" s="528"/>
      <c r="PMI41" s="528"/>
      <c r="PMJ41" s="528"/>
      <c r="PMK41" s="528"/>
      <c r="PML41" s="528"/>
      <c r="PMM41" s="528"/>
      <c r="PMN41" s="528"/>
      <c r="PMO41" s="528"/>
      <c r="PMP41" s="528"/>
      <c r="PMQ41" s="528"/>
      <c r="PMR41" s="528"/>
      <c r="PMS41" s="528"/>
      <c r="PMT41" s="528"/>
      <c r="PMU41" s="528"/>
      <c r="PMV41" s="528"/>
      <c r="PMW41" s="528"/>
      <c r="PMX41" s="528"/>
      <c r="PMY41" s="528"/>
      <c r="PMZ41" s="528"/>
      <c r="PNA41" s="528"/>
      <c r="PNB41" s="528"/>
      <c r="PNC41" s="528"/>
      <c r="PND41" s="528"/>
      <c r="PNE41" s="528"/>
      <c r="PNF41" s="528"/>
      <c r="PNG41" s="528"/>
      <c r="PNH41" s="528"/>
      <c r="PNI41" s="528"/>
      <c r="PNJ41" s="528"/>
      <c r="PNK41" s="528"/>
      <c r="PNL41" s="528"/>
      <c r="PNM41" s="528"/>
      <c r="PNN41" s="528"/>
      <c r="PNO41" s="528"/>
      <c r="PNP41" s="528"/>
      <c r="PNQ41" s="528"/>
      <c r="PNR41" s="528"/>
      <c r="PNS41" s="528"/>
      <c r="PNT41" s="528"/>
      <c r="PNU41" s="528"/>
      <c r="PNV41" s="528"/>
      <c r="PNW41" s="528"/>
      <c r="PNX41" s="528"/>
      <c r="PNY41" s="528"/>
      <c r="PNZ41" s="528"/>
      <c r="POA41" s="528"/>
      <c r="POB41" s="528"/>
      <c r="POC41" s="528"/>
      <c r="POD41" s="528"/>
      <c r="POE41" s="528"/>
      <c r="POF41" s="528"/>
      <c r="POG41" s="528"/>
      <c r="POH41" s="528"/>
      <c r="POI41" s="528"/>
      <c r="POJ41" s="528"/>
      <c r="POK41" s="528"/>
      <c r="POL41" s="528"/>
      <c r="POM41" s="528"/>
      <c r="PON41" s="528"/>
      <c r="POO41" s="528"/>
      <c r="POP41" s="528"/>
      <c r="POQ41" s="528"/>
      <c r="POR41" s="528"/>
      <c r="POS41" s="528"/>
      <c r="POT41" s="528"/>
      <c r="POU41" s="528"/>
      <c r="POV41" s="528"/>
      <c r="POW41" s="528"/>
      <c r="POX41" s="528"/>
      <c r="POY41" s="528"/>
      <c r="POZ41" s="528"/>
      <c r="PPA41" s="528"/>
      <c r="PPB41" s="528"/>
      <c r="PPC41" s="528"/>
      <c r="PPD41" s="528"/>
      <c r="PPE41" s="528"/>
      <c r="PPF41" s="528"/>
      <c r="PPG41" s="528"/>
      <c r="PPH41" s="528"/>
      <c r="PPI41" s="528"/>
      <c r="PPJ41" s="528"/>
      <c r="PPK41" s="528"/>
      <c r="PPL41" s="528"/>
      <c r="PPM41" s="528"/>
      <c r="PPN41" s="528"/>
      <c r="PPO41" s="528"/>
      <c r="PPP41" s="528"/>
      <c r="PPQ41" s="528"/>
      <c r="PPR41" s="528"/>
      <c r="PPS41" s="528"/>
      <c r="PPT41" s="528"/>
      <c r="PPU41" s="528"/>
      <c r="PPV41" s="528"/>
      <c r="PPW41" s="528"/>
      <c r="PPX41" s="528"/>
      <c r="PPY41" s="528"/>
      <c r="PPZ41" s="528"/>
      <c r="PQA41" s="528"/>
      <c r="PQB41" s="528"/>
      <c r="PQC41" s="528"/>
      <c r="PQD41" s="528"/>
      <c r="PQE41" s="528"/>
      <c r="PQF41" s="528"/>
      <c r="PQG41" s="528"/>
      <c r="PQH41" s="528"/>
      <c r="PQI41" s="528"/>
      <c r="PQJ41" s="528"/>
      <c r="PQK41" s="528"/>
      <c r="PQL41" s="528"/>
      <c r="PQM41" s="528"/>
      <c r="PQN41" s="528"/>
      <c r="PQO41" s="528"/>
      <c r="PQP41" s="528"/>
      <c r="PQQ41" s="528"/>
      <c r="PQR41" s="528"/>
      <c r="PQS41" s="528"/>
      <c r="PQT41" s="528"/>
      <c r="PQU41" s="528"/>
      <c r="PQV41" s="528"/>
      <c r="PQW41" s="528"/>
      <c r="PQX41" s="528"/>
      <c r="PQY41" s="528"/>
      <c r="PQZ41" s="528"/>
      <c r="PRA41" s="528"/>
      <c r="PRB41" s="528"/>
      <c r="PRC41" s="528"/>
      <c r="PRD41" s="528"/>
      <c r="PRE41" s="528"/>
      <c r="PRF41" s="528"/>
      <c r="PRG41" s="528"/>
      <c r="PRH41" s="528"/>
      <c r="PRI41" s="528"/>
      <c r="PRJ41" s="528"/>
      <c r="PRK41" s="528"/>
      <c r="PRL41" s="528"/>
      <c r="PRM41" s="528"/>
      <c r="PRN41" s="528"/>
      <c r="PRO41" s="528"/>
      <c r="PRP41" s="528"/>
      <c r="PRQ41" s="528"/>
      <c r="PRR41" s="528"/>
      <c r="PRS41" s="528"/>
      <c r="PRT41" s="528"/>
      <c r="PRU41" s="528"/>
      <c r="PRV41" s="528"/>
      <c r="PRW41" s="528"/>
      <c r="PRX41" s="528"/>
      <c r="PRY41" s="528"/>
      <c r="PRZ41" s="528"/>
      <c r="PSA41" s="528"/>
      <c r="PSB41" s="528"/>
      <c r="PSC41" s="528"/>
      <c r="PSD41" s="528"/>
      <c r="PSE41" s="528"/>
      <c r="PSF41" s="528"/>
      <c r="PSG41" s="528"/>
      <c r="PSH41" s="528"/>
      <c r="PSI41" s="528"/>
      <c r="PSJ41" s="528"/>
      <c r="PSK41" s="528"/>
      <c r="PSL41" s="528"/>
      <c r="PSM41" s="528"/>
      <c r="PSN41" s="528"/>
      <c r="PSO41" s="528"/>
      <c r="PSP41" s="528"/>
      <c r="PSQ41" s="528"/>
      <c r="PSR41" s="528"/>
      <c r="PSS41" s="528"/>
      <c r="PST41" s="528"/>
      <c r="PSU41" s="528"/>
      <c r="PSV41" s="528"/>
      <c r="PSW41" s="528"/>
      <c r="PSX41" s="528"/>
      <c r="PSY41" s="528"/>
      <c r="PSZ41" s="528"/>
      <c r="PTA41" s="528"/>
      <c r="PTB41" s="528"/>
      <c r="PTC41" s="528"/>
      <c r="PTD41" s="528"/>
      <c r="PTE41" s="528"/>
      <c r="PTF41" s="528"/>
      <c r="PTG41" s="528"/>
      <c r="PTH41" s="528"/>
      <c r="PTI41" s="528"/>
      <c r="PTJ41" s="528"/>
      <c r="PTK41" s="528"/>
      <c r="PTL41" s="528"/>
      <c r="PTM41" s="528"/>
      <c r="PTN41" s="528"/>
      <c r="PTO41" s="528"/>
      <c r="PTP41" s="528"/>
      <c r="PTQ41" s="528"/>
      <c r="PTR41" s="528"/>
      <c r="PTS41" s="528"/>
      <c r="PTT41" s="528"/>
      <c r="PTU41" s="528"/>
      <c r="PTV41" s="528"/>
      <c r="PTW41" s="528"/>
      <c r="PTX41" s="528"/>
      <c r="PTY41" s="528"/>
      <c r="PTZ41" s="528"/>
      <c r="PUA41" s="528"/>
      <c r="PUB41" s="528"/>
      <c r="PUC41" s="528"/>
      <c r="PUD41" s="528"/>
      <c r="PUE41" s="528"/>
      <c r="PUF41" s="528"/>
      <c r="PUG41" s="528"/>
      <c r="PUH41" s="528"/>
      <c r="PUI41" s="528"/>
      <c r="PUJ41" s="528"/>
      <c r="PUK41" s="528"/>
      <c r="PUL41" s="528"/>
      <c r="PUM41" s="528"/>
      <c r="PUN41" s="528"/>
      <c r="PUO41" s="528"/>
      <c r="PUP41" s="528"/>
      <c r="PUQ41" s="528"/>
      <c r="PUR41" s="528"/>
      <c r="PUS41" s="528"/>
      <c r="PUT41" s="528"/>
      <c r="PUU41" s="528"/>
      <c r="PUV41" s="528"/>
      <c r="PUW41" s="528"/>
      <c r="PUX41" s="528"/>
      <c r="PUY41" s="528"/>
      <c r="PUZ41" s="528"/>
      <c r="PVA41" s="528"/>
      <c r="PVB41" s="528"/>
      <c r="PVC41" s="528"/>
      <c r="PVD41" s="528"/>
      <c r="PVE41" s="528"/>
      <c r="PVF41" s="528"/>
      <c r="PVG41" s="528"/>
      <c r="PVH41" s="528"/>
      <c r="PVI41" s="528"/>
      <c r="PVJ41" s="528"/>
      <c r="PVK41" s="528"/>
      <c r="PVL41" s="528"/>
      <c r="PVM41" s="528"/>
      <c r="PVN41" s="528"/>
      <c r="PVO41" s="528"/>
      <c r="PVP41" s="528"/>
      <c r="PVQ41" s="528"/>
      <c r="PVR41" s="528"/>
      <c r="PVS41" s="528"/>
      <c r="PVT41" s="528"/>
      <c r="PVU41" s="528"/>
      <c r="PVV41" s="528"/>
      <c r="PVW41" s="528"/>
      <c r="PVX41" s="528"/>
      <c r="PVY41" s="528"/>
      <c r="PVZ41" s="528"/>
      <c r="PWA41" s="528"/>
      <c r="PWB41" s="528"/>
      <c r="PWC41" s="528"/>
      <c r="PWD41" s="528"/>
      <c r="PWE41" s="528"/>
      <c r="PWF41" s="528"/>
      <c r="PWG41" s="528"/>
      <c r="PWH41" s="528"/>
      <c r="PWI41" s="528"/>
      <c r="PWJ41" s="528"/>
      <c r="PWK41" s="528"/>
      <c r="PWL41" s="528"/>
      <c r="PWM41" s="528"/>
      <c r="PWN41" s="528"/>
      <c r="PWO41" s="528"/>
      <c r="PWP41" s="528"/>
      <c r="PWQ41" s="528"/>
      <c r="PWR41" s="528"/>
      <c r="PWS41" s="528"/>
      <c r="PWT41" s="528"/>
      <c r="PWU41" s="528"/>
      <c r="PWV41" s="528"/>
      <c r="PWW41" s="528"/>
      <c r="PWX41" s="528"/>
      <c r="PWY41" s="528"/>
      <c r="PWZ41" s="528"/>
      <c r="PXA41" s="528"/>
      <c r="PXB41" s="528"/>
      <c r="PXC41" s="528"/>
      <c r="PXD41" s="528"/>
      <c r="PXE41" s="528"/>
      <c r="PXF41" s="528"/>
      <c r="PXG41" s="528"/>
      <c r="PXH41" s="528"/>
      <c r="PXI41" s="528"/>
      <c r="PXJ41" s="528"/>
      <c r="PXK41" s="528"/>
      <c r="PXL41" s="528"/>
      <c r="PXM41" s="528"/>
      <c r="PXN41" s="528"/>
      <c r="PXO41" s="528"/>
      <c r="PXP41" s="528"/>
      <c r="PXQ41" s="528"/>
      <c r="PXR41" s="528"/>
      <c r="PXS41" s="528"/>
      <c r="PXT41" s="528"/>
      <c r="PXU41" s="528"/>
      <c r="PXV41" s="528"/>
      <c r="PXW41" s="528"/>
      <c r="PXX41" s="528"/>
      <c r="PXY41" s="528"/>
      <c r="PXZ41" s="528"/>
      <c r="PYA41" s="528"/>
      <c r="PYB41" s="528"/>
      <c r="PYC41" s="528"/>
      <c r="PYD41" s="528"/>
      <c r="PYE41" s="528"/>
      <c r="PYF41" s="528"/>
      <c r="PYG41" s="528"/>
      <c r="PYH41" s="528"/>
      <c r="PYI41" s="528"/>
      <c r="PYJ41" s="528"/>
      <c r="PYK41" s="528"/>
      <c r="PYL41" s="528"/>
      <c r="PYM41" s="528"/>
      <c r="PYN41" s="528"/>
      <c r="PYO41" s="528"/>
      <c r="PYP41" s="528"/>
      <c r="PYQ41" s="528"/>
      <c r="PYR41" s="528"/>
      <c r="PYS41" s="528"/>
      <c r="PYT41" s="528"/>
      <c r="PYU41" s="528"/>
      <c r="PYV41" s="528"/>
      <c r="PYW41" s="528"/>
      <c r="PYX41" s="528"/>
      <c r="PYY41" s="528"/>
      <c r="PYZ41" s="528"/>
      <c r="PZA41" s="528"/>
      <c r="PZB41" s="528"/>
      <c r="PZC41" s="528"/>
      <c r="PZD41" s="528"/>
      <c r="PZE41" s="528"/>
      <c r="PZF41" s="528"/>
      <c r="PZG41" s="528"/>
      <c r="PZH41" s="528"/>
      <c r="PZI41" s="528"/>
      <c r="PZJ41" s="528"/>
      <c r="PZK41" s="528"/>
      <c r="PZL41" s="528"/>
      <c r="PZM41" s="528"/>
      <c r="PZN41" s="528"/>
      <c r="PZO41" s="528"/>
      <c r="PZP41" s="528"/>
      <c r="PZQ41" s="528"/>
      <c r="PZR41" s="528"/>
      <c r="PZS41" s="528"/>
      <c r="PZT41" s="528"/>
      <c r="PZU41" s="528"/>
      <c r="PZV41" s="528"/>
      <c r="PZW41" s="528"/>
      <c r="PZX41" s="528"/>
      <c r="PZY41" s="528"/>
      <c r="PZZ41" s="528"/>
      <c r="QAA41" s="528"/>
      <c r="QAB41" s="528"/>
      <c r="QAC41" s="528"/>
      <c r="QAD41" s="528"/>
      <c r="QAE41" s="528"/>
      <c r="QAF41" s="528"/>
      <c r="QAG41" s="528"/>
      <c r="QAH41" s="528"/>
      <c r="QAI41" s="528"/>
      <c r="QAJ41" s="528"/>
      <c r="QAK41" s="528"/>
      <c r="QAL41" s="528"/>
      <c r="QAM41" s="528"/>
      <c r="QAN41" s="528"/>
      <c r="QAO41" s="528"/>
      <c r="QAP41" s="528"/>
      <c r="QAQ41" s="528"/>
      <c r="QAR41" s="528"/>
      <c r="QAS41" s="528"/>
      <c r="QAT41" s="528"/>
      <c r="QAU41" s="528"/>
      <c r="QAV41" s="528"/>
      <c r="QAW41" s="528"/>
      <c r="QAX41" s="528"/>
      <c r="QAY41" s="528"/>
      <c r="QAZ41" s="528"/>
      <c r="QBA41" s="528"/>
      <c r="QBB41" s="528"/>
      <c r="QBC41" s="528"/>
      <c r="QBD41" s="528"/>
      <c r="QBE41" s="528"/>
      <c r="QBF41" s="528"/>
      <c r="QBG41" s="528"/>
      <c r="QBH41" s="528"/>
      <c r="QBI41" s="528"/>
      <c r="QBJ41" s="528"/>
      <c r="QBK41" s="528"/>
      <c r="QBL41" s="528"/>
      <c r="QBM41" s="528"/>
      <c r="QBN41" s="528"/>
      <c r="QBO41" s="528"/>
      <c r="QBP41" s="528"/>
      <c r="QBQ41" s="528"/>
      <c r="QBR41" s="528"/>
      <c r="QBS41" s="528"/>
      <c r="QBT41" s="528"/>
      <c r="QBU41" s="528"/>
      <c r="QBV41" s="528"/>
      <c r="QBW41" s="528"/>
      <c r="QBX41" s="528"/>
      <c r="QBY41" s="528"/>
      <c r="QBZ41" s="528"/>
      <c r="QCA41" s="528"/>
      <c r="QCB41" s="528"/>
      <c r="QCC41" s="528"/>
      <c r="QCD41" s="528"/>
      <c r="QCE41" s="528"/>
      <c r="QCF41" s="528"/>
      <c r="QCG41" s="528"/>
      <c r="QCH41" s="528"/>
      <c r="QCI41" s="528"/>
      <c r="QCJ41" s="528"/>
      <c r="QCK41" s="528"/>
      <c r="QCL41" s="528"/>
      <c r="QCM41" s="528"/>
      <c r="QCN41" s="528"/>
      <c r="QCO41" s="528"/>
      <c r="QCP41" s="528"/>
      <c r="QCQ41" s="528"/>
      <c r="QCR41" s="528"/>
      <c r="QCS41" s="528"/>
      <c r="QCT41" s="528"/>
      <c r="QCU41" s="528"/>
      <c r="QCV41" s="528"/>
      <c r="QCW41" s="528"/>
      <c r="QCX41" s="528"/>
      <c r="QCY41" s="528"/>
      <c r="QCZ41" s="528"/>
      <c r="QDA41" s="528"/>
      <c r="QDB41" s="528"/>
      <c r="QDC41" s="528"/>
      <c r="QDD41" s="528"/>
      <c r="QDE41" s="528"/>
      <c r="QDF41" s="528"/>
      <c r="QDG41" s="528"/>
      <c r="QDH41" s="528"/>
      <c r="QDI41" s="528"/>
      <c r="QDJ41" s="528"/>
      <c r="QDK41" s="528"/>
      <c r="QDL41" s="528"/>
      <c r="QDM41" s="528"/>
      <c r="QDN41" s="528"/>
      <c r="QDO41" s="528"/>
      <c r="QDP41" s="528"/>
      <c r="QDQ41" s="528"/>
      <c r="QDR41" s="528"/>
      <c r="QDS41" s="528"/>
      <c r="QDT41" s="528"/>
      <c r="QDU41" s="528"/>
      <c r="QDV41" s="528"/>
      <c r="QDW41" s="528"/>
      <c r="QDX41" s="528"/>
      <c r="QDY41" s="528"/>
      <c r="QDZ41" s="528"/>
      <c r="QEA41" s="528"/>
      <c r="QEB41" s="528"/>
      <c r="QEC41" s="528"/>
      <c r="QED41" s="528"/>
      <c r="QEE41" s="528"/>
      <c r="QEF41" s="528"/>
      <c r="QEG41" s="528"/>
      <c r="QEH41" s="528"/>
      <c r="QEI41" s="528"/>
      <c r="QEJ41" s="528"/>
      <c r="QEK41" s="528"/>
      <c r="QEL41" s="528"/>
      <c r="QEM41" s="528"/>
      <c r="QEN41" s="528"/>
      <c r="QEO41" s="528"/>
      <c r="QEP41" s="528"/>
      <c r="QEQ41" s="528"/>
      <c r="QER41" s="528"/>
      <c r="QES41" s="528"/>
      <c r="QET41" s="528"/>
      <c r="QEU41" s="528"/>
      <c r="QEV41" s="528"/>
      <c r="QEW41" s="528"/>
      <c r="QEX41" s="528"/>
      <c r="QEY41" s="528"/>
      <c r="QEZ41" s="528"/>
      <c r="QFA41" s="528"/>
      <c r="QFB41" s="528"/>
      <c r="QFC41" s="528"/>
      <c r="QFD41" s="528"/>
      <c r="QFE41" s="528"/>
      <c r="QFF41" s="528"/>
      <c r="QFG41" s="528"/>
      <c r="QFH41" s="528"/>
      <c r="QFI41" s="528"/>
      <c r="QFJ41" s="528"/>
      <c r="QFK41" s="528"/>
      <c r="QFL41" s="528"/>
      <c r="QFM41" s="528"/>
      <c r="QFN41" s="528"/>
      <c r="QFO41" s="528"/>
      <c r="QFP41" s="528"/>
      <c r="QFQ41" s="528"/>
      <c r="QFR41" s="528"/>
      <c r="QFS41" s="528"/>
      <c r="QFT41" s="528"/>
      <c r="QFU41" s="528"/>
      <c r="QFV41" s="528"/>
      <c r="QFW41" s="528"/>
      <c r="QFX41" s="528"/>
      <c r="QFY41" s="528"/>
      <c r="QFZ41" s="528"/>
      <c r="QGA41" s="528"/>
      <c r="QGB41" s="528"/>
      <c r="QGC41" s="528"/>
      <c r="QGD41" s="528"/>
      <c r="QGE41" s="528"/>
      <c r="QGF41" s="528"/>
      <c r="QGG41" s="528"/>
      <c r="QGH41" s="528"/>
      <c r="QGI41" s="528"/>
      <c r="QGJ41" s="528"/>
      <c r="QGK41" s="528"/>
      <c r="QGL41" s="528"/>
      <c r="QGM41" s="528"/>
      <c r="QGN41" s="528"/>
      <c r="QGO41" s="528"/>
      <c r="QGP41" s="528"/>
      <c r="QGQ41" s="528"/>
      <c r="QGR41" s="528"/>
      <c r="QGS41" s="528"/>
      <c r="QGT41" s="528"/>
      <c r="QGU41" s="528"/>
      <c r="QGV41" s="528"/>
      <c r="QGW41" s="528"/>
      <c r="QGX41" s="528"/>
      <c r="QGY41" s="528"/>
      <c r="QGZ41" s="528"/>
      <c r="QHA41" s="528"/>
      <c r="QHB41" s="528"/>
      <c r="QHC41" s="528"/>
      <c r="QHD41" s="528"/>
      <c r="QHE41" s="528"/>
      <c r="QHF41" s="528"/>
      <c r="QHG41" s="528"/>
      <c r="QHH41" s="528"/>
      <c r="QHI41" s="528"/>
      <c r="QHJ41" s="528"/>
      <c r="QHK41" s="528"/>
      <c r="QHL41" s="528"/>
      <c r="QHM41" s="528"/>
      <c r="QHN41" s="528"/>
      <c r="QHO41" s="528"/>
      <c r="QHP41" s="528"/>
      <c r="QHQ41" s="528"/>
      <c r="QHR41" s="528"/>
      <c r="QHS41" s="528"/>
      <c r="QHT41" s="528"/>
      <c r="QHU41" s="528"/>
      <c r="QHV41" s="528"/>
      <c r="QHW41" s="528"/>
      <c r="QHX41" s="528"/>
      <c r="QHY41" s="528"/>
      <c r="QHZ41" s="528"/>
      <c r="QIA41" s="528"/>
      <c r="QIB41" s="528"/>
      <c r="QIC41" s="528"/>
      <c r="QID41" s="528"/>
      <c r="QIE41" s="528"/>
      <c r="QIF41" s="528"/>
      <c r="QIG41" s="528"/>
      <c r="QIH41" s="528"/>
      <c r="QII41" s="528"/>
      <c r="QIJ41" s="528"/>
      <c r="QIK41" s="528"/>
      <c r="QIL41" s="528"/>
      <c r="QIM41" s="528"/>
      <c r="QIN41" s="528"/>
      <c r="QIO41" s="528"/>
      <c r="QIP41" s="528"/>
      <c r="QIQ41" s="528"/>
      <c r="QIR41" s="528"/>
      <c r="QIS41" s="528"/>
      <c r="QIT41" s="528"/>
      <c r="QIU41" s="528"/>
      <c r="QIV41" s="528"/>
      <c r="QIW41" s="528"/>
      <c r="QIX41" s="528"/>
      <c r="QIY41" s="528"/>
      <c r="QIZ41" s="528"/>
      <c r="QJA41" s="528"/>
      <c r="QJB41" s="528"/>
      <c r="QJC41" s="528"/>
      <c r="QJD41" s="528"/>
      <c r="QJE41" s="528"/>
      <c r="QJF41" s="528"/>
      <c r="QJG41" s="528"/>
      <c r="QJH41" s="528"/>
      <c r="QJI41" s="528"/>
      <c r="QJJ41" s="528"/>
      <c r="QJK41" s="528"/>
      <c r="QJL41" s="528"/>
      <c r="QJM41" s="528"/>
      <c r="QJN41" s="528"/>
      <c r="QJO41" s="528"/>
      <c r="QJP41" s="528"/>
      <c r="QJQ41" s="528"/>
      <c r="QJR41" s="528"/>
      <c r="QJS41" s="528"/>
      <c r="QJT41" s="528"/>
      <c r="QJU41" s="528"/>
      <c r="QJV41" s="528"/>
      <c r="QJW41" s="528"/>
      <c r="QJX41" s="528"/>
      <c r="QJY41" s="528"/>
      <c r="QJZ41" s="528"/>
      <c r="QKA41" s="528"/>
      <c r="QKB41" s="528"/>
      <c r="QKC41" s="528"/>
      <c r="QKD41" s="528"/>
      <c r="QKE41" s="528"/>
      <c r="QKF41" s="528"/>
      <c r="QKG41" s="528"/>
      <c r="QKH41" s="528"/>
      <c r="QKI41" s="528"/>
      <c r="QKJ41" s="528"/>
      <c r="QKK41" s="528"/>
      <c r="QKL41" s="528"/>
      <c r="QKM41" s="528"/>
      <c r="QKN41" s="528"/>
      <c r="QKO41" s="528"/>
      <c r="QKP41" s="528"/>
      <c r="QKQ41" s="528"/>
      <c r="QKR41" s="528"/>
      <c r="QKS41" s="528"/>
      <c r="QKT41" s="528"/>
      <c r="QKU41" s="528"/>
      <c r="QKV41" s="528"/>
      <c r="QKW41" s="528"/>
      <c r="QKX41" s="528"/>
      <c r="QKY41" s="528"/>
      <c r="QKZ41" s="528"/>
      <c r="QLA41" s="528"/>
      <c r="QLB41" s="528"/>
      <c r="QLC41" s="528"/>
      <c r="QLD41" s="528"/>
      <c r="QLE41" s="528"/>
      <c r="QLF41" s="528"/>
      <c r="QLG41" s="528"/>
      <c r="QLH41" s="528"/>
      <c r="QLI41" s="528"/>
      <c r="QLJ41" s="528"/>
      <c r="QLK41" s="528"/>
      <c r="QLL41" s="528"/>
      <c r="QLM41" s="528"/>
      <c r="QLN41" s="528"/>
      <c r="QLO41" s="528"/>
      <c r="QLP41" s="528"/>
      <c r="QLQ41" s="528"/>
      <c r="QLR41" s="528"/>
      <c r="QLS41" s="528"/>
      <c r="QLT41" s="528"/>
      <c r="QLU41" s="528"/>
      <c r="QLV41" s="528"/>
      <c r="QLW41" s="528"/>
      <c r="QLX41" s="528"/>
      <c r="QLY41" s="528"/>
      <c r="QLZ41" s="528"/>
      <c r="QMA41" s="528"/>
      <c r="QMB41" s="528"/>
      <c r="QMC41" s="528"/>
      <c r="QMD41" s="528"/>
      <c r="QME41" s="528"/>
      <c r="QMF41" s="528"/>
      <c r="QMG41" s="528"/>
      <c r="QMH41" s="528"/>
      <c r="QMI41" s="528"/>
      <c r="QMJ41" s="528"/>
      <c r="QMK41" s="528"/>
      <c r="QML41" s="528"/>
      <c r="QMM41" s="528"/>
      <c r="QMN41" s="528"/>
      <c r="QMO41" s="528"/>
      <c r="QMP41" s="528"/>
      <c r="QMQ41" s="528"/>
      <c r="QMR41" s="528"/>
      <c r="QMS41" s="528"/>
      <c r="QMT41" s="528"/>
      <c r="QMU41" s="528"/>
      <c r="QMV41" s="528"/>
      <c r="QMW41" s="528"/>
      <c r="QMX41" s="528"/>
      <c r="QMY41" s="528"/>
      <c r="QMZ41" s="528"/>
      <c r="QNA41" s="528"/>
      <c r="QNB41" s="528"/>
      <c r="QNC41" s="528"/>
      <c r="QND41" s="528"/>
      <c r="QNE41" s="528"/>
      <c r="QNF41" s="528"/>
      <c r="QNG41" s="528"/>
      <c r="QNH41" s="528"/>
      <c r="QNI41" s="528"/>
      <c r="QNJ41" s="528"/>
      <c r="QNK41" s="528"/>
      <c r="QNL41" s="528"/>
      <c r="QNM41" s="528"/>
      <c r="QNN41" s="528"/>
      <c r="QNO41" s="528"/>
      <c r="QNP41" s="528"/>
      <c r="QNQ41" s="528"/>
      <c r="QNR41" s="528"/>
      <c r="QNS41" s="528"/>
      <c r="QNT41" s="528"/>
      <c r="QNU41" s="528"/>
      <c r="QNV41" s="528"/>
      <c r="QNW41" s="528"/>
      <c r="QNX41" s="528"/>
      <c r="QNY41" s="528"/>
      <c r="QNZ41" s="528"/>
      <c r="QOA41" s="528"/>
      <c r="QOB41" s="528"/>
      <c r="QOC41" s="528"/>
      <c r="QOD41" s="528"/>
      <c r="QOE41" s="528"/>
      <c r="QOF41" s="528"/>
      <c r="QOG41" s="528"/>
      <c r="QOH41" s="528"/>
      <c r="QOI41" s="528"/>
      <c r="QOJ41" s="528"/>
      <c r="QOK41" s="528"/>
      <c r="QOL41" s="528"/>
      <c r="QOM41" s="528"/>
      <c r="QON41" s="528"/>
      <c r="QOO41" s="528"/>
      <c r="QOP41" s="528"/>
      <c r="QOQ41" s="528"/>
      <c r="QOR41" s="528"/>
      <c r="QOS41" s="528"/>
      <c r="QOT41" s="528"/>
      <c r="QOU41" s="528"/>
      <c r="QOV41" s="528"/>
      <c r="QOW41" s="528"/>
      <c r="QOX41" s="528"/>
      <c r="QOY41" s="528"/>
      <c r="QOZ41" s="528"/>
      <c r="QPA41" s="528"/>
      <c r="QPB41" s="528"/>
      <c r="QPC41" s="528"/>
      <c r="QPD41" s="528"/>
      <c r="QPE41" s="528"/>
      <c r="QPF41" s="528"/>
      <c r="QPG41" s="528"/>
      <c r="QPH41" s="528"/>
      <c r="QPI41" s="528"/>
      <c r="QPJ41" s="528"/>
      <c r="QPK41" s="528"/>
      <c r="QPL41" s="528"/>
      <c r="QPM41" s="528"/>
      <c r="QPN41" s="528"/>
      <c r="QPO41" s="528"/>
      <c r="QPP41" s="528"/>
      <c r="QPQ41" s="528"/>
      <c r="QPR41" s="528"/>
      <c r="QPS41" s="528"/>
      <c r="QPT41" s="528"/>
      <c r="QPU41" s="528"/>
      <c r="QPV41" s="528"/>
      <c r="QPW41" s="528"/>
      <c r="QPX41" s="528"/>
      <c r="QPY41" s="528"/>
      <c r="QPZ41" s="528"/>
      <c r="QQA41" s="528"/>
      <c r="QQB41" s="528"/>
      <c r="QQC41" s="528"/>
      <c r="QQD41" s="528"/>
      <c r="QQE41" s="528"/>
      <c r="QQF41" s="528"/>
      <c r="QQG41" s="528"/>
      <c r="QQH41" s="528"/>
      <c r="QQI41" s="528"/>
      <c r="QQJ41" s="528"/>
      <c r="QQK41" s="528"/>
      <c r="QQL41" s="528"/>
      <c r="QQM41" s="528"/>
      <c r="QQN41" s="528"/>
      <c r="QQO41" s="528"/>
      <c r="QQP41" s="528"/>
      <c r="QQQ41" s="528"/>
      <c r="QQR41" s="528"/>
      <c r="QQS41" s="528"/>
      <c r="QQT41" s="528"/>
      <c r="QQU41" s="528"/>
      <c r="QQV41" s="528"/>
      <c r="QQW41" s="528"/>
      <c r="QQX41" s="528"/>
      <c r="QQY41" s="528"/>
      <c r="QQZ41" s="528"/>
      <c r="QRA41" s="528"/>
      <c r="QRB41" s="528"/>
      <c r="QRC41" s="528"/>
      <c r="QRD41" s="528"/>
      <c r="QRE41" s="528"/>
      <c r="QRF41" s="528"/>
      <c r="QRG41" s="528"/>
      <c r="QRH41" s="528"/>
      <c r="QRI41" s="528"/>
      <c r="QRJ41" s="528"/>
      <c r="QRK41" s="528"/>
      <c r="QRL41" s="528"/>
      <c r="QRM41" s="528"/>
      <c r="QRN41" s="528"/>
      <c r="QRO41" s="528"/>
      <c r="QRP41" s="528"/>
      <c r="QRQ41" s="528"/>
      <c r="QRR41" s="528"/>
      <c r="QRS41" s="528"/>
      <c r="QRT41" s="528"/>
      <c r="QRU41" s="528"/>
      <c r="QRV41" s="528"/>
      <c r="QRW41" s="528"/>
      <c r="QRX41" s="528"/>
      <c r="QRY41" s="528"/>
      <c r="QRZ41" s="528"/>
      <c r="QSA41" s="528"/>
      <c r="QSB41" s="528"/>
      <c r="QSC41" s="528"/>
      <c r="QSD41" s="528"/>
      <c r="QSE41" s="528"/>
      <c r="QSF41" s="528"/>
      <c r="QSG41" s="528"/>
      <c r="QSH41" s="528"/>
      <c r="QSI41" s="528"/>
      <c r="QSJ41" s="528"/>
      <c r="QSK41" s="528"/>
      <c r="QSL41" s="528"/>
      <c r="QSM41" s="528"/>
      <c r="QSN41" s="528"/>
      <c r="QSO41" s="528"/>
      <c r="QSP41" s="528"/>
      <c r="QSQ41" s="528"/>
      <c r="QSR41" s="528"/>
      <c r="QSS41" s="528"/>
      <c r="QST41" s="528"/>
      <c r="QSU41" s="528"/>
      <c r="QSV41" s="528"/>
      <c r="QSW41" s="528"/>
      <c r="QSX41" s="528"/>
      <c r="QSY41" s="528"/>
      <c r="QSZ41" s="528"/>
      <c r="QTA41" s="528"/>
      <c r="QTB41" s="528"/>
      <c r="QTC41" s="528"/>
      <c r="QTD41" s="528"/>
      <c r="QTE41" s="528"/>
      <c r="QTF41" s="528"/>
      <c r="QTG41" s="528"/>
      <c r="QTH41" s="528"/>
      <c r="QTI41" s="528"/>
      <c r="QTJ41" s="528"/>
      <c r="QTK41" s="528"/>
      <c r="QTL41" s="528"/>
      <c r="QTM41" s="528"/>
      <c r="QTN41" s="528"/>
      <c r="QTO41" s="528"/>
      <c r="QTP41" s="528"/>
      <c r="QTQ41" s="528"/>
      <c r="QTR41" s="528"/>
      <c r="QTS41" s="528"/>
      <c r="QTT41" s="528"/>
      <c r="QTU41" s="528"/>
      <c r="QTV41" s="528"/>
      <c r="QTW41" s="528"/>
      <c r="QTX41" s="528"/>
      <c r="QTY41" s="528"/>
      <c r="QTZ41" s="528"/>
      <c r="QUA41" s="528"/>
      <c r="QUB41" s="528"/>
      <c r="QUC41" s="528"/>
      <c r="QUD41" s="528"/>
      <c r="QUE41" s="528"/>
      <c r="QUF41" s="528"/>
      <c r="QUG41" s="528"/>
      <c r="QUH41" s="528"/>
      <c r="QUI41" s="528"/>
      <c r="QUJ41" s="528"/>
      <c r="QUK41" s="528"/>
      <c r="QUL41" s="528"/>
      <c r="QUM41" s="528"/>
      <c r="QUN41" s="528"/>
      <c r="QUO41" s="528"/>
      <c r="QUP41" s="528"/>
      <c r="QUQ41" s="528"/>
      <c r="QUR41" s="528"/>
      <c r="QUS41" s="528"/>
      <c r="QUT41" s="528"/>
      <c r="QUU41" s="528"/>
      <c r="QUV41" s="528"/>
      <c r="QUW41" s="528"/>
      <c r="QUX41" s="528"/>
      <c r="QUY41" s="528"/>
      <c r="QUZ41" s="528"/>
      <c r="QVA41" s="528"/>
      <c r="QVB41" s="528"/>
      <c r="QVC41" s="528"/>
      <c r="QVD41" s="528"/>
      <c r="QVE41" s="528"/>
      <c r="QVF41" s="528"/>
      <c r="QVG41" s="528"/>
      <c r="QVH41" s="528"/>
      <c r="QVI41" s="528"/>
      <c r="QVJ41" s="528"/>
      <c r="QVK41" s="528"/>
      <c r="QVL41" s="528"/>
      <c r="QVM41" s="528"/>
      <c r="QVN41" s="528"/>
      <c r="QVO41" s="528"/>
      <c r="QVP41" s="528"/>
      <c r="QVQ41" s="528"/>
      <c r="QVR41" s="528"/>
      <c r="QVS41" s="528"/>
      <c r="QVT41" s="528"/>
      <c r="QVU41" s="528"/>
      <c r="QVV41" s="528"/>
      <c r="QVW41" s="528"/>
      <c r="QVX41" s="528"/>
      <c r="QVY41" s="528"/>
      <c r="QVZ41" s="528"/>
      <c r="QWA41" s="528"/>
      <c r="QWB41" s="528"/>
      <c r="QWC41" s="528"/>
      <c r="QWD41" s="528"/>
      <c r="QWE41" s="528"/>
      <c r="QWF41" s="528"/>
      <c r="QWG41" s="528"/>
      <c r="QWH41" s="528"/>
      <c r="QWI41" s="528"/>
      <c r="QWJ41" s="528"/>
      <c r="QWK41" s="528"/>
      <c r="QWL41" s="528"/>
      <c r="QWM41" s="528"/>
      <c r="QWN41" s="528"/>
      <c r="QWO41" s="528"/>
      <c r="QWP41" s="528"/>
      <c r="QWQ41" s="528"/>
      <c r="QWR41" s="528"/>
      <c r="QWS41" s="528"/>
      <c r="QWT41" s="528"/>
      <c r="QWU41" s="528"/>
      <c r="QWV41" s="528"/>
      <c r="QWW41" s="528"/>
      <c r="QWX41" s="528"/>
      <c r="QWY41" s="528"/>
      <c r="QWZ41" s="528"/>
      <c r="QXA41" s="528"/>
      <c r="QXB41" s="528"/>
      <c r="QXC41" s="528"/>
      <c r="QXD41" s="528"/>
      <c r="QXE41" s="528"/>
      <c r="QXF41" s="528"/>
      <c r="QXG41" s="528"/>
      <c r="QXH41" s="528"/>
      <c r="QXI41" s="528"/>
      <c r="QXJ41" s="528"/>
      <c r="QXK41" s="528"/>
      <c r="QXL41" s="528"/>
      <c r="QXM41" s="528"/>
      <c r="QXN41" s="528"/>
      <c r="QXO41" s="528"/>
      <c r="QXP41" s="528"/>
      <c r="QXQ41" s="528"/>
      <c r="QXR41" s="528"/>
      <c r="QXS41" s="528"/>
      <c r="QXT41" s="528"/>
      <c r="QXU41" s="528"/>
      <c r="QXV41" s="528"/>
      <c r="QXW41" s="528"/>
      <c r="QXX41" s="528"/>
      <c r="QXY41" s="528"/>
      <c r="QXZ41" s="528"/>
      <c r="QYA41" s="528"/>
      <c r="QYB41" s="528"/>
      <c r="QYC41" s="528"/>
      <c r="QYD41" s="528"/>
      <c r="QYE41" s="528"/>
      <c r="QYF41" s="528"/>
      <c r="QYG41" s="528"/>
      <c r="QYH41" s="528"/>
      <c r="QYI41" s="528"/>
      <c r="QYJ41" s="528"/>
      <c r="QYK41" s="528"/>
      <c r="QYL41" s="528"/>
      <c r="QYM41" s="528"/>
      <c r="QYN41" s="528"/>
      <c r="QYO41" s="528"/>
      <c r="QYP41" s="528"/>
      <c r="QYQ41" s="528"/>
      <c r="QYR41" s="528"/>
      <c r="QYS41" s="528"/>
      <c r="QYT41" s="528"/>
      <c r="QYU41" s="528"/>
      <c r="QYV41" s="528"/>
      <c r="QYW41" s="528"/>
      <c r="QYX41" s="528"/>
      <c r="QYY41" s="528"/>
      <c r="QYZ41" s="528"/>
      <c r="QZA41" s="528"/>
      <c r="QZB41" s="528"/>
      <c r="QZC41" s="528"/>
      <c r="QZD41" s="528"/>
      <c r="QZE41" s="528"/>
      <c r="QZF41" s="528"/>
      <c r="QZG41" s="528"/>
      <c r="QZH41" s="528"/>
      <c r="QZI41" s="528"/>
      <c r="QZJ41" s="528"/>
      <c r="QZK41" s="528"/>
      <c r="QZL41" s="528"/>
      <c r="QZM41" s="528"/>
      <c r="QZN41" s="528"/>
      <c r="QZO41" s="528"/>
      <c r="QZP41" s="528"/>
      <c r="QZQ41" s="528"/>
      <c r="QZR41" s="528"/>
      <c r="QZS41" s="528"/>
      <c r="QZT41" s="528"/>
      <c r="QZU41" s="528"/>
      <c r="QZV41" s="528"/>
      <c r="QZW41" s="528"/>
      <c r="QZX41" s="528"/>
      <c r="QZY41" s="528"/>
      <c r="QZZ41" s="528"/>
      <c r="RAA41" s="528"/>
      <c r="RAB41" s="528"/>
      <c r="RAC41" s="528"/>
      <c r="RAD41" s="528"/>
      <c r="RAE41" s="528"/>
      <c r="RAF41" s="528"/>
      <c r="RAG41" s="528"/>
      <c r="RAH41" s="528"/>
      <c r="RAI41" s="528"/>
      <c r="RAJ41" s="528"/>
      <c r="RAK41" s="528"/>
      <c r="RAL41" s="528"/>
      <c r="RAM41" s="528"/>
      <c r="RAN41" s="528"/>
      <c r="RAO41" s="528"/>
      <c r="RAP41" s="528"/>
      <c r="RAQ41" s="528"/>
      <c r="RAR41" s="528"/>
      <c r="RAS41" s="528"/>
      <c r="RAT41" s="528"/>
      <c r="RAU41" s="528"/>
      <c r="RAV41" s="528"/>
      <c r="RAW41" s="528"/>
      <c r="RAX41" s="528"/>
      <c r="RAY41" s="528"/>
      <c r="RAZ41" s="528"/>
      <c r="RBA41" s="528"/>
      <c r="RBB41" s="528"/>
      <c r="RBC41" s="528"/>
      <c r="RBD41" s="528"/>
      <c r="RBE41" s="528"/>
      <c r="RBF41" s="528"/>
      <c r="RBG41" s="528"/>
      <c r="RBH41" s="528"/>
      <c r="RBI41" s="528"/>
      <c r="RBJ41" s="528"/>
      <c r="RBK41" s="528"/>
      <c r="RBL41" s="528"/>
      <c r="RBM41" s="528"/>
      <c r="RBN41" s="528"/>
      <c r="RBO41" s="528"/>
      <c r="RBP41" s="528"/>
      <c r="RBQ41" s="528"/>
      <c r="RBR41" s="528"/>
      <c r="RBS41" s="528"/>
      <c r="RBT41" s="528"/>
      <c r="RBU41" s="528"/>
      <c r="RBV41" s="528"/>
      <c r="RBW41" s="528"/>
      <c r="RBX41" s="528"/>
      <c r="RBY41" s="528"/>
      <c r="RBZ41" s="528"/>
      <c r="RCA41" s="528"/>
      <c r="RCB41" s="528"/>
      <c r="RCC41" s="528"/>
      <c r="RCD41" s="528"/>
      <c r="RCE41" s="528"/>
      <c r="RCF41" s="528"/>
      <c r="RCG41" s="528"/>
      <c r="RCH41" s="528"/>
      <c r="RCI41" s="528"/>
      <c r="RCJ41" s="528"/>
      <c r="RCK41" s="528"/>
      <c r="RCL41" s="528"/>
      <c r="RCM41" s="528"/>
      <c r="RCN41" s="528"/>
      <c r="RCO41" s="528"/>
      <c r="RCP41" s="528"/>
      <c r="RCQ41" s="528"/>
      <c r="RCR41" s="528"/>
      <c r="RCS41" s="528"/>
      <c r="RCT41" s="528"/>
      <c r="RCU41" s="528"/>
      <c r="RCV41" s="528"/>
      <c r="RCW41" s="528"/>
      <c r="RCX41" s="528"/>
      <c r="RCY41" s="528"/>
      <c r="RCZ41" s="528"/>
      <c r="RDA41" s="528"/>
      <c r="RDB41" s="528"/>
      <c r="RDC41" s="528"/>
      <c r="RDD41" s="528"/>
      <c r="RDE41" s="528"/>
      <c r="RDF41" s="528"/>
      <c r="RDG41" s="528"/>
      <c r="RDH41" s="528"/>
      <c r="RDI41" s="528"/>
      <c r="RDJ41" s="528"/>
      <c r="RDK41" s="528"/>
      <c r="RDL41" s="528"/>
      <c r="RDM41" s="528"/>
      <c r="RDN41" s="528"/>
      <c r="RDO41" s="528"/>
      <c r="RDP41" s="528"/>
      <c r="RDQ41" s="528"/>
      <c r="RDR41" s="528"/>
      <c r="RDS41" s="528"/>
      <c r="RDT41" s="528"/>
      <c r="RDU41" s="528"/>
      <c r="RDV41" s="528"/>
      <c r="RDW41" s="528"/>
      <c r="RDX41" s="528"/>
      <c r="RDY41" s="528"/>
      <c r="RDZ41" s="528"/>
      <c r="REA41" s="528"/>
      <c r="REB41" s="528"/>
      <c r="REC41" s="528"/>
      <c r="RED41" s="528"/>
      <c r="REE41" s="528"/>
      <c r="REF41" s="528"/>
      <c r="REG41" s="528"/>
      <c r="REH41" s="528"/>
      <c r="REI41" s="528"/>
      <c r="REJ41" s="528"/>
      <c r="REK41" s="528"/>
      <c r="REL41" s="528"/>
      <c r="REM41" s="528"/>
      <c r="REN41" s="528"/>
      <c r="REO41" s="528"/>
      <c r="REP41" s="528"/>
      <c r="REQ41" s="528"/>
      <c r="RER41" s="528"/>
      <c r="RES41" s="528"/>
      <c r="RET41" s="528"/>
      <c r="REU41" s="528"/>
      <c r="REV41" s="528"/>
      <c r="REW41" s="528"/>
      <c r="REX41" s="528"/>
      <c r="REY41" s="528"/>
      <c r="REZ41" s="528"/>
      <c r="RFA41" s="528"/>
      <c r="RFB41" s="528"/>
      <c r="RFC41" s="528"/>
      <c r="RFD41" s="528"/>
      <c r="RFE41" s="528"/>
      <c r="RFF41" s="528"/>
      <c r="RFG41" s="528"/>
      <c r="RFH41" s="528"/>
      <c r="RFI41" s="528"/>
      <c r="RFJ41" s="528"/>
      <c r="RFK41" s="528"/>
      <c r="RFL41" s="528"/>
      <c r="RFM41" s="528"/>
      <c r="RFN41" s="528"/>
      <c r="RFO41" s="528"/>
      <c r="RFP41" s="528"/>
      <c r="RFQ41" s="528"/>
      <c r="RFR41" s="528"/>
      <c r="RFS41" s="528"/>
      <c r="RFT41" s="528"/>
      <c r="RFU41" s="528"/>
      <c r="RFV41" s="528"/>
      <c r="RFW41" s="528"/>
      <c r="RFX41" s="528"/>
      <c r="RFY41" s="528"/>
      <c r="RFZ41" s="528"/>
      <c r="RGA41" s="528"/>
      <c r="RGB41" s="528"/>
      <c r="RGC41" s="528"/>
      <c r="RGD41" s="528"/>
      <c r="RGE41" s="528"/>
      <c r="RGF41" s="528"/>
      <c r="RGG41" s="528"/>
      <c r="RGH41" s="528"/>
      <c r="RGI41" s="528"/>
      <c r="RGJ41" s="528"/>
      <c r="RGK41" s="528"/>
      <c r="RGL41" s="528"/>
      <c r="RGM41" s="528"/>
      <c r="RGN41" s="528"/>
      <c r="RGO41" s="528"/>
      <c r="RGP41" s="528"/>
      <c r="RGQ41" s="528"/>
      <c r="RGR41" s="528"/>
      <c r="RGS41" s="528"/>
      <c r="RGT41" s="528"/>
      <c r="RGU41" s="528"/>
      <c r="RGV41" s="528"/>
      <c r="RGW41" s="528"/>
      <c r="RGX41" s="528"/>
      <c r="RGY41" s="528"/>
      <c r="RGZ41" s="528"/>
      <c r="RHA41" s="528"/>
      <c r="RHB41" s="528"/>
      <c r="RHC41" s="528"/>
      <c r="RHD41" s="528"/>
      <c r="RHE41" s="528"/>
      <c r="RHF41" s="528"/>
      <c r="RHG41" s="528"/>
      <c r="RHH41" s="528"/>
      <c r="RHI41" s="528"/>
      <c r="RHJ41" s="528"/>
      <c r="RHK41" s="528"/>
      <c r="RHL41" s="528"/>
      <c r="RHM41" s="528"/>
      <c r="RHN41" s="528"/>
      <c r="RHO41" s="528"/>
      <c r="RHP41" s="528"/>
      <c r="RHQ41" s="528"/>
      <c r="RHR41" s="528"/>
      <c r="RHS41" s="528"/>
      <c r="RHT41" s="528"/>
      <c r="RHU41" s="528"/>
      <c r="RHV41" s="528"/>
      <c r="RHW41" s="528"/>
      <c r="RHX41" s="528"/>
      <c r="RHY41" s="528"/>
      <c r="RHZ41" s="528"/>
      <c r="RIA41" s="528"/>
      <c r="RIB41" s="528"/>
      <c r="RIC41" s="528"/>
      <c r="RID41" s="528"/>
      <c r="RIE41" s="528"/>
      <c r="RIF41" s="528"/>
      <c r="RIG41" s="528"/>
      <c r="RIH41" s="528"/>
      <c r="RII41" s="528"/>
      <c r="RIJ41" s="528"/>
      <c r="RIK41" s="528"/>
      <c r="RIL41" s="528"/>
      <c r="RIM41" s="528"/>
      <c r="RIN41" s="528"/>
      <c r="RIO41" s="528"/>
      <c r="RIP41" s="528"/>
      <c r="RIQ41" s="528"/>
      <c r="RIR41" s="528"/>
      <c r="RIS41" s="528"/>
      <c r="RIT41" s="528"/>
      <c r="RIU41" s="528"/>
      <c r="RIV41" s="528"/>
      <c r="RIW41" s="528"/>
      <c r="RIX41" s="528"/>
      <c r="RIY41" s="528"/>
      <c r="RIZ41" s="528"/>
      <c r="RJA41" s="528"/>
      <c r="RJB41" s="528"/>
      <c r="RJC41" s="528"/>
      <c r="RJD41" s="528"/>
      <c r="RJE41" s="528"/>
      <c r="RJF41" s="528"/>
      <c r="RJG41" s="528"/>
      <c r="RJH41" s="528"/>
      <c r="RJI41" s="528"/>
      <c r="RJJ41" s="528"/>
      <c r="RJK41" s="528"/>
      <c r="RJL41" s="528"/>
      <c r="RJM41" s="528"/>
      <c r="RJN41" s="528"/>
      <c r="RJO41" s="528"/>
      <c r="RJP41" s="528"/>
      <c r="RJQ41" s="528"/>
      <c r="RJR41" s="528"/>
      <c r="RJS41" s="528"/>
      <c r="RJT41" s="528"/>
      <c r="RJU41" s="528"/>
      <c r="RJV41" s="528"/>
      <c r="RJW41" s="528"/>
      <c r="RJX41" s="528"/>
      <c r="RJY41" s="528"/>
      <c r="RJZ41" s="528"/>
      <c r="RKA41" s="528"/>
      <c r="RKB41" s="528"/>
      <c r="RKC41" s="528"/>
      <c r="RKD41" s="528"/>
      <c r="RKE41" s="528"/>
      <c r="RKF41" s="528"/>
      <c r="RKG41" s="528"/>
      <c r="RKH41" s="528"/>
      <c r="RKI41" s="528"/>
      <c r="RKJ41" s="528"/>
      <c r="RKK41" s="528"/>
      <c r="RKL41" s="528"/>
      <c r="RKM41" s="528"/>
      <c r="RKN41" s="528"/>
      <c r="RKO41" s="528"/>
      <c r="RKP41" s="528"/>
      <c r="RKQ41" s="528"/>
      <c r="RKR41" s="528"/>
      <c r="RKS41" s="528"/>
      <c r="RKT41" s="528"/>
      <c r="RKU41" s="528"/>
      <c r="RKV41" s="528"/>
      <c r="RKW41" s="528"/>
      <c r="RKX41" s="528"/>
      <c r="RKY41" s="528"/>
      <c r="RKZ41" s="528"/>
      <c r="RLA41" s="528"/>
      <c r="RLB41" s="528"/>
      <c r="RLC41" s="528"/>
      <c r="RLD41" s="528"/>
      <c r="RLE41" s="528"/>
      <c r="RLF41" s="528"/>
      <c r="RLG41" s="528"/>
      <c r="RLH41" s="528"/>
      <c r="RLI41" s="528"/>
      <c r="RLJ41" s="528"/>
      <c r="RLK41" s="528"/>
      <c r="RLL41" s="528"/>
      <c r="RLM41" s="528"/>
      <c r="RLN41" s="528"/>
      <c r="RLO41" s="528"/>
      <c r="RLP41" s="528"/>
      <c r="RLQ41" s="528"/>
      <c r="RLR41" s="528"/>
      <c r="RLS41" s="528"/>
      <c r="RLT41" s="528"/>
      <c r="RLU41" s="528"/>
      <c r="RLV41" s="528"/>
      <c r="RLW41" s="528"/>
      <c r="RLX41" s="528"/>
      <c r="RLY41" s="528"/>
      <c r="RLZ41" s="528"/>
      <c r="RMA41" s="528"/>
      <c r="RMB41" s="528"/>
      <c r="RMC41" s="528"/>
      <c r="RMD41" s="528"/>
      <c r="RME41" s="528"/>
      <c r="RMF41" s="528"/>
      <c r="RMG41" s="528"/>
      <c r="RMH41" s="528"/>
      <c r="RMI41" s="528"/>
      <c r="RMJ41" s="528"/>
      <c r="RMK41" s="528"/>
      <c r="RML41" s="528"/>
      <c r="RMM41" s="528"/>
      <c r="RMN41" s="528"/>
      <c r="RMO41" s="528"/>
      <c r="RMP41" s="528"/>
      <c r="RMQ41" s="528"/>
      <c r="RMR41" s="528"/>
      <c r="RMS41" s="528"/>
      <c r="RMT41" s="528"/>
      <c r="RMU41" s="528"/>
      <c r="RMV41" s="528"/>
      <c r="RMW41" s="528"/>
      <c r="RMX41" s="528"/>
      <c r="RMY41" s="528"/>
      <c r="RMZ41" s="528"/>
      <c r="RNA41" s="528"/>
      <c r="RNB41" s="528"/>
      <c r="RNC41" s="528"/>
      <c r="RND41" s="528"/>
      <c r="RNE41" s="528"/>
      <c r="RNF41" s="528"/>
      <c r="RNG41" s="528"/>
      <c r="RNH41" s="528"/>
      <c r="RNI41" s="528"/>
      <c r="RNJ41" s="528"/>
      <c r="RNK41" s="528"/>
      <c r="RNL41" s="528"/>
      <c r="RNM41" s="528"/>
      <c r="RNN41" s="528"/>
      <c r="RNO41" s="528"/>
      <c r="RNP41" s="528"/>
      <c r="RNQ41" s="528"/>
      <c r="RNR41" s="528"/>
      <c r="RNS41" s="528"/>
      <c r="RNT41" s="528"/>
      <c r="RNU41" s="528"/>
      <c r="RNV41" s="528"/>
      <c r="RNW41" s="528"/>
      <c r="RNX41" s="528"/>
      <c r="RNY41" s="528"/>
      <c r="RNZ41" s="528"/>
      <c r="ROA41" s="528"/>
      <c r="ROB41" s="528"/>
      <c r="ROC41" s="528"/>
      <c r="ROD41" s="528"/>
      <c r="ROE41" s="528"/>
      <c r="ROF41" s="528"/>
      <c r="ROG41" s="528"/>
      <c r="ROH41" s="528"/>
      <c r="ROI41" s="528"/>
      <c r="ROJ41" s="528"/>
      <c r="ROK41" s="528"/>
      <c r="ROL41" s="528"/>
      <c r="ROM41" s="528"/>
      <c r="RON41" s="528"/>
      <c r="ROO41" s="528"/>
      <c r="ROP41" s="528"/>
      <c r="ROQ41" s="528"/>
      <c r="ROR41" s="528"/>
      <c r="ROS41" s="528"/>
      <c r="ROT41" s="528"/>
      <c r="ROU41" s="528"/>
      <c r="ROV41" s="528"/>
      <c r="ROW41" s="528"/>
      <c r="ROX41" s="528"/>
      <c r="ROY41" s="528"/>
      <c r="ROZ41" s="528"/>
      <c r="RPA41" s="528"/>
      <c r="RPB41" s="528"/>
      <c r="RPC41" s="528"/>
      <c r="RPD41" s="528"/>
      <c r="RPE41" s="528"/>
      <c r="RPF41" s="528"/>
      <c r="RPG41" s="528"/>
      <c r="RPH41" s="528"/>
      <c r="RPI41" s="528"/>
      <c r="RPJ41" s="528"/>
      <c r="RPK41" s="528"/>
      <c r="RPL41" s="528"/>
      <c r="RPM41" s="528"/>
      <c r="RPN41" s="528"/>
      <c r="RPO41" s="528"/>
      <c r="RPP41" s="528"/>
      <c r="RPQ41" s="528"/>
      <c r="RPR41" s="528"/>
      <c r="RPS41" s="528"/>
      <c r="RPT41" s="528"/>
      <c r="RPU41" s="528"/>
      <c r="RPV41" s="528"/>
      <c r="RPW41" s="528"/>
      <c r="RPX41" s="528"/>
      <c r="RPY41" s="528"/>
      <c r="RPZ41" s="528"/>
      <c r="RQA41" s="528"/>
      <c r="RQB41" s="528"/>
      <c r="RQC41" s="528"/>
      <c r="RQD41" s="528"/>
      <c r="RQE41" s="528"/>
      <c r="RQF41" s="528"/>
      <c r="RQG41" s="528"/>
      <c r="RQH41" s="528"/>
      <c r="RQI41" s="528"/>
      <c r="RQJ41" s="528"/>
      <c r="RQK41" s="528"/>
      <c r="RQL41" s="528"/>
      <c r="RQM41" s="528"/>
      <c r="RQN41" s="528"/>
      <c r="RQO41" s="528"/>
      <c r="RQP41" s="528"/>
      <c r="RQQ41" s="528"/>
      <c r="RQR41" s="528"/>
      <c r="RQS41" s="528"/>
      <c r="RQT41" s="528"/>
      <c r="RQU41" s="528"/>
      <c r="RQV41" s="528"/>
      <c r="RQW41" s="528"/>
      <c r="RQX41" s="528"/>
      <c r="RQY41" s="528"/>
      <c r="RQZ41" s="528"/>
      <c r="RRA41" s="528"/>
      <c r="RRB41" s="528"/>
      <c r="RRC41" s="528"/>
      <c r="RRD41" s="528"/>
      <c r="RRE41" s="528"/>
      <c r="RRF41" s="528"/>
      <c r="RRG41" s="528"/>
      <c r="RRH41" s="528"/>
      <c r="RRI41" s="528"/>
      <c r="RRJ41" s="528"/>
      <c r="RRK41" s="528"/>
      <c r="RRL41" s="528"/>
      <c r="RRM41" s="528"/>
      <c r="RRN41" s="528"/>
      <c r="RRO41" s="528"/>
      <c r="RRP41" s="528"/>
      <c r="RRQ41" s="528"/>
      <c r="RRR41" s="528"/>
      <c r="RRS41" s="528"/>
      <c r="RRT41" s="528"/>
      <c r="RRU41" s="528"/>
      <c r="RRV41" s="528"/>
      <c r="RRW41" s="528"/>
      <c r="RRX41" s="528"/>
      <c r="RRY41" s="528"/>
      <c r="RRZ41" s="528"/>
      <c r="RSA41" s="528"/>
      <c r="RSB41" s="528"/>
      <c r="RSC41" s="528"/>
      <c r="RSD41" s="528"/>
      <c r="RSE41" s="528"/>
      <c r="RSF41" s="528"/>
      <c r="RSG41" s="528"/>
      <c r="RSH41" s="528"/>
      <c r="RSI41" s="528"/>
      <c r="RSJ41" s="528"/>
      <c r="RSK41" s="528"/>
      <c r="RSL41" s="528"/>
      <c r="RSM41" s="528"/>
      <c r="RSN41" s="528"/>
      <c r="RSO41" s="528"/>
      <c r="RSP41" s="528"/>
      <c r="RSQ41" s="528"/>
      <c r="RSR41" s="528"/>
      <c r="RSS41" s="528"/>
      <c r="RST41" s="528"/>
      <c r="RSU41" s="528"/>
      <c r="RSV41" s="528"/>
      <c r="RSW41" s="528"/>
      <c r="RSX41" s="528"/>
      <c r="RSY41" s="528"/>
      <c r="RSZ41" s="528"/>
      <c r="RTA41" s="528"/>
      <c r="RTB41" s="528"/>
      <c r="RTC41" s="528"/>
      <c r="RTD41" s="528"/>
      <c r="RTE41" s="528"/>
      <c r="RTF41" s="528"/>
      <c r="RTG41" s="528"/>
      <c r="RTH41" s="528"/>
      <c r="RTI41" s="528"/>
      <c r="RTJ41" s="528"/>
      <c r="RTK41" s="528"/>
      <c r="RTL41" s="528"/>
      <c r="RTM41" s="528"/>
      <c r="RTN41" s="528"/>
      <c r="RTO41" s="528"/>
      <c r="RTP41" s="528"/>
      <c r="RTQ41" s="528"/>
      <c r="RTR41" s="528"/>
      <c r="RTS41" s="528"/>
      <c r="RTT41" s="528"/>
      <c r="RTU41" s="528"/>
      <c r="RTV41" s="528"/>
      <c r="RTW41" s="528"/>
      <c r="RTX41" s="528"/>
      <c r="RTY41" s="528"/>
      <c r="RTZ41" s="528"/>
      <c r="RUA41" s="528"/>
      <c r="RUB41" s="528"/>
      <c r="RUC41" s="528"/>
      <c r="RUD41" s="528"/>
      <c r="RUE41" s="528"/>
      <c r="RUF41" s="528"/>
      <c r="RUG41" s="528"/>
      <c r="RUH41" s="528"/>
      <c r="RUI41" s="528"/>
      <c r="RUJ41" s="528"/>
      <c r="RUK41" s="528"/>
      <c r="RUL41" s="528"/>
      <c r="RUM41" s="528"/>
      <c r="RUN41" s="528"/>
      <c r="RUO41" s="528"/>
      <c r="RUP41" s="528"/>
      <c r="RUQ41" s="528"/>
      <c r="RUR41" s="528"/>
      <c r="RUS41" s="528"/>
      <c r="RUT41" s="528"/>
      <c r="RUU41" s="528"/>
      <c r="RUV41" s="528"/>
      <c r="RUW41" s="528"/>
      <c r="RUX41" s="528"/>
      <c r="RUY41" s="528"/>
      <c r="RUZ41" s="528"/>
      <c r="RVA41" s="528"/>
      <c r="RVB41" s="528"/>
      <c r="RVC41" s="528"/>
      <c r="RVD41" s="528"/>
      <c r="RVE41" s="528"/>
      <c r="RVF41" s="528"/>
      <c r="RVG41" s="528"/>
      <c r="RVH41" s="528"/>
      <c r="RVI41" s="528"/>
      <c r="RVJ41" s="528"/>
      <c r="RVK41" s="528"/>
      <c r="RVL41" s="528"/>
      <c r="RVM41" s="528"/>
      <c r="RVN41" s="528"/>
      <c r="RVO41" s="528"/>
      <c r="RVP41" s="528"/>
      <c r="RVQ41" s="528"/>
      <c r="RVR41" s="528"/>
      <c r="RVS41" s="528"/>
      <c r="RVT41" s="528"/>
      <c r="RVU41" s="528"/>
      <c r="RVV41" s="528"/>
      <c r="RVW41" s="528"/>
      <c r="RVX41" s="528"/>
      <c r="RVY41" s="528"/>
      <c r="RVZ41" s="528"/>
      <c r="RWA41" s="528"/>
      <c r="RWB41" s="528"/>
      <c r="RWC41" s="528"/>
      <c r="RWD41" s="528"/>
      <c r="RWE41" s="528"/>
      <c r="RWF41" s="528"/>
      <c r="RWG41" s="528"/>
      <c r="RWH41" s="528"/>
      <c r="RWI41" s="528"/>
      <c r="RWJ41" s="528"/>
      <c r="RWK41" s="528"/>
      <c r="RWL41" s="528"/>
      <c r="RWM41" s="528"/>
      <c r="RWN41" s="528"/>
      <c r="RWO41" s="528"/>
      <c r="RWP41" s="528"/>
      <c r="RWQ41" s="528"/>
      <c r="RWR41" s="528"/>
      <c r="RWS41" s="528"/>
      <c r="RWT41" s="528"/>
      <c r="RWU41" s="528"/>
      <c r="RWV41" s="528"/>
      <c r="RWW41" s="528"/>
      <c r="RWX41" s="528"/>
      <c r="RWY41" s="528"/>
      <c r="RWZ41" s="528"/>
      <c r="RXA41" s="528"/>
      <c r="RXB41" s="528"/>
      <c r="RXC41" s="528"/>
      <c r="RXD41" s="528"/>
      <c r="RXE41" s="528"/>
      <c r="RXF41" s="528"/>
      <c r="RXG41" s="528"/>
      <c r="RXH41" s="528"/>
      <c r="RXI41" s="528"/>
      <c r="RXJ41" s="528"/>
      <c r="RXK41" s="528"/>
      <c r="RXL41" s="528"/>
      <c r="RXM41" s="528"/>
      <c r="RXN41" s="528"/>
      <c r="RXO41" s="528"/>
      <c r="RXP41" s="528"/>
      <c r="RXQ41" s="528"/>
      <c r="RXR41" s="528"/>
      <c r="RXS41" s="528"/>
      <c r="RXT41" s="528"/>
      <c r="RXU41" s="528"/>
      <c r="RXV41" s="528"/>
      <c r="RXW41" s="528"/>
      <c r="RXX41" s="528"/>
      <c r="RXY41" s="528"/>
      <c r="RXZ41" s="528"/>
      <c r="RYA41" s="528"/>
      <c r="RYB41" s="528"/>
      <c r="RYC41" s="528"/>
      <c r="RYD41" s="528"/>
      <c r="RYE41" s="528"/>
      <c r="RYF41" s="528"/>
      <c r="RYG41" s="528"/>
      <c r="RYH41" s="528"/>
      <c r="RYI41" s="528"/>
      <c r="RYJ41" s="528"/>
      <c r="RYK41" s="528"/>
      <c r="RYL41" s="528"/>
      <c r="RYM41" s="528"/>
      <c r="RYN41" s="528"/>
      <c r="RYO41" s="528"/>
      <c r="RYP41" s="528"/>
      <c r="RYQ41" s="528"/>
      <c r="RYR41" s="528"/>
      <c r="RYS41" s="528"/>
      <c r="RYT41" s="528"/>
      <c r="RYU41" s="528"/>
      <c r="RYV41" s="528"/>
      <c r="RYW41" s="528"/>
      <c r="RYX41" s="528"/>
      <c r="RYY41" s="528"/>
      <c r="RYZ41" s="528"/>
      <c r="RZA41" s="528"/>
      <c r="RZB41" s="528"/>
      <c r="RZC41" s="528"/>
      <c r="RZD41" s="528"/>
      <c r="RZE41" s="528"/>
      <c r="RZF41" s="528"/>
      <c r="RZG41" s="528"/>
      <c r="RZH41" s="528"/>
      <c r="RZI41" s="528"/>
      <c r="RZJ41" s="528"/>
      <c r="RZK41" s="528"/>
      <c r="RZL41" s="528"/>
      <c r="RZM41" s="528"/>
      <c r="RZN41" s="528"/>
      <c r="RZO41" s="528"/>
      <c r="RZP41" s="528"/>
      <c r="RZQ41" s="528"/>
      <c r="RZR41" s="528"/>
      <c r="RZS41" s="528"/>
      <c r="RZT41" s="528"/>
      <c r="RZU41" s="528"/>
      <c r="RZV41" s="528"/>
      <c r="RZW41" s="528"/>
      <c r="RZX41" s="528"/>
      <c r="RZY41" s="528"/>
      <c r="RZZ41" s="528"/>
      <c r="SAA41" s="528"/>
      <c r="SAB41" s="528"/>
      <c r="SAC41" s="528"/>
      <c r="SAD41" s="528"/>
      <c r="SAE41" s="528"/>
      <c r="SAF41" s="528"/>
      <c r="SAG41" s="528"/>
      <c r="SAH41" s="528"/>
      <c r="SAI41" s="528"/>
      <c r="SAJ41" s="528"/>
      <c r="SAK41" s="528"/>
      <c r="SAL41" s="528"/>
      <c r="SAM41" s="528"/>
      <c r="SAN41" s="528"/>
      <c r="SAO41" s="528"/>
      <c r="SAP41" s="528"/>
      <c r="SAQ41" s="528"/>
      <c r="SAR41" s="528"/>
      <c r="SAS41" s="528"/>
      <c r="SAT41" s="528"/>
      <c r="SAU41" s="528"/>
      <c r="SAV41" s="528"/>
      <c r="SAW41" s="528"/>
      <c r="SAX41" s="528"/>
      <c r="SAY41" s="528"/>
      <c r="SAZ41" s="528"/>
      <c r="SBA41" s="528"/>
      <c r="SBB41" s="528"/>
      <c r="SBC41" s="528"/>
      <c r="SBD41" s="528"/>
      <c r="SBE41" s="528"/>
      <c r="SBF41" s="528"/>
      <c r="SBG41" s="528"/>
      <c r="SBH41" s="528"/>
      <c r="SBI41" s="528"/>
      <c r="SBJ41" s="528"/>
      <c r="SBK41" s="528"/>
      <c r="SBL41" s="528"/>
      <c r="SBM41" s="528"/>
      <c r="SBN41" s="528"/>
      <c r="SBO41" s="528"/>
      <c r="SBP41" s="528"/>
      <c r="SBQ41" s="528"/>
      <c r="SBR41" s="528"/>
      <c r="SBS41" s="528"/>
      <c r="SBT41" s="528"/>
      <c r="SBU41" s="528"/>
      <c r="SBV41" s="528"/>
      <c r="SBW41" s="528"/>
      <c r="SBX41" s="528"/>
      <c r="SBY41" s="528"/>
      <c r="SBZ41" s="528"/>
      <c r="SCA41" s="528"/>
      <c r="SCB41" s="528"/>
      <c r="SCC41" s="528"/>
      <c r="SCD41" s="528"/>
      <c r="SCE41" s="528"/>
      <c r="SCF41" s="528"/>
      <c r="SCG41" s="528"/>
      <c r="SCH41" s="528"/>
      <c r="SCI41" s="528"/>
      <c r="SCJ41" s="528"/>
      <c r="SCK41" s="528"/>
      <c r="SCL41" s="528"/>
      <c r="SCM41" s="528"/>
      <c r="SCN41" s="528"/>
      <c r="SCO41" s="528"/>
      <c r="SCP41" s="528"/>
      <c r="SCQ41" s="528"/>
      <c r="SCR41" s="528"/>
      <c r="SCS41" s="528"/>
      <c r="SCT41" s="528"/>
      <c r="SCU41" s="528"/>
      <c r="SCV41" s="528"/>
      <c r="SCW41" s="528"/>
      <c r="SCX41" s="528"/>
      <c r="SCY41" s="528"/>
      <c r="SCZ41" s="528"/>
      <c r="SDA41" s="528"/>
      <c r="SDB41" s="528"/>
      <c r="SDC41" s="528"/>
      <c r="SDD41" s="528"/>
      <c r="SDE41" s="528"/>
      <c r="SDF41" s="528"/>
      <c r="SDG41" s="528"/>
      <c r="SDH41" s="528"/>
      <c r="SDI41" s="528"/>
      <c r="SDJ41" s="528"/>
      <c r="SDK41" s="528"/>
      <c r="SDL41" s="528"/>
      <c r="SDM41" s="528"/>
      <c r="SDN41" s="528"/>
      <c r="SDO41" s="528"/>
      <c r="SDP41" s="528"/>
      <c r="SDQ41" s="528"/>
      <c r="SDR41" s="528"/>
      <c r="SDS41" s="528"/>
      <c r="SDT41" s="528"/>
      <c r="SDU41" s="528"/>
      <c r="SDV41" s="528"/>
      <c r="SDW41" s="528"/>
      <c r="SDX41" s="528"/>
      <c r="SDY41" s="528"/>
      <c r="SDZ41" s="528"/>
      <c r="SEA41" s="528"/>
      <c r="SEB41" s="528"/>
      <c r="SEC41" s="528"/>
      <c r="SED41" s="528"/>
      <c r="SEE41" s="528"/>
      <c r="SEF41" s="528"/>
      <c r="SEG41" s="528"/>
      <c r="SEH41" s="528"/>
      <c r="SEI41" s="528"/>
      <c r="SEJ41" s="528"/>
      <c r="SEK41" s="528"/>
      <c r="SEL41" s="528"/>
      <c r="SEM41" s="528"/>
      <c r="SEN41" s="528"/>
      <c r="SEO41" s="528"/>
      <c r="SEP41" s="528"/>
      <c r="SEQ41" s="528"/>
      <c r="SER41" s="528"/>
      <c r="SES41" s="528"/>
      <c r="SET41" s="528"/>
      <c r="SEU41" s="528"/>
      <c r="SEV41" s="528"/>
      <c r="SEW41" s="528"/>
      <c r="SEX41" s="528"/>
      <c r="SEY41" s="528"/>
      <c r="SEZ41" s="528"/>
      <c r="SFA41" s="528"/>
      <c r="SFB41" s="528"/>
      <c r="SFC41" s="528"/>
      <c r="SFD41" s="528"/>
      <c r="SFE41" s="528"/>
      <c r="SFF41" s="528"/>
      <c r="SFG41" s="528"/>
      <c r="SFH41" s="528"/>
      <c r="SFI41" s="528"/>
      <c r="SFJ41" s="528"/>
      <c r="SFK41" s="528"/>
      <c r="SFL41" s="528"/>
      <c r="SFM41" s="528"/>
      <c r="SFN41" s="528"/>
      <c r="SFO41" s="528"/>
      <c r="SFP41" s="528"/>
      <c r="SFQ41" s="528"/>
      <c r="SFR41" s="528"/>
      <c r="SFS41" s="528"/>
      <c r="SFT41" s="528"/>
      <c r="SFU41" s="528"/>
      <c r="SFV41" s="528"/>
      <c r="SFW41" s="528"/>
      <c r="SFX41" s="528"/>
      <c r="SFY41" s="528"/>
      <c r="SFZ41" s="528"/>
      <c r="SGA41" s="528"/>
      <c r="SGB41" s="528"/>
      <c r="SGC41" s="528"/>
      <c r="SGD41" s="528"/>
      <c r="SGE41" s="528"/>
      <c r="SGF41" s="528"/>
      <c r="SGG41" s="528"/>
      <c r="SGH41" s="528"/>
      <c r="SGI41" s="528"/>
      <c r="SGJ41" s="528"/>
      <c r="SGK41" s="528"/>
      <c r="SGL41" s="528"/>
      <c r="SGM41" s="528"/>
      <c r="SGN41" s="528"/>
      <c r="SGO41" s="528"/>
      <c r="SGP41" s="528"/>
      <c r="SGQ41" s="528"/>
      <c r="SGR41" s="528"/>
      <c r="SGS41" s="528"/>
      <c r="SGT41" s="528"/>
      <c r="SGU41" s="528"/>
      <c r="SGV41" s="528"/>
      <c r="SGW41" s="528"/>
      <c r="SGX41" s="528"/>
      <c r="SGY41" s="528"/>
      <c r="SGZ41" s="528"/>
      <c r="SHA41" s="528"/>
      <c r="SHB41" s="528"/>
      <c r="SHC41" s="528"/>
      <c r="SHD41" s="528"/>
      <c r="SHE41" s="528"/>
      <c r="SHF41" s="528"/>
      <c r="SHG41" s="528"/>
      <c r="SHH41" s="528"/>
      <c r="SHI41" s="528"/>
      <c r="SHJ41" s="528"/>
      <c r="SHK41" s="528"/>
      <c r="SHL41" s="528"/>
      <c r="SHM41" s="528"/>
      <c r="SHN41" s="528"/>
      <c r="SHO41" s="528"/>
      <c r="SHP41" s="528"/>
      <c r="SHQ41" s="528"/>
      <c r="SHR41" s="528"/>
      <c r="SHS41" s="528"/>
      <c r="SHT41" s="528"/>
      <c r="SHU41" s="528"/>
      <c r="SHV41" s="528"/>
      <c r="SHW41" s="528"/>
      <c r="SHX41" s="528"/>
      <c r="SHY41" s="528"/>
      <c r="SHZ41" s="528"/>
      <c r="SIA41" s="528"/>
      <c r="SIB41" s="528"/>
      <c r="SIC41" s="528"/>
      <c r="SID41" s="528"/>
      <c r="SIE41" s="528"/>
      <c r="SIF41" s="528"/>
      <c r="SIG41" s="528"/>
      <c r="SIH41" s="528"/>
      <c r="SII41" s="528"/>
      <c r="SIJ41" s="528"/>
      <c r="SIK41" s="528"/>
      <c r="SIL41" s="528"/>
      <c r="SIM41" s="528"/>
      <c r="SIN41" s="528"/>
      <c r="SIO41" s="528"/>
      <c r="SIP41" s="528"/>
      <c r="SIQ41" s="528"/>
      <c r="SIR41" s="528"/>
      <c r="SIS41" s="528"/>
      <c r="SIT41" s="528"/>
      <c r="SIU41" s="528"/>
      <c r="SIV41" s="528"/>
      <c r="SIW41" s="528"/>
      <c r="SIX41" s="528"/>
      <c r="SIY41" s="528"/>
      <c r="SIZ41" s="528"/>
      <c r="SJA41" s="528"/>
      <c r="SJB41" s="528"/>
      <c r="SJC41" s="528"/>
      <c r="SJD41" s="528"/>
      <c r="SJE41" s="528"/>
      <c r="SJF41" s="528"/>
      <c r="SJG41" s="528"/>
      <c r="SJH41" s="528"/>
      <c r="SJI41" s="528"/>
      <c r="SJJ41" s="528"/>
      <c r="SJK41" s="528"/>
      <c r="SJL41" s="528"/>
      <c r="SJM41" s="528"/>
      <c r="SJN41" s="528"/>
      <c r="SJO41" s="528"/>
      <c r="SJP41" s="528"/>
      <c r="SJQ41" s="528"/>
      <c r="SJR41" s="528"/>
      <c r="SJS41" s="528"/>
      <c r="SJT41" s="528"/>
      <c r="SJU41" s="528"/>
      <c r="SJV41" s="528"/>
      <c r="SJW41" s="528"/>
      <c r="SJX41" s="528"/>
      <c r="SJY41" s="528"/>
      <c r="SJZ41" s="528"/>
      <c r="SKA41" s="528"/>
      <c r="SKB41" s="528"/>
      <c r="SKC41" s="528"/>
      <c r="SKD41" s="528"/>
      <c r="SKE41" s="528"/>
      <c r="SKF41" s="528"/>
      <c r="SKG41" s="528"/>
      <c r="SKH41" s="528"/>
      <c r="SKI41" s="528"/>
      <c r="SKJ41" s="528"/>
      <c r="SKK41" s="528"/>
      <c r="SKL41" s="528"/>
      <c r="SKM41" s="528"/>
      <c r="SKN41" s="528"/>
      <c r="SKO41" s="528"/>
      <c r="SKP41" s="528"/>
      <c r="SKQ41" s="528"/>
      <c r="SKR41" s="528"/>
      <c r="SKS41" s="528"/>
      <c r="SKT41" s="528"/>
      <c r="SKU41" s="528"/>
      <c r="SKV41" s="528"/>
      <c r="SKW41" s="528"/>
      <c r="SKX41" s="528"/>
      <c r="SKY41" s="528"/>
      <c r="SKZ41" s="528"/>
      <c r="SLA41" s="528"/>
      <c r="SLB41" s="528"/>
      <c r="SLC41" s="528"/>
      <c r="SLD41" s="528"/>
      <c r="SLE41" s="528"/>
      <c r="SLF41" s="528"/>
      <c r="SLG41" s="528"/>
      <c r="SLH41" s="528"/>
      <c r="SLI41" s="528"/>
      <c r="SLJ41" s="528"/>
      <c r="SLK41" s="528"/>
      <c r="SLL41" s="528"/>
      <c r="SLM41" s="528"/>
      <c r="SLN41" s="528"/>
      <c r="SLO41" s="528"/>
      <c r="SLP41" s="528"/>
      <c r="SLQ41" s="528"/>
      <c r="SLR41" s="528"/>
      <c r="SLS41" s="528"/>
      <c r="SLT41" s="528"/>
      <c r="SLU41" s="528"/>
      <c r="SLV41" s="528"/>
      <c r="SLW41" s="528"/>
      <c r="SLX41" s="528"/>
      <c r="SLY41" s="528"/>
      <c r="SLZ41" s="528"/>
      <c r="SMA41" s="528"/>
      <c r="SMB41" s="528"/>
      <c r="SMC41" s="528"/>
      <c r="SMD41" s="528"/>
      <c r="SME41" s="528"/>
      <c r="SMF41" s="528"/>
      <c r="SMG41" s="528"/>
      <c r="SMH41" s="528"/>
      <c r="SMI41" s="528"/>
      <c r="SMJ41" s="528"/>
      <c r="SMK41" s="528"/>
      <c r="SML41" s="528"/>
      <c r="SMM41" s="528"/>
      <c r="SMN41" s="528"/>
      <c r="SMO41" s="528"/>
      <c r="SMP41" s="528"/>
      <c r="SMQ41" s="528"/>
      <c r="SMR41" s="528"/>
      <c r="SMS41" s="528"/>
      <c r="SMT41" s="528"/>
      <c r="SMU41" s="528"/>
      <c r="SMV41" s="528"/>
      <c r="SMW41" s="528"/>
      <c r="SMX41" s="528"/>
      <c r="SMY41" s="528"/>
      <c r="SMZ41" s="528"/>
      <c r="SNA41" s="528"/>
      <c r="SNB41" s="528"/>
      <c r="SNC41" s="528"/>
      <c r="SND41" s="528"/>
      <c r="SNE41" s="528"/>
      <c r="SNF41" s="528"/>
      <c r="SNG41" s="528"/>
      <c r="SNH41" s="528"/>
      <c r="SNI41" s="528"/>
      <c r="SNJ41" s="528"/>
      <c r="SNK41" s="528"/>
      <c r="SNL41" s="528"/>
      <c r="SNM41" s="528"/>
      <c r="SNN41" s="528"/>
      <c r="SNO41" s="528"/>
      <c r="SNP41" s="528"/>
      <c r="SNQ41" s="528"/>
      <c r="SNR41" s="528"/>
      <c r="SNS41" s="528"/>
      <c r="SNT41" s="528"/>
      <c r="SNU41" s="528"/>
      <c r="SNV41" s="528"/>
      <c r="SNW41" s="528"/>
      <c r="SNX41" s="528"/>
      <c r="SNY41" s="528"/>
      <c r="SNZ41" s="528"/>
      <c r="SOA41" s="528"/>
      <c r="SOB41" s="528"/>
      <c r="SOC41" s="528"/>
      <c r="SOD41" s="528"/>
      <c r="SOE41" s="528"/>
      <c r="SOF41" s="528"/>
      <c r="SOG41" s="528"/>
      <c r="SOH41" s="528"/>
      <c r="SOI41" s="528"/>
      <c r="SOJ41" s="528"/>
      <c r="SOK41" s="528"/>
      <c r="SOL41" s="528"/>
      <c r="SOM41" s="528"/>
      <c r="SON41" s="528"/>
      <c r="SOO41" s="528"/>
      <c r="SOP41" s="528"/>
      <c r="SOQ41" s="528"/>
      <c r="SOR41" s="528"/>
      <c r="SOS41" s="528"/>
      <c r="SOT41" s="528"/>
      <c r="SOU41" s="528"/>
      <c r="SOV41" s="528"/>
      <c r="SOW41" s="528"/>
      <c r="SOX41" s="528"/>
      <c r="SOY41" s="528"/>
      <c r="SOZ41" s="528"/>
      <c r="SPA41" s="528"/>
      <c r="SPB41" s="528"/>
      <c r="SPC41" s="528"/>
      <c r="SPD41" s="528"/>
      <c r="SPE41" s="528"/>
      <c r="SPF41" s="528"/>
      <c r="SPG41" s="528"/>
      <c r="SPH41" s="528"/>
      <c r="SPI41" s="528"/>
      <c r="SPJ41" s="528"/>
      <c r="SPK41" s="528"/>
      <c r="SPL41" s="528"/>
      <c r="SPM41" s="528"/>
      <c r="SPN41" s="528"/>
      <c r="SPO41" s="528"/>
      <c r="SPP41" s="528"/>
      <c r="SPQ41" s="528"/>
      <c r="SPR41" s="528"/>
      <c r="SPS41" s="528"/>
      <c r="SPT41" s="528"/>
      <c r="SPU41" s="528"/>
      <c r="SPV41" s="528"/>
      <c r="SPW41" s="528"/>
      <c r="SPX41" s="528"/>
      <c r="SPY41" s="528"/>
      <c r="SPZ41" s="528"/>
      <c r="SQA41" s="528"/>
      <c r="SQB41" s="528"/>
      <c r="SQC41" s="528"/>
      <c r="SQD41" s="528"/>
      <c r="SQE41" s="528"/>
      <c r="SQF41" s="528"/>
      <c r="SQG41" s="528"/>
      <c r="SQH41" s="528"/>
      <c r="SQI41" s="528"/>
      <c r="SQJ41" s="528"/>
      <c r="SQK41" s="528"/>
      <c r="SQL41" s="528"/>
      <c r="SQM41" s="528"/>
      <c r="SQN41" s="528"/>
      <c r="SQO41" s="528"/>
      <c r="SQP41" s="528"/>
      <c r="SQQ41" s="528"/>
      <c r="SQR41" s="528"/>
      <c r="SQS41" s="528"/>
      <c r="SQT41" s="528"/>
      <c r="SQU41" s="528"/>
      <c r="SQV41" s="528"/>
      <c r="SQW41" s="528"/>
      <c r="SQX41" s="528"/>
      <c r="SQY41" s="528"/>
      <c r="SQZ41" s="528"/>
      <c r="SRA41" s="528"/>
      <c r="SRB41" s="528"/>
      <c r="SRC41" s="528"/>
      <c r="SRD41" s="528"/>
      <c r="SRE41" s="528"/>
      <c r="SRF41" s="528"/>
      <c r="SRG41" s="528"/>
      <c r="SRH41" s="528"/>
      <c r="SRI41" s="528"/>
      <c r="SRJ41" s="528"/>
      <c r="SRK41" s="528"/>
      <c r="SRL41" s="528"/>
      <c r="SRM41" s="528"/>
      <c r="SRN41" s="528"/>
      <c r="SRO41" s="528"/>
      <c r="SRP41" s="528"/>
      <c r="SRQ41" s="528"/>
      <c r="SRR41" s="528"/>
      <c r="SRS41" s="528"/>
      <c r="SRT41" s="528"/>
      <c r="SRU41" s="528"/>
      <c r="SRV41" s="528"/>
      <c r="SRW41" s="528"/>
      <c r="SRX41" s="528"/>
      <c r="SRY41" s="528"/>
      <c r="SRZ41" s="528"/>
      <c r="SSA41" s="528"/>
      <c r="SSB41" s="528"/>
      <c r="SSC41" s="528"/>
      <c r="SSD41" s="528"/>
      <c r="SSE41" s="528"/>
      <c r="SSF41" s="528"/>
      <c r="SSG41" s="528"/>
      <c r="SSH41" s="528"/>
      <c r="SSI41" s="528"/>
      <c r="SSJ41" s="528"/>
      <c r="SSK41" s="528"/>
      <c r="SSL41" s="528"/>
      <c r="SSM41" s="528"/>
      <c r="SSN41" s="528"/>
      <c r="SSO41" s="528"/>
      <c r="SSP41" s="528"/>
      <c r="SSQ41" s="528"/>
      <c r="SSR41" s="528"/>
      <c r="SSS41" s="528"/>
      <c r="SST41" s="528"/>
      <c r="SSU41" s="528"/>
      <c r="SSV41" s="528"/>
      <c r="SSW41" s="528"/>
      <c r="SSX41" s="528"/>
      <c r="SSY41" s="528"/>
      <c r="SSZ41" s="528"/>
      <c r="STA41" s="528"/>
      <c r="STB41" s="528"/>
      <c r="STC41" s="528"/>
      <c r="STD41" s="528"/>
      <c r="STE41" s="528"/>
      <c r="STF41" s="528"/>
      <c r="STG41" s="528"/>
      <c r="STH41" s="528"/>
      <c r="STI41" s="528"/>
      <c r="STJ41" s="528"/>
      <c r="STK41" s="528"/>
      <c r="STL41" s="528"/>
      <c r="STM41" s="528"/>
      <c r="STN41" s="528"/>
      <c r="STO41" s="528"/>
      <c r="STP41" s="528"/>
      <c r="STQ41" s="528"/>
      <c r="STR41" s="528"/>
      <c r="STS41" s="528"/>
      <c r="STT41" s="528"/>
      <c r="STU41" s="528"/>
      <c r="STV41" s="528"/>
      <c r="STW41" s="528"/>
      <c r="STX41" s="528"/>
      <c r="STY41" s="528"/>
      <c r="STZ41" s="528"/>
      <c r="SUA41" s="528"/>
      <c r="SUB41" s="528"/>
      <c r="SUC41" s="528"/>
      <c r="SUD41" s="528"/>
      <c r="SUE41" s="528"/>
      <c r="SUF41" s="528"/>
      <c r="SUG41" s="528"/>
      <c r="SUH41" s="528"/>
      <c r="SUI41" s="528"/>
      <c r="SUJ41" s="528"/>
      <c r="SUK41" s="528"/>
      <c r="SUL41" s="528"/>
      <c r="SUM41" s="528"/>
      <c r="SUN41" s="528"/>
      <c r="SUO41" s="528"/>
      <c r="SUP41" s="528"/>
      <c r="SUQ41" s="528"/>
      <c r="SUR41" s="528"/>
      <c r="SUS41" s="528"/>
      <c r="SUT41" s="528"/>
      <c r="SUU41" s="528"/>
      <c r="SUV41" s="528"/>
      <c r="SUW41" s="528"/>
      <c r="SUX41" s="528"/>
      <c r="SUY41" s="528"/>
      <c r="SUZ41" s="528"/>
      <c r="SVA41" s="528"/>
      <c r="SVB41" s="528"/>
      <c r="SVC41" s="528"/>
      <c r="SVD41" s="528"/>
      <c r="SVE41" s="528"/>
      <c r="SVF41" s="528"/>
      <c r="SVG41" s="528"/>
      <c r="SVH41" s="528"/>
      <c r="SVI41" s="528"/>
      <c r="SVJ41" s="528"/>
      <c r="SVK41" s="528"/>
      <c r="SVL41" s="528"/>
      <c r="SVM41" s="528"/>
      <c r="SVN41" s="528"/>
      <c r="SVO41" s="528"/>
      <c r="SVP41" s="528"/>
      <c r="SVQ41" s="528"/>
      <c r="SVR41" s="528"/>
      <c r="SVS41" s="528"/>
      <c r="SVT41" s="528"/>
      <c r="SVU41" s="528"/>
      <c r="SVV41" s="528"/>
      <c r="SVW41" s="528"/>
      <c r="SVX41" s="528"/>
      <c r="SVY41" s="528"/>
      <c r="SVZ41" s="528"/>
      <c r="SWA41" s="528"/>
      <c r="SWB41" s="528"/>
      <c r="SWC41" s="528"/>
      <c r="SWD41" s="528"/>
      <c r="SWE41" s="528"/>
      <c r="SWF41" s="528"/>
      <c r="SWG41" s="528"/>
      <c r="SWH41" s="528"/>
      <c r="SWI41" s="528"/>
      <c r="SWJ41" s="528"/>
      <c r="SWK41" s="528"/>
      <c r="SWL41" s="528"/>
      <c r="SWM41" s="528"/>
      <c r="SWN41" s="528"/>
      <c r="SWO41" s="528"/>
      <c r="SWP41" s="528"/>
      <c r="SWQ41" s="528"/>
      <c r="SWR41" s="528"/>
      <c r="SWS41" s="528"/>
      <c r="SWT41" s="528"/>
      <c r="SWU41" s="528"/>
      <c r="SWV41" s="528"/>
      <c r="SWW41" s="528"/>
      <c r="SWX41" s="528"/>
      <c r="SWY41" s="528"/>
      <c r="SWZ41" s="528"/>
      <c r="SXA41" s="528"/>
      <c r="SXB41" s="528"/>
      <c r="SXC41" s="528"/>
      <c r="SXD41" s="528"/>
      <c r="SXE41" s="528"/>
      <c r="SXF41" s="528"/>
      <c r="SXG41" s="528"/>
      <c r="SXH41" s="528"/>
      <c r="SXI41" s="528"/>
      <c r="SXJ41" s="528"/>
      <c r="SXK41" s="528"/>
      <c r="SXL41" s="528"/>
      <c r="SXM41" s="528"/>
      <c r="SXN41" s="528"/>
      <c r="SXO41" s="528"/>
      <c r="SXP41" s="528"/>
      <c r="SXQ41" s="528"/>
      <c r="SXR41" s="528"/>
      <c r="SXS41" s="528"/>
      <c r="SXT41" s="528"/>
      <c r="SXU41" s="528"/>
      <c r="SXV41" s="528"/>
      <c r="SXW41" s="528"/>
      <c r="SXX41" s="528"/>
      <c r="SXY41" s="528"/>
      <c r="SXZ41" s="528"/>
      <c r="SYA41" s="528"/>
      <c r="SYB41" s="528"/>
      <c r="SYC41" s="528"/>
      <c r="SYD41" s="528"/>
      <c r="SYE41" s="528"/>
      <c r="SYF41" s="528"/>
      <c r="SYG41" s="528"/>
      <c r="SYH41" s="528"/>
      <c r="SYI41" s="528"/>
      <c r="SYJ41" s="528"/>
      <c r="SYK41" s="528"/>
      <c r="SYL41" s="528"/>
      <c r="SYM41" s="528"/>
      <c r="SYN41" s="528"/>
      <c r="SYO41" s="528"/>
      <c r="SYP41" s="528"/>
      <c r="SYQ41" s="528"/>
      <c r="SYR41" s="528"/>
      <c r="SYS41" s="528"/>
      <c r="SYT41" s="528"/>
      <c r="SYU41" s="528"/>
      <c r="SYV41" s="528"/>
      <c r="SYW41" s="528"/>
      <c r="SYX41" s="528"/>
      <c r="SYY41" s="528"/>
      <c r="SYZ41" s="528"/>
      <c r="SZA41" s="528"/>
      <c r="SZB41" s="528"/>
      <c r="SZC41" s="528"/>
      <c r="SZD41" s="528"/>
      <c r="SZE41" s="528"/>
      <c r="SZF41" s="528"/>
      <c r="SZG41" s="528"/>
      <c r="SZH41" s="528"/>
      <c r="SZI41" s="528"/>
      <c r="SZJ41" s="528"/>
      <c r="SZK41" s="528"/>
      <c r="SZL41" s="528"/>
      <c r="SZM41" s="528"/>
      <c r="SZN41" s="528"/>
      <c r="SZO41" s="528"/>
      <c r="SZP41" s="528"/>
      <c r="SZQ41" s="528"/>
      <c r="SZR41" s="528"/>
      <c r="SZS41" s="528"/>
      <c r="SZT41" s="528"/>
      <c r="SZU41" s="528"/>
      <c r="SZV41" s="528"/>
      <c r="SZW41" s="528"/>
      <c r="SZX41" s="528"/>
      <c r="SZY41" s="528"/>
      <c r="SZZ41" s="528"/>
      <c r="TAA41" s="528"/>
      <c r="TAB41" s="528"/>
      <c r="TAC41" s="528"/>
      <c r="TAD41" s="528"/>
      <c r="TAE41" s="528"/>
      <c r="TAF41" s="528"/>
      <c r="TAG41" s="528"/>
      <c r="TAH41" s="528"/>
      <c r="TAI41" s="528"/>
      <c r="TAJ41" s="528"/>
      <c r="TAK41" s="528"/>
      <c r="TAL41" s="528"/>
      <c r="TAM41" s="528"/>
      <c r="TAN41" s="528"/>
      <c r="TAO41" s="528"/>
      <c r="TAP41" s="528"/>
      <c r="TAQ41" s="528"/>
      <c r="TAR41" s="528"/>
      <c r="TAS41" s="528"/>
      <c r="TAT41" s="528"/>
      <c r="TAU41" s="528"/>
      <c r="TAV41" s="528"/>
      <c r="TAW41" s="528"/>
      <c r="TAX41" s="528"/>
      <c r="TAY41" s="528"/>
      <c r="TAZ41" s="528"/>
      <c r="TBA41" s="528"/>
      <c r="TBB41" s="528"/>
      <c r="TBC41" s="528"/>
      <c r="TBD41" s="528"/>
      <c r="TBE41" s="528"/>
      <c r="TBF41" s="528"/>
      <c r="TBG41" s="528"/>
      <c r="TBH41" s="528"/>
      <c r="TBI41" s="528"/>
      <c r="TBJ41" s="528"/>
      <c r="TBK41" s="528"/>
      <c r="TBL41" s="528"/>
      <c r="TBM41" s="528"/>
      <c r="TBN41" s="528"/>
      <c r="TBO41" s="528"/>
      <c r="TBP41" s="528"/>
      <c r="TBQ41" s="528"/>
      <c r="TBR41" s="528"/>
      <c r="TBS41" s="528"/>
      <c r="TBT41" s="528"/>
      <c r="TBU41" s="528"/>
      <c r="TBV41" s="528"/>
      <c r="TBW41" s="528"/>
      <c r="TBX41" s="528"/>
      <c r="TBY41" s="528"/>
      <c r="TBZ41" s="528"/>
      <c r="TCA41" s="528"/>
      <c r="TCB41" s="528"/>
      <c r="TCC41" s="528"/>
      <c r="TCD41" s="528"/>
      <c r="TCE41" s="528"/>
      <c r="TCF41" s="528"/>
      <c r="TCG41" s="528"/>
      <c r="TCH41" s="528"/>
      <c r="TCI41" s="528"/>
      <c r="TCJ41" s="528"/>
      <c r="TCK41" s="528"/>
      <c r="TCL41" s="528"/>
      <c r="TCM41" s="528"/>
      <c r="TCN41" s="528"/>
      <c r="TCO41" s="528"/>
      <c r="TCP41" s="528"/>
      <c r="TCQ41" s="528"/>
      <c r="TCR41" s="528"/>
      <c r="TCS41" s="528"/>
      <c r="TCT41" s="528"/>
      <c r="TCU41" s="528"/>
      <c r="TCV41" s="528"/>
      <c r="TCW41" s="528"/>
      <c r="TCX41" s="528"/>
      <c r="TCY41" s="528"/>
      <c r="TCZ41" s="528"/>
      <c r="TDA41" s="528"/>
      <c r="TDB41" s="528"/>
      <c r="TDC41" s="528"/>
      <c r="TDD41" s="528"/>
      <c r="TDE41" s="528"/>
      <c r="TDF41" s="528"/>
      <c r="TDG41" s="528"/>
      <c r="TDH41" s="528"/>
      <c r="TDI41" s="528"/>
      <c r="TDJ41" s="528"/>
      <c r="TDK41" s="528"/>
      <c r="TDL41" s="528"/>
      <c r="TDM41" s="528"/>
      <c r="TDN41" s="528"/>
      <c r="TDO41" s="528"/>
      <c r="TDP41" s="528"/>
      <c r="TDQ41" s="528"/>
      <c r="TDR41" s="528"/>
      <c r="TDS41" s="528"/>
      <c r="TDT41" s="528"/>
      <c r="TDU41" s="528"/>
      <c r="TDV41" s="528"/>
      <c r="TDW41" s="528"/>
      <c r="TDX41" s="528"/>
      <c r="TDY41" s="528"/>
      <c r="TDZ41" s="528"/>
      <c r="TEA41" s="528"/>
      <c r="TEB41" s="528"/>
      <c r="TEC41" s="528"/>
      <c r="TED41" s="528"/>
      <c r="TEE41" s="528"/>
      <c r="TEF41" s="528"/>
      <c r="TEG41" s="528"/>
      <c r="TEH41" s="528"/>
      <c r="TEI41" s="528"/>
      <c r="TEJ41" s="528"/>
      <c r="TEK41" s="528"/>
      <c r="TEL41" s="528"/>
      <c r="TEM41" s="528"/>
      <c r="TEN41" s="528"/>
      <c r="TEO41" s="528"/>
      <c r="TEP41" s="528"/>
      <c r="TEQ41" s="528"/>
      <c r="TER41" s="528"/>
      <c r="TES41" s="528"/>
      <c r="TET41" s="528"/>
      <c r="TEU41" s="528"/>
      <c r="TEV41" s="528"/>
      <c r="TEW41" s="528"/>
      <c r="TEX41" s="528"/>
      <c r="TEY41" s="528"/>
      <c r="TEZ41" s="528"/>
      <c r="TFA41" s="528"/>
      <c r="TFB41" s="528"/>
      <c r="TFC41" s="528"/>
      <c r="TFD41" s="528"/>
      <c r="TFE41" s="528"/>
      <c r="TFF41" s="528"/>
      <c r="TFG41" s="528"/>
      <c r="TFH41" s="528"/>
      <c r="TFI41" s="528"/>
      <c r="TFJ41" s="528"/>
      <c r="TFK41" s="528"/>
      <c r="TFL41" s="528"/>
      <c r="TFM41" s="528"/>
      <c r="TFN41" s="528"/>
      <c r="TFO41" s="528"/>
      <c r="TFP41" s="528"/>
      <c r="TFQ41" s="528"/>
      <c r="TFR41" s="528"/>
      <c r="TFS41" s="528"/>
      <c r="TFT41" s="528"/>
      <c r="TFU41" s="528"/>
      <c r="TFV41" s="528"/>
      <c r="TFW41" s="528"/>
      <c r="TFX41" s="528"/>
      <c r="TFY41" s="528"/>
      <c r="TFZ41" s="528"/>
      <c r="TGA41" s="528"/>
      <c r="TGB41" s="528"/>
      <c r="TGC41" s="528"/>
      <c r="TGD41" s="528"/>
      <c r="TGE41" s="528"/>
      <c r="TGF41" s="528"/>
      <c r="TGG41" s="528"/>
      <c r="TGH41" s="528"/>
      <c r="TGI41" s="528"/>
      <c r="TGJ41" s="528"/>
      <c r="TGK41" s="528"/>
      <c r="TGL41" s="528"/>
      <c r="TGM41" s="528"/>
      <c r="TGN41" s="528"/>
      <c r="TGO41" s="528"/>
      <c r="TGP41" s="528"/>
      <c r="TGQ41" s="528"/>
      <c r="TGR41" s="528"/>
      <c r="TGS41" s="528"/>
      <c r="TGT41" s="528"/>
      <c r="TGU41" s="528"/>
      <c r="TGV41" s="528"/>
      <c r="TGW41" s="528"/>
      <c r="TGX41" s="528"/>
      <c r="TGY41" s="528"/>
      <c r="TGZ41" s="528"/>
      <c r="THA41" s="528"/>
      <c r="THB41" s="528"/>
      <c r="THC41" s="528"/>
      <c r="THD41" s="528"/>
      <c r="THE41" s="528"/>
      <c r="THF41" s="528"/>
      <c r="THG41" s="528"/>
      <c r="THH41" s="528"/>
      <c r="THI41" s="528"/>
      <c r="THJ41" s="528"/>
      <c r="THK41" s="528"/>
      <c r="THL41" s="528"/>
      <c r="THM41" s="528"/>
      <c r="THN41" s="528"/>
      <c r="THO41" s="528"/>
      <c r="THP41" s="528"/>
      <c r="THQ41" s="528"/>
      <c r="THR41" s="528"/>
      <c r="THS41" s="528"/>
      <c r="THT41" s="528"/>
      <c r="THU41" s="528"/>
      <c r="THV41" s="528"/>
      <c r="THW41" s="528"/>
      <c r="THX41" s="528"/>
      <c r="THY41" s="528"/>
      <c r="THZ41" s="528"/>
      <c r="TIA41" s="528"/>
      <c r="TIB41" s="528"/>
      <c r="TIC41" s="528"/>
      <c r="TID41" s="528"/>
      <c r="TIE41" s="528"/>
      <c r="TIF41" s="528"/>
      <c r="TIG41" s="528"/>
      <c r="TIH41" s="528"/>
      <c r="TII41" s="528"/>
      <c r="TIJ41" s="528"/>
      <c r="TIK41" s="528"/>
      <c r="TIL41" s="528"/>
      <c r="TIM41" s="528"/>
      <c r="TIN41" s="528"/>
      <c r="TIO41" s="528"/>
      <c r="TIP41" s="528"/>
      <c r="TIQ41" s="528"/>
      <c r="TIR41" s="528"/>
      <c r="TIS41" s="528"/>
      <c r="TIT41" s="528"/>
      <c r="TIU41" s="528"/>
      <c r="TIV41" s="528"/>
      <c r="TIW41" s="528"/>
      <c r="TIX41" s="528"/>
      <c r="TIY41" s="528"/>
      <c r="TIZ41" s="528"/>
      <c r="TJA41" s="528"/>
      <c r="TJB41" s="528"/>
      <c r="TJC41" s="528"/>
      <c r="TJD41" s="528"/>
      <c r="TJE41" s="528"/>
      <c r="TJF41" s="528"/>
      <c r="TJG41" s="528"/>
      <c r="TJH41" s="528"/>
      <c r="TJI41" s="528"/>
      <c r="TJJ41" s="528"/>
      <c r="TJK41" s="528"/>
      <c r="TJL41" s="528"/>
      <c r="TJM41" s="528"/>
      <c r="TJN41" s="528"/>
      <c r="TJO41" s="528"/>
      <c r="TJP41" s="528"/>
      <c r="TJQ41" s="528"/>
      <c r="TJR41" s="528"/>
      <c r="TJS41" s="528"/>
      <c r="TJT41" s="528"/>
      <c r="TJU41" s="528"/>
      <c r="TJV41" s="528"/>
      <c r="TJW41" s="528"/>
      <c r="TJX41" s="528"/>
      <c r="TJY41" s="528"/>
      <c r="TJZ41" s="528"/>
      <c r="TKA41" s="528"/>
      <c r="TKB41" s="528"/>
      <c r="TKC41" s="528"/>
      <c r="TKD41" s="528"/>
      <c r="TKE41" s="528"/>
      <c r="TKF41" s="528"/>
      <c r="TKG41" s="528"/>
      <c r="TKH41" s="528"/>
      <c r="TKI41" s="528"/>
      <c r="TKJ41" s="528"/>
      <c r="TKK41" s="528"/>
      <c r="TKL41" s="528"/>
      <c r="TKM41" s="528"/>
      <c r="TKN41" s="528"/>
      <c r="TKO41" s="528"/>
      <c r="TKP41" s="528"/>
      <c r="TKQ41" s="528"/>
      <c r="TKR41" s="528"/>
      <c r="TKS41" s="528"/>
      <c r="TKT41" s="528"/>
      <c r="TKU41" s="528"/>
      <c r="TKV41" s="528"/>
      <c r="TKW41" s="528"/>
      <c r="TKX41" s="528"/>
      <c r="TKY41" s="528"/>
      <c r="TKZ41" s="528"/>
      <c r="TLA41" s="528"/>
      <c r="TLB41" s="528"/>
      <c r="TLC41" s="528"/>
      <c r="TLD41" s="528"/>
      <c r="TLE41" s="528"/>
      <c r="TLF41" s="528"/>
      <c r="TLG41" s="528"/>
      <c r="TLH41" s="528"/>
      <c r="TLI41" s="528"/>
      <c r="TLJ41" s="528"/>
      <c r="TLK41" s="528"/>
      <c r="TLL41" s="528"/>
      <c r="TLM41" s="528"/>
      <c r="TLN41" s="528"/>
      <c r="TLO41" s="528"/>
      <c r="TLP41" s="528"/>
      <c r="TLQ41" s="528"/>
      <c r="TLR41" s="528"/>
      <c r="TLS41" s="528"/>
      <c r="TLT41" s="528"/>
      <c r="TLU41" s="528"/>
      <c r="TLV41" s="528"/>
      <c r="TLW41" s="528"/>
      <c r="TLX41" s="528"/>
      <c r="TLY41" s="528"/>
      <c r="TLZ41" s="528"/>
      <c r="TMA41" s="528"/>
      <c r="TMB41" s="528"/>
      <c r="TMC41" s="528"/>
      <c r="TMD41" s="528"/>
      <c r="TME41" s="528"/>
      <c r="TMF41" s="528"/>
      <c r="TMG41" s="528"/>
      <c r="TMH41" s="528"/>
      <c r="TMI41" s="528"/>
      <c r="TMJ41" s="528"/>
      <c r="TMK41" s="528"/>
      <c r="TML41" s="528"/>
      <c r="TMM41" s="528"/>
      <c r="TMN41" s="528"/>
      <c r="TMO41" s="528"/>
      <c r="TMP41" s="528"/>
      <c r="TMQ41" s="528"/>
      <c r="TMR41" s="528"/>
      <c r="TMS41" s="528"/>
      <c r="TMT41" s="528"/>
      <c r="TMU41" s="528"/>
      <c r="TMV41" s="528"/>
      <c r="TMW41" s="528"/>
      <c r="TMX41" s="528"/>
      <c r="TMY41" s="528"/>
      <c r="TMZ41" s="528"/>
      <c r="TNA41" s="528"/>
      <c r="TNB41" s="528"/>
      <c r="TNC41" s="528"/>
      <c r="TND41" s="528"/>
      <c r="TNE41" s="528"/>
      <c r="TNF41" s="528"/>
      <c r="TNG41" s="528"/>
      <c r="TNH41" s="528"/>
      <c r="TNI41" s="528"/>
      <c r="TNJ41" s="528"/>
      <c r="TNK41" s="528"/>
      <c r="TNL41" s="528"/>
      <c r="TNM41" s="528"/>
      <c r="TNN41" s="528"/>
      <c r="TNO41" s="528"/>
      <c r="TNP41" s="528"/>
      <c r="TNQ41" s="528"/>
      <c r="TNR41" s="528"/>
      <c r="TNS41" s="528"/>
      <c r="TNT41" s="528"/>
      <c r="TNU41" s="528"/>
      <c r="TNV41" s="528"/>
      <c r="TNW41" s="528"/>
      <c r="TNX41" s="528"/>
      <c r="TNY41" s="528"/>
      <c r="TNZ41" s="528"/>
      <c r="TOA41" s="528"/>
      <c r="TOB41" s="528"/>
      <c r="TOC41" s="528"/>
      <c r="TOD41" s="528"/>
      <c r="TOE41" s="528"/>
      <c r="TOF41" s="528"/>
      <c r="TOG41" s="528"/>
      <c r="TOH41" s="528"/>
      <c r="TOI41" s="528"/>
      <c r="TOJ41" s="528"/>
      <c r="TOK41" s="528"/>
      <c r="TOL41" s="528"/>
      <c r="TOM41" s="528"/>
      <c r="TON41" s="528"/>
      <c r="TOO41" s="528"/>
      <c r="TOP41" s="528"/>
      <c r="TOQ41" s="528"/>
      <c r="TOR41" s="528"/>
      <c r="TOS41" s="528"/>
      <c r="TOT41" s="528"/>
      <c r="TOU41" s="528"/>
      <c r="TOV41" s="528"/>
      <c r="TOW41" s="528"/>
      <c r="TOX41" s="528"/>
      <c r="TOY41" s="528"/>
      <c r="TOZ41" s="528"/>
      <c r="TPA41" s="528"/>
      <c r="TPB41" s="528"/>
      <c r="TPC41" s="528"/>
      <c r="TPD41" s="528"/>
      <c r="TPE41" s="528"/>
      <c r="TPF41" s="528"/>
      <c r="TPG41" s="528"/>
      <c r="TPH41" s="528"/>
      <c r="TPI41" s="528"/>
      <c r="TPJ41" s="528"/>
      <c r="TPK41" s="528"/>
      <c r="TPL41" s="528"/>
      <c r="TPM41" s="528"/>
      <c r="TPN41" s="528"/>
      <c r="TPO41" s="528"/>
      <c r="TPP41" s="528"/>
      <c r="TPQ41" s="528"/>
      <c r="TPR41" s="528"/>
      <c r="TPS41" s="528"/>
      <c r="TPT41" s="528"/>
      <c r="TPU41" s="528"/>
      <c r="TPV41" s="528"/>
      <c r="TPW41" s="528"/>
      <c r="TPX41" s="528"/>
      <c r="TPY41" s="528"/>
      <c r="TPZ41" s="528"/>
      <c r="TQA41" s="528"/>
      <c r="TQB41" s="528"/>
      <c r="TQC41" s="528"/>
      <c r="TQD41" s="528"/>
      <c r="TQE41" s="528"/>
      <c r="TQF41" s="528"/>
      <c r="TQG41" s="528"/>
      <c r="TQH41" s="528"/>
      <c r="TQI41" s="528"/>
      <c r="TQJ41" s="528"/>
      <c r="TQK41" s="528"/>
      <c r="TQL41" s="528"/>
      <c r="TQM41" s="528"/>
      <c r="TQN41" s="528"/>
      <c r="TQO41" s="528"/>
      <c r="TQP41" s="528"/>
      <c r="TQQ41" s="528"/>
      <c r="TQR41" s="528"/>
      <c r="TQS41" s="528"/>
      <c r="TQT41" s="528"/>
      <c r="TQU41" s="528"/>
      <c r="TQV41" s="528"/>
      <c r="TQW41" s="528"/>
      <c r="TQX41" s="528"/>
      <c r="TQY41" s="528"/>
      <c r="TQZ41" s="528"/>
      <c r="TRA41" s="528"/>
      <c r="TRB41" s="528"/>
      <c r="TRC41" s="528"/>
      <c r="TRD41" s="528"/>
      <c r="TRE41" s="528"/>
      <c r="TRF41" s="528"/>
      <c r="TRG41" s="528"/>
      <c r="TRH41" s="528"/>
      <c r="TRI41" s="528"/>
      <c r="TRJ41" s="528"/>
      <c r="TRK41" s="528"/>
      <c r="TRL41" s="528"/>
      <c r="TRM41" s="528"/>
      <c r="TRN41" s="528"/>
      <c r="TRO41" s="528"/>
      <c r="TRP41" s="528"/>
      <c r="TRQ41" s="528"/>
      <c r="TRR41" s="528"/>
      <c r="TRS41" s="528"/>
      <c r="TRT41" s="528"/>
      <c r="TRU41" s="528"/>
      <c r="TRV41" s="528"/>
      <c r="TRW41" s="528"/>
      <c r="TRX41" s="528"/>
      <c r="TRY41" s="528"/>
      <c r="TRZ41" s="528"/>
      <c r="TSA41" s="528"/>
      <c r="TSB41" s="528"/>
      <c r="TSC41" s="528"/>
      <c r="TSD41" s="528"/>
      <c r="TSE41" s="528"/>
      <c r="TSF41" s="528"/>
      <c r="TSG41" s="528"/>
      <c r="TSH41" s="528"/>
      <c r="TSI41" s="528"/>
      <c r="TSJ41" s="528"/>
      <c r="TSK41" s="528"/>
      <c r="TSL41" s="528"/>
      <c r="TSM41" s="528"/>
      <c r="TSN41" s="528"/>
      <c r="TSO41" s="528"/>
      <c r="TSP41" s="528"/>
      <c r="TSQ41" s="528"/>
      <c r="TSR41" s="528"/>
      <c r="TSS41" s="528"/>
      <c r="TST41" s="528"/>
      <c r="TSU41" s="528"/>
      <c r="TSV41" s="528"/>
      <c r="TSW41" s="528"/>
      <c r="TSX41" s="528"/>
      <c r="TSY41" s="528"/>
      <c r="TSZ41" s="528"/>
      <c r="TTA41" s="528"/>
      <c r="TTB41" s="528"/>
      <c r="TTC41" s="528"/>
      <c r="TTD41" s="528"/>
      <c r="TTE41" s="528"/>
      <c r="TTF41" s="528"/>
      <c r="TTG41" s="528"/>
      <c r="TTH41" s="528"/>
      <c r="TTI41" s="528"/>
      <c r="TTJ41" s="528"/>
      <c r="TTK41" s="528"/>
      <c r="TTL41" s="528"/>
      <c r="TTM41" s="528"/>
      <c r="TTN41" s="528"/>
      <c r="TTO41" s="528"/>
      <c r="TTP41" s="528"/>
      <c r="TTQ41" s="528"/>
      <c r="TTR41" s="528"/>
      <c r="TTS41" s="528"/>
      <c r="TTT41" s="528"/>
      <c r="TTU41" s="528"/>
      <c r="TTV41" s="528"/>
      <c r="TTW41" s="528"/>
      <c r="TTX41" s="528"/>
      <c r="TTY41" s="528"/>
      <c r="TTZ41" s="528"/>
      <c r="TUA41" s="528"/>
      <c r="TUB41" s="528"/>
      <c r="TUC41" s="528"/>
      <c r="TUD41" s="528"/>
      <c r="TUE41" s="528"/>
      <c r="TUF41" s="528"/>
      <c r="TUG41" s="528"/>
      <c r="TUH41" s="528"/>
      <c r="TUI41" s="528"/>
      <c r="TUJ41" s="528"/>
      <c r="TUK41" s="528"/>
      <c r="TUL41" s="528"/>
      <c r="TUM41" s="528"/>
      <c r="TUN41" s="528"/>
      <c r="TUO41" s="528"/>
      <c r="TUP41" s="528"/>
      <c r="TUQ41" s="528"/>
      <c r="TUR41" s="528"/>
      <c r="TUS41" s="528"/>
      <c r="TUT41" s="528"/>
      <c r="TUU41" s="528"/>
      <c r="TUV41" s="528"/>
      <c r="TUW41" s="528"/>
      <c r="TUX41" s="528"/>
      <c r="TUY41" s="528"/>
      <c r="TUZ41" s="528"/>
      <c r="TVA41" s="528"/>
      <c r="TVB41" s="528"/>
      <c r="TVC41" s="528"/>
      <c r="TVD41" s="528"/>
      <c r="TVE41" s="528"/>
      <c r="TVF41" s="528"/>
      <c r="TVG41" s="528"/>
      <c r="TVH41" s="528"/>
      <c r="TVI41" s="528"/>
      <c r="TVJ41" s="528"/>
      <c r="TVK41" s="528"/>
      <c r="TVL41" s="528"/>
      <c r="TVM41" s="528"/>
      <c r="TVN41" s="528"/>
      <c r="TVO41" s="528"/>
      <c r="TVP41" s="528"/>
      <c r="TVQ41" s="528"/>
      <c r="TVR41" s="528"/>
      <c r="TVS41" s="528"/>
      <c r="TVT41" s="528"/>
      <c r="TVU41" s="528"/>
      <c r="TVV41" s="528"/>
      <c r="TVW41" s="528"/>
      <c r="TVX41" s="528"/>
      <c r="TVY41" s="528"/>
      <c r="TVZ41" s="528"/>
      <c r="TWA41" s="528"/>
      <c r="TWB41" s="528"/>
      <c r="TWC41" s="528"/>
      <c r="TWD41" s="528"/>
      <c r="TWE41" s="528"/>
      <c r="TWF41" s="528"/>
      <c r="TWG41" s="528"/>
      <c r="TWH41" s="528"/>
      <c r="TWI41" s="528"/>
      <c r="TWJ41" s="528"/>
      <c r="TWK41" s="528"/>
      <c r="TWL41" s="528"/>
      <c r="TWM41" s="528"/>
      <c r="TWN41" s="528"/>
      <c r="TWO41" s="528"/>
      <c r="TWP41" s="528"/>
      <c r="TWQ41" s="528"/>
      <c r="TWR41" s="528"/>
      <c r="TWS41" s="528"/>
      <c r="TWT41" s="528"/>
      <c r="TWU41" s="528"/>
      <c r="TWV41" s="528"/>
      <c r="TWW41" s="528"/>
      <c r="TWX41" s="528"/>
      <c r="TWY41" s="528"/>
      <c r="TWZ41" s="528"/>
      <c r="TXA41" s="528"/>
      <c r="TXB41" s="528"/>
      <c r="TXC41" s="528"/>
      <c r="TXD41" s="528"/>
      <c r="TXE41" s="528"/>
      <c r="TXF41" s="528"/>
      <c r="TXG41" s="528"/>
      <c r="TXH41" s="528"/>
      <c r="TXI41" s="528"/>
      <c r="TXJ41" s="528"/>
      <c r="TXK41" s="528"/>
      <c r="TXL41" s="528"/>
      <c r="TXM41" s="528"/>
      <c r="TXN41" s="528"/>
      <c r="TXO41" s="528"/>
      <c r="TXP41" s="528"/>
      <c r="TXQ41" s="528"/>
      <c r="TXR41" s="528"/>
      <c r="TXS41" s="528"/>
      <c r="TXT41" s="528"/>
      <c r="TXU41" s="528"/>
      <c r="TXV41" s="528"/>
      <c r="TXW41" s="528"/>
      <c r="TXX41" s="528"/>
      <c r="TXY41" s="528"/>
      <c r="TXZ41" s="528"/>
      <c r="TYA41" s="528"/>
      <c r="TYB41" s="528"/>
      <c r="TYC41" s="528"/>
      <c r="TYD41" s="528"/>
      <c r="TYE41" s="528"/>
      <c r="TYF41" s="528"/>
      <c r="TYG41" s="528"/>
      <c r="TYH41" s="528"/>
      <c r="TYI41" s="528"/>
      <c r="TYJ41" s="528"/>
      <c r="TYK41" s="528"/>
      <c r="TYL41" s="528"/>
      <c r="TYM41" s="528"/>
      <c r="TYN41" s="528"/>
      <c r="TYO41" s="528"/>
      <c r="TYP41" s="528"/>
      <c r="TYQ41" s="528"/>
      <c r="TYR41" s="528"/>
      <c r="TYS41" s="528"/>
      <c r="TYT41" s="528"/>
      <c r="TYU41" s="528"/>
      <c r="TYV41" s="528"/>
      <c r="TYW41" s="528"/>
      <c r="TYX41" s="528"/>
      <c r="TYY41" s="528"/>
      <c r="TYZ41" s="528"/>
      <c r="TZA41" s="528"/>
      <c r="TZB41" s="528"/>
      <c r="TZC41" s="528"/>
      <c r="TZD41" s="528"/>
      <c r="TZE41" s="528"/>
      <c r="TZF41" s="528"/>
      <c r="TZG41" s="528"/>
      <c r="TZH41" s="528"/>
      <c r="TZI41" s="528"/>
      <c r="TZJ41" s="528"/>
      <c r="TZK41" s="528"/>
      <c r="TZL41" s="528"/>
      <c r="TZM41" s="528"/>
      <c r="TZN41" s="528"/>
      <c r="TZO41" s="528"/>
      <c r="TZP41" s="528"/>
      <c r="TZQ41" s="528"/>
      <c r="TZR41" s="528"/>
      <c r="TZS41" s="528"/>
      <c r="TZT41" s="528"/>
      <c r="TZU41" s="528"/>
      <c r="TZV41" s="528"/>
      <c r="TZW41" s="528"/>
      <c r="TZX41" s="528"/>
      <c r="TZY41" s="528"/>
      <c r="TZZ41" s="528"/>
      <c r="UAA41" s="528"/>
      <c r="UAB41" s="528"/>
      <c r="UAC41" s="528"/>
      <c r="UAD41" s="528"/>
      <c r="UAE41" s="528"/>
      <c r="UAF41" s="528"/>
      <c r="UAG41" s="528"/>
      <c r="UAH41" s="528"/>
      <c r="UAI41" s="528"/>
      <c r="UAJ41" s="528"/>
      <c r="UAK41" s="528"/>
      <c r="UAL41" s="528"/>
      <c r="UAM41" s="528"/>
      <c r="UAN41" s="528"/>
      <c r="UAO41" s="528"/>
      <c r="UAP41" s="528"/>
      <c r="UAQ41" s="528"/>
      <c r="UAR41" s="528"/>
      <c r="UAS41" s="528"/>
      <c r="UAT41" s="528"/>
      <c r="UAU41" s="528"/>
      <c r="UAV41" s="528"/>
      <c r="UAW41" s="528"/>
      <c r="UAX41" s="528"/>
      <c r="UAY41" s="528"/>
      <c r="UAZ41" s="528"/>
      <c r="UBA41" s="528"/>
      <c r="UBB41" s="528"/>
      <c r="UBC41" s="528"/>
      <c r="UBD41" s="528"/>
      <c r="UBE41" s="528"/>
      <c r="UBF41" s="528"/>
      <c r="UBG41" s="528"/>
      <c r="UBH41" s="528"/>
      <c r="UBI41" s="528"/>
      <c r="UBJ41" s="528"/>
      <c r="UBK41" s="528"/>
      <c r="UBL41" s="528"/>
      <c r="UBM41" s="528"/>
      <c r="UBN41" s="528"/>
      <c r="UBO41" s="528"/>
      <c r="UBP41" s="528"/>
      <c r="UBQ41" s="528"/>
      <c r="UBR41" s="528"/>
      <c r="UBS41" s="528"/>
      <c r="UBT41" s="528"/>
      <c r="UBU41" s="528"/>
      <c r="UBV41" s="528"/>
      <c r="UBW41" s="528"/>
      <c r="UBX41" s="528"/>
      <c r="UBY41" s="528"/>
      <c r="UBZ41" s="528"/>
      <c r="UCA41" s="528"/>
      <c r="UCB41" s="528"/>
      <c r="UCC41" s="528"/>
      <c r="UCD41" s="528"/>
      <c r="UCE41" s="528"/>
      <c r="UCF41" s="528"/>
      <c r="UCG41" s="528"/>
      <c r="UCH41" s="528"/>
      <c r="UCI41" s="528"/>
      <c r="UCJ41" s="528"/>
      <c r="UCK41" s="528"/>
      <c r="UCL41" s="528"/>
      <c r="UCM41" s="528"/>
      <c r="UCN41" s="528"/>
      <c r="UCO41" s="528"/>
      <c r="UCP41" s="528"/>
      <c r="UCQ41" s="528"/>
      <c r="UCR41" s="528"/>
      <c r="UCS41" s="528"/>
      <c r="UCT41" s="528"/>
      <c r="UCU41" s="528"/>
      <c r="UCV41" s="528"/>
      <c r="UCW41" s="528"/>
      <c r="UCX41" s="528"/>
      <c r="UCY41" s="528"/>
      <c r="UCZ41" s="528"/>
      <c r="UDA41" s="528"/>
      <c r="UDB41" s="528"/>
      <c r="UDC41" s="528"/>
      <c r="UDD41" s="528"/>
      <c r="UDE41" s="528"/>
      <c r="UDF41" s="528"/>
      <c r="UDG41" s="528"/>
      <c r="UDH41" s="528"/>
      <c r="UDI41" s="528"/>
      <c r="UDJ41" s="528"/>
      <c r="UDK41" s="528"/>
      <c r="UDL41" s="528"/>
      <c r="UDM41" s="528"/>
      <c r="UDN41" s="528"/>
      <c r="UDO41" s="528"/>
      <c r="UDP41" s="528"/>
      <c r="UDQ41" s="528"/>
      <c r="UDR41" s="528"/>
      <c r="UDS41" s="528"/>
      <c r="UDT41" s="528"/>
      <c r="UDU41" s="528"/>
      <c r="UDV41" s="528"/>
      <c r="UDW41" s="528"/>
      <c r="UDX41" s="528"/>
      <c r="UDY41" s="528"/>
      <c r="UDZ41" s="528"/>
      <c r="UEA41" s="528"/>
      <c r="UEB41" s="528"/>
      <c r="UEC41" s="528"/>
      <c r="UED41" s="528"/>
      <c r="UEE41" s="528"/>
      <c r="UEF41" s="528"/>
      <c r="UEG41" s="528"/>
      <c r="UEH41" s="528"/>
      <c r="UEI41" s="528"/>
      <c r="UEJ41" s="528"/>
      <c r="UEK41" s="528"/>
      <c r="UEL41" s="528"/>
      <c r="UEM41" s="528"/>
      <c r="UEN41" s="528"/>
      <c r="UEO41" s="528"/>
      <c r="UEP41" s="528"/>
      <c r="UEQ41" s="528"/>
      <c r="UER41" s="528"/>
      <c r="UES41" s="528"/>
      <c r="UET41" s="528"/>
      <c r="UEU41" s="528"/>
      <c r="UEV41" s="528"/>
      <c r="UEW41" s="528"/>
      <c r="UEX41" s="528"/>
      <c r="UEY41" s="528"/>
      <c r="UEZ41" s="528"/>
      <c r="UFA41" s="528"/>
      <c r="UFB41" s="528"/>
      <c r="UFC41" s="528"/>
      <c r="UFD41" s="528"/>
      <c r="UFE41" s="528"/>
      <c r="UFF41" s="528"/>
      <c r="UFG41" s="528"/>
      <c r="UFH41" s="528"/>
      <c r="UFI41" s="528"/>
      <c r="UFJ41" s="528"/>
      <c r="UFK41" s="528"/>
      <c r="UFL41" s="528"/>
      <c r="UFM41" s="528"/>
      <c r="UFN41" s="528"/>
      <c r="UFO41" s="528"/>
      <c r="UFP41" s="528"/>
      <c r="UFQ41" s="528"/>
      <c r="UFR41" s="528"/>
      <c r="UFS41" s="528"/>
      <c r="UFT41" s="528"/>
      <c r="UFU41" s="528"/>
      <c r="UFV41" s="528"/>
      <c r="UFW41" s="528"/>
      <c r="UFX41" s="528"/>
      <c r="UFY41" s="528"/>
      <c r="UFZ41" s="528"/>
      <c r="UGA41" s="528"/>
      <c r="UGB41" s="528"/>
      <c r="UGC41" s="528"/>
      <c r="UGD41" s="528"/>
      <c r="UGE41" s="528"/>
      <c r="UGF41" s="528"/>
      <c r="UGG41" s="528"/>
      <c r="UGH41" s="528"/>
      <c r="UGI41" s="528"/>
      <c r="UGJ41" s="528"/>
      <c r="UGK41" s="528"/>
      <c r="UGL41" s="528"/>
      <c r="UGM41" s="528"/>
      <c r="UGN41" s="528"/>
      <c r="UGO41" s="528"/>
      <c r="UGP41" s="528"/>
      <c r="UGQ41" s="528"/>
      <c r="UGR41" s="528"/>
      <c r="UGS41" s="528"/>
      <c r="UGT41" s="528"/>
      <c r="UGU41" s="528"/>
      <c r="UGV41" s="528"/>
      <c r="UGW41" s="528"/>
      <c r="UGX41" s="528"/>
      <c r="UGY41" s="528"/>
      <c r="UGZ41" s="528"/>
      <c r="UHA41" s="528"/>
      <c r="UHB41" s="528"/>
      <c r="UHC41" s="528"/>
      <c r="UHD41" s="528"/>
      <c r="UHE41" s="528"/>
      <c r="UHF41" s="528"/>
      <c r="UHG41" s="528"/>
      <c r="UHH41" s="528"/>
      <c r="UHI41" s="528"/>
      <c r="UHJ41" s="528"/>
      <c r="UHK41" s="528"/>
      <c r="UHL41" s="528"/>
      <c r="UHM41" s="528"/>
      <c r="UHN41" s="528"/>
      <c r="UHO41" s="528"/>
      <c r="UHP41" s="528"/>
      <c r="UHQ41" s="528"/>
      <c r="UHR41" s="528"/>
      <c r="UHS41" s="528"/>
      <c r="UHT41" s="528"/>
      <c r="UHU41" s="528"/>
      <c r="UHV41" s="528"/>
      <c r="UHW41" s="528"/>
      <c r="UHX41" s="528"/>
      <c r="UHY41" s="528"/>
      <c r="UHZ41" s="528"/>
      <c r="UIA41" s="528"/>
      <c r="UIB41" s="528"/>
      <c r="UIC41" s="528"/>
      <c r="UID41" s="528"/>
      <c r="UIE41" s="528"/>
      <c r="UIF41" s="528"/>
      <c r="UIG41" s="528"/>
      <c r="UIH41" s="528"/>
      <c r="UII41" s="528"/>
      <c r="UIJ41" s="528"/>
      <c r="UIK41" s="528"/>
      <c r="UIL41" s="528"/>
      <c r="UIM41" s="528"/>
      <c r="UIN41" s="528"/>
      <c r="UIO41" s="528"/>
      <c r="UIP41" s="528"/>
      <c r="UIQ41" s="528"/>
      <c r="UIR41" s="528"/>
      <c r="UIS41" s="528"/>
      <c r="UIT41" s="528"/>
      <c r="UIU41" s="528"/>
      <c r="UIV41" s="528"/>
      <c r="UIW41" s="528"/>
      <c r="UIX41" s="528"/>
      <c r="UIY41" s="528"/>
      <c r="UIZ41" s="528"/>
      <c r="UJA41" s="528"/>
      <c r="UJB41" s="528"/>
      <c r="UJC41" s="528"/>
      <c r="UJD41" s="528"/>
      <c r="UJE41" s="528"/>
      <c r="UJF41" s="528"/>
      <c r="UJG41" s="528"/>
      <c r="UJH41" s="528"/>
      <c r="UJI41" s="528"/>
      <c r="UJJ41" s="528"/>
      <c r="UJK41" s="528"/>
      <c r="UJL41" s="528"/>
      <c r="UJM41" s="528"/>
      <c r="UJN41" s="528"/>
      <c r="UJO41" s="528"/>
      <c r="UJP41" s="528"/>
      <c r="UJQ41" s="528"/>
      <c r="UJR41" s="528"/>
      <c r="UJS41" s="528"/>
      <c r="UJT41" s="528"/>
      <c r="UJU41" s="528"/>
      <c r="UJV41" s="528"/>
      <c r="UJW41" s="528"/>
      <c r="UJX41" s="528"/>
      <c r="UJY41" s="528"/>
      <c r="UJZ41" s="528"/>
      <c r="UKA41" s="528"/>
      <c r="UKB41" s="528"/>
      <c r="UKC41" s="528"/>
      <c r="UKD41" s="528"/>
      <c r="UKE41" s="528"/>
      <c r="UKF41" s="528"/>
      <c r="UKG41" s="528"/>
      <c r="UKH41" s="528"/>
      <c r="UKI41" s="528"/>
      <c r="UKJ41" s="528"/>
      <c r="UKK41" s="528"/>
      <c r="UKL41" s="528"/>
      <c r="UKM41" s="528"/>
      <c r="UKN41" s="528"/>
      <c r="UKO41" s="528"/>
      <c r="UKP41" s="528"/>
      <c r="UKQ41" s="528"/>
      <c r="UKR41" s="528"/>
      <c r="UKS41" s="528"/>
      <c r="UKT41" s="528"/>
      <c r="UKU41" s="528"/>
      <c r="UKV41" s="528"/>
      <c r="UKW41" s="528"/>
      <c r="UKX41" s="528"/>
      <c r="UKY41" s="528"/>
      <c r="UKZ41" s="528"/>
      <c r="ULA41" s="528"/>
      <c r="ULB41" s="528"/>
      <c r="ULC41" s="528"/>
      <c r="ULD41" s="528"/>
      <c r="ULE41" s="528"/>
      <c r="ULF41" s="528"/>
      <c r="ULG41" s="528"/>
      <c r="ULH41" s="528"/>
      <c r="ULI41" s="528"/>
      <c r="ULJ41" s="528"/>
      <c r="ULK41" s="528"/>
      <c r="ULL41" s="528"/>
      <c r="ULM41" s="528"/>
      <c r="ULN41" s="528"/>
      <c r="ULO41" s="528"/>
      <c r="ULP41" s="528"/>
      <c r="ULQ41" s="528"/>
      <c r="ULR41" s="528"/>
      <c r="ULS41" s="528"/>
      <c r="ULT41" s="528"/>
      <c r="ULU41" s="528"/>
      <c r="ULV41" s="528"/>
      <c r="ULW41" s="528"/>
      <c r="ULX41" s="528"/>
      <c r="ULY41" s="528"/>
      <c r="ULZ41" s="528"/>
      <c r="UMA41" s="528"/>
      <c r="UMB41" s="528"/>
      <c r="UMC41" s="528"/>
      <c r="UMD41" s="528"/>
      <c r="UME41" s="528"/>
      <c r="UMF41" s="528"/>
      <c r="UMG41" s="528"/>
      <c r="UMH41" s="528"/>
      <c r="UMI41" s="528"/>
      <c r="UMJ41" s="528"/>
      <c r="UMK41" s="528"/>
      <c r="UML41" s="528"/>
      <c r="UMM41" s="528"/>
      <c r="UMN41" s="528"/>
      <c r="UMO41" s="528"/>
      <c r="UMP41" s="528"/>
      <c r="UMQ41" s="528"/>
      <c r="UMR41" s="528"/>
      <c r="UMS41" s="528"/>
      <c r="UMT41" s="528"/>
      <c r="UMU41" s="528"/>
      <c r="UMV41" s="528"/>
      <c r="UMW41" s="528"/>
      <c r="UMX41" s="528"/>
      <c r="UMY41" s="528"/>
      <c r="UMZ41" s="528"/>
      <c r="UNA41" s="528"/>
      <c r="UNB41" s="528"/>
      <c r="UNC41" s="528"/>
      <c r="UND41" s="528"/>
      <c r="UNE41" s="528"/>
      <c r="UNF41" s="528"/>
      <c r="UNG41" s="528"/>
      <c r="UNH41" s="528"/>
      <c r="UNI41" s="528"/>
      <c r="UNJ41" s="528"/>
      <c r="UNK41" s="528"/>
      <c r="UNL41" s="528"/>
      <c r="UNM41" s="528"/>
      <c r="UNN41" s="528"/>
      <c r="UNO41" s="528"/>
      <c r="UNP41" s="528"/>
      <c r="UNQ41" s="528"/>
      <c r="UNR41" s="528"/>
      <c r="UNS41" s="528"/>
      <c r="UNT41" s="528"/>
      <c r="UNU41" s="528"/>
      <c r="UNV41" s="528"/>
      <c r="UNW41" s="528"/>
      <c r="UNX41" s="528"/>
      <c r="UNY41" s="528"/>
      <c r="UNZ41" s="528"/>
      <c r="UOA41" s="528"/>
      <c r="UOB41" s="528"/>
      <c r="UOC41" s="528"/>
      <c r="UOD41" s="528"/>
      <c r="UOE41" s="528"/>
      <c r="UOF41" s="528"/>
      <c r="UOG41" s="528"/>
      <c r="UOH41" s="528"/>
      <c r="UOI41" s="528"/>
      <c r="UOJ41" s="528"/>
      <c r="UOK41" s="528"/>
      <c r="UOL41" s="528"/>
      <c r="UOM41" s="528"/>
      <c r="UON41" s="528"/>
      <c r="UOO41" s="528"/>
      <c r="UOP41" s="528"/>
      <c r="UOQ41" s="528"/>
      <c r="UOR41" s="528"/>
      <c r="UOS41" s="528"/>
      <c r="UOT41" s="528"/>
      <c r="UOU41" s="528"/>
      <c r="UOV41" s="528"/>
      <c r="UOW41" s="528"/>
      <c r="UOX41" s="528"/>
      <c r="UOY41" s="528"/>
      <c r="UOZ41" s="528"/>
      <c r="UPA41" s="528"/>
      <c r="UPB41" s="528"/>
      <c r="UPC41" s="528"/>
      <c r="UPD41" s="528"/>
      <c r="UPE41" s="528"/>
      <c r="UPF41" s="528"/>
      <c r="UPG41" s="528"/>
      <c r="UPH41" s="528"/>
      <c r="UPI41" s="528"/>
      <c r="UPJ41" s="528"/>
      <c r="UPK41" s="528"/>
      <c r="UPL41" s="528"/>
      <c r="UPM41" s="528"/>
      <c r="UPN41" s="528"/>
      <c r="UPO41" s="528"/>
      <c r="UPP41" s="528"/>
      <c r="UPQ41" s="528"/>
      <c r="UPR41" s="528"/>
      <c r="UPS41" s="528"/>
      <c r="UPT41" s="528"/>
      <c r="UPU41" s="528"/>
      <c r="UPV41" s="528"/>
      <c r="UPW41" s="528"/>
      <c r="UPX41" s="528"/>
      <c r="UPY41" s="528"/>
      <c r="UPZ41" s="528"/>
      <c r="UQA41" s="528"/>
      <c r="UQB41" s="528"/>
      <c r="UQC41" s="528"/>
      <c r="UQD41" s="528"/>
      <c r="UQE41" s="528"/>
      <c r="UQF41" s="528"/>
      <c r="UQG41" s="528"/>
      <c r="UQH41" s="528"/>
      <c r="UQI41" s="528"/>
      <c r="UQJ41" s="528"/>
      <c r="UQK41" s="528"/>
      <c r="UQL41" s="528"/>
      <c r="UQM41" s="528"/>
      <c r="UQN41" s="528"/>
      <c r="UQO41" s="528"/>
      <c r="UQP41" s="528"/>
      <c r="UQQ41" s="528"/>
      <c r="UQR41" s="528"/>
      <c r="UQS41" s="528"/>
      <c r="UQT41" s="528"/>
      <c r="UQU41" s="528"/>
      <c r="UQV41" s="528"/>
      <c r="UQW41" s="528"/>
      <c r="UQX41" s="528"/>
      <c r="UQY41" s="528"/>
      <c r="UQZ41" s="528"/>
      <c r="URA41" s="528"/>
      <c r="URB41" s="528"/>
      <c r="URC41" s="528"/>
      <c r="URD41" s="528"/>
      <c r="URE41" s="528"/>
      <c r="URF41" s="528"/>
      <c r="URG41" s="528"/>
      <c r="URH41" s="528"/>
      <c r="URI41" s="528"/>
      <c r="URJ41" s="528"/>
      <c r="URK41" s="528"/>
      <c r="URL41" s="528"/>
      <c r="URM41" s="528"/>
      <c r="URN41" s="528"/>
      <c r="URO41" s="528"/>
      <c r="URP41" s="528"/>
      <c r="URQ41" s="528"/>
      <c r="URR41" s="528"/>
      <c r="URS41" s="528"/>
      <c r="URT41" s="528"/>
      <c r="URU41" s="528"/>
      <c r="URV41" s="528"/>
      <c r="URW41" s="528"/>
      <c r="URX41" s="528"/>
      <c r="URY41" s="528"/>
      <c r="URZ41" s="528"/>
      <c r="USA41" s="528"/>
      <c r="USB41" s="528"/>
      <c r="USC41" s="528"/>
      <c r="USD41" s="528"/>
      <c r="USE41" s="528"/>
      <c r="USF41" s="528"/>
      <c r="USG41" s="528"/>
      <c r="USH41" s="528"/>
      <c r="USI41" s="528"/>
      <c r="USJ41" s="528"/>
      <c r="USK41" s="528"/>
      <c r="USL41" s="528"/>
      <c r="USM41" s="528"/>
      <c r="USN41" s="528"/>
      <c r="USO41" s="528"/>
      <c r="USP41" s="528"/>
      <c r="USQ41" s="528"/>
      <c r="USR41" s="528"/>
      <c r="USS41" s="528"/>
      <c r="UST41" s="528"/>
      <c r="USU41" s="528"/>
      <c r="USV41" s="528"/>
      <c r="USW41" s="528"/>
      <c r="USX41" s="528"/>
      <c r="USY41" s="528"/>
      <c r="USZ41" s="528"/>
      <c r="UTA41" s="528"/>
      <c r="UTB41" s="528"/>
      <c r="UTC41" s="528"/>
      <c r="UTD41" s="528"/>
      <c r="UTE41" s="528"/>
      <c r="UTF41" s="528"/>
      <c r="UTG41" s="528"/>
      <c r="UTH41" s="528"/>
      <c r="UTI41" s="528"/>
      <c r="UTJ41" s="528"/>
      <c r="UTK41" s="528"/>
      <c r="UTL41" s="528"/>
      <c r="UTM41" s="528"/>
      <c r="UTN41" s="528"/>
      <c r="UTO41" s="528"/>
      <c r="UTP41" s="528"/>
      <c r="UTQ41" s="528"/>
      <c r="UTR41" s="528"/>
      <c r="UTS41" s="528"/>
      <c r="UTT41" s="528"/>
      <c r="UTU41" s="528"/>
      <c r="UTV41" s="528"/>
      <c r="UTW41" s="528"/>
      <c r="UTX41" s="528"/>
      <c r="UTY41" s="528"/>
      <c r="UTZ41" s="528"/>
      <c r="UUA41" s="528"/>
      <c r="UUB41" s="528"/>
      <c r="UUC41" s="528"/>
      <c r="UUD41" s="528"/>
      <c r="UUE41" s="528"/>
      <c r="UUF41" s="528"/>
      <c r="UUG41" s="528"/>
      <c r="UUH41" s="528"/>
      <c r="UUI41" s="528"/>
      <c r="UUJ41" s="528"/>
      <c r="UUK41" s="528"/>
      <c r="UUL41" s="528"/>
      <c r="UUM41" s="528"/>
      <c r="UUN41" s="528"/>
      <c r="UUO41" s="528"/>
      <c r="UUP41" s="528"/>
      <c r="UUQ41" s="528"/>
      <c r="UUR41" s="528"/>
      <c r="UUS41" s="528"/>
      <c r="UUT41" s="528"/>
      <c r="UUU41" s="528"/>
      <c r="UUV41" s="528"/>
      <c r="UUW41" s="528"/>
      <c r="UUX41" s="528"/>
      <c r="UUY41" s="528"/>
      <c r="UUZ41" s="528"/>
      <c r="UVA41" s="528"/>
      <c r="UVB41" s="528"/>
      <c r="UVC41" s="528"/>
      <c r="UVD41" s="528"/>
      <c r="UVE41" s="528"/>
      <c r="UVF41" s="528"/>
      <c r="UVG41" s="528"/>
      <c r="UVH41" s="528"/>
      <c r="UVI41" s="528"/>
      <c r="UVJ41" s="528"/>
      <c r="UVK41" s="528"/>
      <c r="UVL41" s="528"/>
      <c r="UVM41" s="528"/>
      <c r="UVN41" s="528"/>
      <c r="UVO41" s="528"/>
      <c r="UVP41" s="528"/>
      <c r="UVQ41" s="528"/>
      <c r="UVR41" s="528"/>
      <c r="UVS41" s="528"/>
      <c r="UVT41" s="528"/>
      <c r="UVU41" s="528"/>
      <c r="UVV41" s="528"/>
      <c r="UVW41" s="528"/>
      <c r="UVX41" s="528"/>
      <c r="UVY41" s="528"/>
      <c r="UVZ41" s="528"/>
      <c r="UWA41" s="528"/>
      <c r="UWB41" s="528"/>
      <c r="UWC41" s="528"/>
      <c r="UWD41" s="528"/>
      <c r="UWE41" s="528"/>
      <c r="UWF41" s="528"/>
      <c r="UWG41" s="528"/>
      <c r="UWH41" s="528"/>
      <c r="UWI41" s="528"/>
      <c r="UWJ41" s="528"/>
      <c r="UWK41" s="528"/>
      <c r="UWL41" s="528"/>
      <c r="UWM41" s="528"/>
      <c r="UWN41" s="528"/>
      <c r="UWO41" s="528"/>
      <c r="UWP41" s="528"/>
      <c r="UWQ41" s="528"/>
      <c r="UWR41" s="528"/>
      <c r="UWS41" s="528"/>
      <c r="UWT41" s="528"/>
      <c r="UWU41" s="528"/>
      <c r="UWV41" s="528"/>
      <c r="UWW41" s="528"/>
      <c r="UWX41" s="528"/>
      <c r="UWY41" s="528"/>
      <c r="UWZ41" s="528"/>
      <c r="UXA41" s="528"/>
      <c r="UXB41" s="528"/>
      <c r="UXC41" s="528"/>
      <c r="UXD41" s="528"/>
      <c r="UXE41" s="528"/>
      <c r="UXF41" s="528"/>
      <c r="UXG41" s="528"/>
      <c r="UXH41" s="528"/>
      <c r="UXI41" s="528"/>
      <c r="UXJ41" s="528"/>
      <c r="UXK41" s="528"/>
      <c r="UXL41" s="528"/>
      <c r="UXM41" s="528"/>
      <c r="UXN41" s="528"/>
      <c r="UXO41" s="528"/>
      <c r="UXP41" s="528"/>
      <c r="UXQ41" s="528"/>
      <c r="UXR41" s="528"/>
      <c r="UXS41" s="528"/>
      <c r="UXT41" s="528"/>
      <c r="UXU41" s="528"/>
      <c r="UXV41" s="528"/>
      <c r="UXW41" s="528"/>
      <c r="UXX41" s="528"/>
      <c r="UXY41" s="528"/>
      <c r="UXZ41" s="528"/>
      <c r="UYA41" s="528"/>
      <c r="UYB41" s="528"/>
      <c r="UYC41" s="528"/>
      <c r="UYD41" s="528"/>
      <c r="UYE41" s="528"/>
      <c r="UYF41" s="528"/>
      <c r="UYG41" s="528"/>
      <c r="UYH41" s="528"/>
      <c r="UYI41" s="528"/>
      <c r="UYJ41" s="528"/>
      <c r="UYK41" s="528"/>
      <c r="UYL41" s="528"/>
      <c r="UYM41" s="528"/>
      <c r="UYN41" s="528"/>
      <c r="UYO41" s="528"/>
      <c r="UYP41" s="528"/>
      <c r="UYQ41" s="528"/>
      <c r="UYR41" s="528"/>
      <c r="UYS41" s="528"/>
      <c r="UYT41" s="528"/>
      <c r="UYU41" s="528"/>
      <c r="UYV41" s="528"/>
      <c r="UYW41" s="528"/>
      <c r="UYX41" s="528"/>
      <c r="UYY41" s="528"/>
      <c r="UYZ41" s="528"/>
      <c r="UZA41" s="528"/>
      <c r="UZB41" s="528"/>
      <c r="UZC41" s="528"/>
      <c r="UZD41" s="528"/>
      <c r="UZE41" s="528"/>
      <c r="UZF41" s="528"/>
      <c r="UZG41" s="528"/>
      <c r="UZH41" s="528"/>
      <c r="UZI41" s="528"/>
      <c r="UZJ41" s="528"/>
      <c r="UZK41" s="528"/>
      <c r="UZL41" s="528"/>
      <c r="UZM41" s="528"/>
      <c r="UZN41" s="528"/>
      <c r="UZO41" s="528"/>
      <c r="UZP41" s="528"/>
      <c r="UZQ41" s="528"/>
      <c r="UZR41" s="528"/>
      <c r="UZS41" s="528"/>
      <c r="UZT41" s="528"/>
      <c r="UZU41" s="528"/>
      <c r="UZV41" s="528"/>
      <c r="UZW41" s="528"/>
      <c r="UZX41" s="528"/>
      <c r="UZY41" s="528"/>
      <c r="UZZ41" s="528"/>
      <c r="VAA41" s="528"/>
      <c r="VAB41" s="528"/>
      <c r="VAC41" s="528"/>
      <c r="VAD41" s="528"/>
      <c r="VAE41" s="528"/>
      <c r="VAF41" s="528"/>
      <c r="VAG41" s="528"/>
      <c r="VAH41" s="528"/>
      <c r="VAI41" s="528"/>
      <c r="VAJ41" s="528"/>
      <c r="VAK41" s="528"/>
      <c r="VAL41" s="528"/>
      <c r="VAM41" s="528"/>
      <c r="VAN41" s="528"/>
      <c r="VAO41" s="528"/>
      <c r="VAP41" s="528"/>
      <c r="VAQ41" s="528"/>
      <c r="VAR41" s="528"/>
      <c r="VAS41" s="528"/>
      <c r="VAT41" s="528"/>
      <c r="VAU41" s="528"/>
      <c r="VAV41" s="528"/>
      <c r="VAW41" s="528"/>
      <c r="VAX41" s="528"/>
      <c r="VAY41" s="528"/>
      <c r="VAZ41" s="528"/>
      <c r="VBA41" s="528"/>
      <c r="VBB41" s="528"/>
      <c r="VBC41" s="528"/>
      <c r="VBD41" s="528"/>
      <c r="VBE41" s="528"/>
      <c r="VBF41" s="528"/>
      <c r="VBG41" s="528"/>
      <c r="VBH41" s="528"/>
      <c r="VBI41" s="528"/>
      <c r="VBJ41" s="528"/>
      <c r="VBK41" s="528"/>
      <c r="VBL41" s="528"/>
      <c r="VBM41" s="528"/>
      <c r="VBN41" s="528"/>
      <c r="VBO41" s="528"/>
      <c r="VBP41" s="528"/>
      <c r="VBQ41" s="528"/>
      <c r="VBR41" s="528"/>
      <c r="VBS41" s="528"/>
      <c r="VBT41" s="528"/>
      <c r="VBU41" s="528"/>
      <c r="VBV41" s="528"/>
      <c r="VBW41" s="528"/>
      <c r="VBX41" s="528"/>
      <c r="VBY41" s="528"/>
      <c r="VBZ41" s="528"/>
      <c r="VCA41" s="528"/>
      <c r="VCB41" s="528"/>
      <c r="VCC41" s="528"/>
      <c r="VCD41" s="528"/>
      <c r="VCE41" s="528"/>
      <c r="VCF41" s="528"/>
      <c r="VCG41" s="528"/>
      <c r="VCH41" s="528"/>
      <c r="VCI41" s="528"/>
      <c r="VCJ41" s="528"/>
      <c r="VCK41" s="528"/>
      <c r="VCL41" s="528"/>
      <c r="VCM41" s="528"/>
      <c r="VCN41" s="528"/>
      <c r="VCO41" s="528"/>
      <c r="VCP41" s="528"/>
      <c r="VCQ41" s="528"/>
      <c r="VCR41" s="528"/>
      <c r="VCS41" s="528"/>
      <c r="VCT41" s="528"/>
      <c r="VCU41" s="528"/>
      <c r="VCV41" s="528"/>
      <c r="VCW41" s="528"/>
      <c r="VCX41" s="528"/>
      <c r="VCY41" s="528"/>
      <c r="VCZ41" s="528"/>
      <c r="VDA41" s="528"/>
      <c r="VDB41" s="528"/>
      <c r="VDC41" s="528"/>
      <c r="VDD41" s="528"/>
      <c r="VDE41" s="528"/>
      <c r="VDF41" s="528"/>
      <c r="VDG41" s="528"/>
      <c r="VDH41" s="528"/>
      <c r="VDI41" s="528"/>
      <c r="VDJ41" s="528"/>
      <c r="VDK41" s="528"/>
      <c r="VDL41" s="528"/>
      <c r="VDM41" s="528"/>
      <c r="VDN41" s="528"/>
      <c r="VDO41" s="528"/>
      <c r="VDP41" s="528"/>
      <c r="VDQ41" s="528"/>
      <c r="VDR41" s="528"/>
      <c r="VDS41" s="528"/>
      <c r="VDT41" s="528"/>
      <c r="VDU41" s="528"/>
      <c r="VDV41" s="528"/>
      <c r="VDW41" s="528"/>
      <c r="VDX41" s="528"/>
      <c r="VDY41" s="528"/>
      <c r="VDZ41" s="528"/>
      <c r="VEA41" s="528"/>
      <c r="VEB41" s="528"/>
      <c r="VEC41" s="528"/>
      <c r="VED41" s="528"/>
      <c r="VEE41" s="528"/>
      <c r="VEF41" s="528"/>
      <c r="VEG41" s="528"/>
      <c r="VEH41" s="528"/>
      <c r="VEI41" s="528"/>
      <c r="VEJ41" s="528"/>
      <c r="VEK41" s="528"/>
      <c r="VEL41" s="528"/>
      <c r="VEM41" s="528"/>
      <c r="VEN41" s="528"/>
      <c r="VEO41" s="528"/>
      <c r="VEP41" s="528"/>
      <c r="VEQ41" s="528"/>
      <c r="VER41" s="528"/>
      <c r="VES41" s="528"/>
      <c r="VET41" s="528"/>
      <c r="VEU41" s="528"/>
      <c r="VEV41" s="528"/>
      <c r="VEW41" s="528"/>
      <c r="VEX41" s="528"/>
      <c r="VEY41" s="528"/>
      <c r="VEZ41" s="528"/>
      <c r="VFA41" s="528"/>
      <c r="VFB41" s="528"/>
      <c r="VFC41" s="528"/>
      <c r="VFD41" s="528"/>
      <c r="VFE41" s="528"/>
      <c r="VFF41" s="528"/>
      <c r="VFG41" s="528"/>
      <c r="VFH41" s="528"/>
      <c r="VFI41" s="528"/>
      <c r="VFJ41" s="528"/>
      <c r="VFK41" s="528"/>
      <c r="VFL41" s="528"/>
      <c r="VFM41" s="528"/>
      <c r="VFN41" s="528"/>
      <c r="VFO41" s="528"/>
      <c r="VFP41" s="528"/>
      <c r="VFQ41" s="528"/>
      <c r="VFR41" s="528"/>
      <c r="VFS41" s="528"/>
      <c r="VFT41" s="528"/>
      <c r="VFU41" s="528"/>
      <c r="VFV41" s="528"/>
      <c r="VFW41" s="528"/>
      <c r="VFX41" s="528"/>
      <c r="VFY41" s="528"/>
      <c r="VFZ41" s="528"/>
      <c r="VGA41" s="528"/>
      <c r="VGB41" s="528"/>
      <c r="VGC41" s="528"/>
      <c r="VGD41" s="528"/>
      <c r="VGE41" s="528"/>
      <c r="VGF41" s="528"/>
      <c r="VGG41" s="528"/>
      <c r="VGH41" s="528"/>
      <c r="VGI41" s="528"/>
      <c r="VGJ41" s="528"/>
      <c r="VGK41" s="528"/>
      <c r="VGL41" s="528"/>
      <c r="VGM41" s="528"/>
      <c r="VGN41" s="528"/>
      <c r="VGO41" s="528"/>
      <c r="VGP41" s="528"/>
      <c r="VGQ41" s="528"/>
      <c r="VGR41" s="528"/>
      <c r="VGS41" s="528"/>
      <c r="VGT41" s="528"/>
      <c r="VGU41" s="528"/>
      <c r="VGV41" s="528"/>
      <c r="VGW41" s="528"/>
      <c r="VGX41" s="528"/>
      <c r="VGY41" s="528"/>
      <c r="VGZ41" s="528"/>
      <c r="VHA41" s="528"/>
      <c r="VHB41" s="528"/>
      <c r="VHC41" s="528"/>
      <c r="VHD41" s="528"/>
      <c r="VHE41" s="528"/>
      <c r="VHF41" s="528"/>
      <c r="VHG41" s="528"/>
      <c r="VHH41" s="528"/>
      <c r="VHI41" s="528"/>
      <c r="VHJ41" s="528"/>
      <c r="VHK41" s="528"/>
      <c r="VHL41" s="528"/>
      <c r="VHM41" s="528"/>
      <c r="VHN41" s="528"/>
      <c r="VHO41" s="528"/>
      <c r="VHP41" s="528"/>
      <c r="VHQ41" s="528"/>
      <c r="VHR41" s="528"/>
      <c r="VHS41" s="528"/>
      <c r="VHT41" s="528"/>
      <c r="VHU41" s="528"/>
      <c r="VHV41" s="528"/>
      <c r="VHW41" s="528"/>
      <c r="VHX41" s="528"/>
      <c r="VHY41" s="528"/>
      <c r="VHZ41" s="528"/>
      <c r="VIA41" s="528"/>
      <c r="VIB41" s="528"/>
      <c r="VIC41" s="528"/>
      <c r="VID41" s="528"/>
      <c r="VIE41" s="528"/>
      <c r="VIF41" s="528"/>
      <c r="VIG41" s="528"/>
      <c r="VIH41" s="528"/>
      <c r="VII41" s="528"/>
      <c r="VIJ41" s="528"/>
      <c r="VIK41" s="528"/>
      <c r="VIL41" s="528"/>
      <c r="VIM41" s="528"/>
      <c r="VIN41" s="528"/>
      <c r="VIO41" s="528"/>
      <c r="VIP41" s="528"/>
      <c r="VIQ41" s="528"/>
      <c r="VIR41" s="528"/>
      <c r="VIS41" s="528"/>
      <c r="VIT41" s="528"/>
      <c r="VIU41" s="528"/>
      <c r="VIV41" s="528"/>
      <c r="VIW41" s="528"/>
      <c r="VIX41" s="528"/>
      <c r="VIY41" s="528"/>
      <c r="VIZ41" s="528"/>
      <c r="VJA41" s="528"/>
      <c r="VJB41" s="528"/>
      <c r="VJC41" s="528"/>
      <c r="VJD41" s="528"/>
      <c r="VJE41" s="528"/>
      <c r="VJF41" s="528"/>
      <c r="VJG41" s="528"/>
      <c r="VJH41" s="528"/>
      <c r="VJI41" s="528"/>
      <c r="VJJ41" s="528"/>
      <c r="VJK41" s="528"/>
      <c r="VJL41" s="528"/>
      <c r="VJM41" s="528"/>
      <c r="VJN41" s="528"/>
      <c r="VJO41" s="528"/>
      <c r="VJP41" s="528"/>
      <c r="VJQ41" s="528"/>
      <c r="VJR41" s="528"/>
      <c r="VJS41" s="528"/>
      <c r="VJT41" s="528"/>
      <c r="VJU41" s="528"/>
      <c r="VJV41" s="528"/>
      <c r="VJW41" s="528"/>
      <c r="VJX41" s="528"/>
      <c r="VJY41" s="528"/>
      <c r="VJZ41" s="528"/>
      <c r="VKA41" s="528"/>
      <c r="VKB41" s="528"/>
      <c r="VKC41" s="528"/>
      <c r="VKD41" s="528"/>
      <c r="VKE41" s="528"/>
      <c r="VKF41" s="528"/>
      <c r="VKG41" s="528"/>
      <c r="VKH41" s="528"/>
      <c r="VKI41" s="528"/>
      <c r="VKJ41" s="528"/>
      <c r="VKK41" s="528"/>
      <c r="VKL41" s="528"/>
      <c r="VKM41" s="528"/>
      <c r="VKN41" s="528"/>
      <c r="VKO41" s="528"/>
      <c r="VKP41" s="528"/>
      <c r="VKQ41" s="528"/>
      <c r="VKR41" s="528"/>
      <c r="VKS41" s="528"/>
      <c r="VKT41" s="528"/>
      <c r="VKU41" s="528"/>
      <c r="VKV41" s="528"/>
      <c r="VKW41" s="528"/>
      <c r="VKX41" s="528"/>
      <c r="VKY41" s="528"/>
      <c r="VKZ41" s="528"/>
      <c r="VLA41" s="528"/>
      <c r="VLB41" s="528"/>
      <c r="VLC41" s="528"/>
      <c r="VLD41" s="528"/>
      <c r="VLE41" s="528"/>
      <c r="VLF41" s="528"/>
      <c r="VLG41" s="528"/>
      <c r="VLH41" s="528"/>
      <c r="VLI41" s="528"/>
      <c r="VLJ41" s="528"/>
      <c r="VLK41" s="528"/>
      <c r="VLL41" s="528"/>
      <c r="VLM41" s="528"/>
      <c r="VLN41" s="528"/>
      <c r="VLO41" s="528"/>
      <c r="VLP41" s="528"/>
      <c r="VLQ41" s="528"/>
      <c r="VLR41" s="528"/>
      <c r="VLS41" s="528"/>
      <c r="VLT41" s="528"/>
      <c r="VLU41" s="528"/>
      <c r="VLV41" s="528"/>
      <c r="VLW41" s="528"/>
      <c r="VLX41" s="528"/>
      <c r="VLY41" s="528"/>
      <c r="VLZ41" s="528"/>
      <c r="VMA41" s="528"/>
      <c r="VMB41" s="528"/>
      <c r="VMC41" s="528"/>
      <c r="VMD41" s="528"/>
      <c r="VME41" s="528"/>
      <c r="VMF41" s="528"/>
      <c r="VMG41" s="528"/>
      <c r="VMH41" s="528"/>
      <c r="VMI41" s="528"/>
      <c r="VMJ41" s="528"/>
      <c r="VMK41" s="528"/>
      <c r="VML41" s="528"/>
      <c r="VMM41" s="528"/>
      <c r="VMN41" s="528"/>
      <c r="VMO41" s="528"/>
      <c r="VMP41" s="528"/>
      <c r="VMQ41" s="528"/>
      <c r="VMR41" s="528"/>
      <c r="VMS41" s="528"/>
      <c r="VMT41" s="528"/>
      <c r="VMU41" s="528"/>
      <c r="VMV41" s="528"/>
      <c r="VMW41" s="528"/>
      <c r="VMX41" s="528"/>
      <c r="VMY41" s="528"/>
      <c r="VMZ41" s="528"/>
      <c r="VNA41" s="528"/>
      <c r="VNB41" s="528"/>
      <c r="VNC41" s="528"/>
      <c r="VND41" s="528"/>
      <c r="VNE41" s="528"/>
      <c r="VNF41" s="528"/>
      <c r="VNG41" s="528"/>
      <c r="VNH41" s="528"/>
      <c r="VNI41" s="528"/>
      <c r="VNJ41" s="528"/>
      <c r="VNK41" s="528"/>
      <c r="VNL41" s="528"/>
      <c r="VNM41" s="528"/>
      <c r="VNN41" s="528"/>
      <c r="VNO41" s="528"/>
      <c r="VNP41" s="528"/>
      <c r="VNQ41" s="528"/>
      <c r="VNR41" s="528"/>
      <c r="VNS41" s="528"/>
      <c r="VNT41" s="528"/>
      <c r="VNU41" s="528"/>
      <c r="VNV41" s="528"/>
      <c r="VNW41" s="528"/>
      <c r="VNX41" s="528"/>
      <c r="VNY41" s="528"/>
      <c r="VNZ41" s="528"/>
      <c r="VOA41" s="528"/>
      <c r="VOB41" s="528"/>
      <c r="VOC41" s="528"/>
      <c r="VOD41" s="528"/>
      <c r="VOE41" s="528"/>
      <c r="VOF41" s="528"/>
      <c r="VOG41" s="528"/>
      <c r="VOH41" s="528"/>
      <c r="VOI41" s="528"/>
      <c r="VOJ41" s="528"/>
      <c r="VOK41" s="528"/>
      <c r="VOL41" s="528"/>
      <c r="VOM41" s="528"/>
      <c r="VON41" s="528"/>
      <c r="VOO41" s="528"/>
      <c r="VOP41" s="528"/>
      <c r="VOQ41" s="528"/>
      <c r="VOR41" s="528"/>
      <c r="VOS41" s="528"/>
      <c r="VOT41" s="528"/>
      <c r="VOU41" s="528"/>
      <c r="VOV41" s="528"/>
      <c r="VOW41" s="528"/>
      <c r="VOX41" s="528"/>
      <c r="VOY41" s="528"/>
      <c r="VOZ41" s="528"/>
      <c r="VPA41" s="528"/>
      <c r="VPB41" s="528"/>
      <c r="VPC41" s="528"/>
      <c r="VPD41" s="528"/>
      <c r="VPE41" s="528"/>
      <c r="VPF41" s="528"/>
      <c r="VPG41" s="528"/>
      <c r="VPH41" s="528"/>
      <c r="VPI41" s="528"/>
      <c r="VPJ41" s="528"/>
      <c r="VPK41" s="528"/>
      <c r="VPL41" s="528"/>
      <c r="VPM41" s="528"/>
      <c r="VPN41" s="528"/>
      <c r="VPO41" s="528"/>
      <c r="VPP41" s="528"/>
      <c r="VPQ41" s="528"/>
      <c r="VPR41" s="528"/>
      <c r="VPS41" s="528"/>
      <c r="VPT41" s="528"/>
      <c r="VPU41" s="528"/>
      <c r="VPV41" s="528"/>
      <c r="VPW41" s="528"/>
      <c r="VPX41" s="528"/>
      <c r="VPY41" s="528"/>
      <c r="VPZ41" s="528"/>
      <c r="VQA41" s="528"/>
      <c r="VQB41" s="528"/>
      <c r="VQC41" s="528"/>
      <c r="VQD41" s="528"/>
      <c r="VQE41" s="528"/>
      <c r="VQF41" s="528"/>
      <c r="VQG41" s="528"/>
      <c r="VQH41" s="528"/>
      <c r="VQI41" s="528"/>
      <c r="VQJ41" s="528"/>
      <c r="VQK41" s="528"/>
      <c r="VQL41" s="528"/>
      <c r="VQM41" s="528"/>
      <c r="VQN41" s="528"/>
      <c r="VQO41" s="528"/>
      <c r="VQP41" s="528"/>
      <c r="VQQ41" s="528"/>
      <c r="VQR41" s="528"/>
      <c r="VQS41" s="528"/>
      <c r="VQT41" s="528"/>
      <c r="VQU41" s="528"/>
      <c r="VQV41" s="528"/>
      <c r="VQW41" s="528"/>
      <c r="VQX41" s="528"/>
      <c r="VQY41" s="528"/>
      <c r="VQZ41" s="528"/>
      <c r="VRA41" s="528"/>
      <c r="VRB41" s="528"/>
      <c r="VRC41" s="528"/>
      <c r="VRD41" s="528"/>
      <c r="VRE41" s="528"/>
      <c r="VRF41" s="528"/>
      <c r="VRG41" s="528"/>
      <c r="VRH41" s="528"/>
      <c r="VRI41" s="528"/>
      <c r="VRJ41" s="528"/>
      <c r="VRK41" s="528"/>
      <c r="VRL41" s="528"/>
      <c r="VRM41" s="528"/>
      <c r="VRN41" s="528"/>
      <c r="VRO41" s="528"/>
      <c r="VRP41" s="528"/>
      <c r="VRQ41" s="528"/>
      <c r="VRR41" s="528"/>
      <c r="VRS41" s="528"/>
      <c r="VRT41" s="528"/>
      <c r="VRU41" s="528"/>
      <c r="VRV41" s="528"/>
      <c r="VRW41" s="528"/>
      <c r="VRX41" s="528"/>
      <c r="VRY41" s="528"/>
      <c r="VRZ41" s="528"/>
      <c r="VSA41" s="528"/>
      <c r="VSB41" s="528"/>
      <c r="VSC41" s="528"/>
      <c r="VSD41" s="528"/>
      <c r="VSE41" s="528"/>
      <c r="VSF41" s="528"/>
      <c r="VSG41" s="528"/>
      <c r="VSH41" s="528"/>
      <c r="VSI41" s="528"/>
      <c r="VSJ41" s="528"/>
      <c r="VSK41" s="528"/>
      <c r="VSL41" s="528"/>
      <c r="VSM41" s="528"/>
      <c r="VSN41" s="528"/>
      <c r="VSO41" s="528"/>
      <c r="VSP41" s="528"/>
      <c r="VSQ41" s="528"/>
      <c r="VSR41" s="528"/>
      <c r="VSS41" s="528"/>
      <c r="VST41" s="528"/>
      <c r="VSU41" s="528"/>
      <c r="VSV41" s="528"/>
      <c r="VSW41" s="528"/>
      <c r="VSX41" s="528"/>
      <c r="VSY41" s="528"/>
      <c r="VSZ41" s="528"/>
      <c r="VTA41" s="528"/>
      <c r="VTB41" s="528"/>
      <c r="VTC41" s="528"/>
      <c r="VTD41" s="528"/>
      <c r="VTE41" s="528"/>
      <c r="VTF41" s="528"/>
      <c r="VTG41" s="528"/>
      <c r="VTH41" s="528"/>
      <c r="VTI41" s="528"/>
      <c r="VTJ41" s="528"/>
      <c r="VTK41" s="528"/>
      <c r="VTL41" s="528"/>
      <c r="VTM41" s="528"/>
      <c r="VTN41" s="528"/>
      <c r="VTO41" s="528"/>
      <c r="VTP41" s="528"/>
      <c r="VTQ41" s="528"/>
      <c r="VTR41" s="528"/>
      <c r="VTS41" s="528"/>
      <c r="VTT41" s="528"/>
      <c r="VTU41" s="528"/>
      <c r="VTV41" s="528"/>
      <c r="VTW41" s="528"/>
      <c r="VTX41" s="528"/>
      <c r="VTY41" s="528"/>
      <c r="VTZ41" s="528"/>
      <c r="VUA41" s="528"/>
      <c r="VUB41" s="528"/>
      <c r="VUC41" s="528"/>
      <c r="VUD41" s="528"/>
      <c r="VUE41" s="528"/>
      <c r="VUF41" s="528"/>
      <c r="VUG41" s="528"/>
      <c r="VUH41" s="528"/>
      <c r="VUI41" s="528"/>
      <c r="VUJ41" s="528"/>
      <c r="VUK41" s="528"/>
      <c r="VUL41" s="528"/>
      <c r="VUM41" s="528"/>
      <c r="VUN41" s="528"/>
      <c r="VUO41" s="528"/>
      <c r="VUP41" s="528"/>
      <c r="VUQ41" s="528"/>
      <c r="VUR41" s="528"/>
      <c r="VUS41" s="528"/>
      <c r="VUT41" s="528"/>
      <c r="VUU41" s="528"/>
      <c r="VUV41" s="528"/>
      <c r="VUW41" s="528"/>
      <c r="VUX41" s="528"/>
      <c r="VUY41" s="528"/>
      <c r="VUZ41" s="528"/>
      <c r="VVA41" s="528"/>
      <c r="VVB41" s="528"/>
      <c r="VVC41" s="528"/>
      <c r="VVD41" s="528"/>
      <c r="VVE41" s="528"/>
      <c r="VVF41" s="528"/>
      <c r="VVG41" s="528"/>
      <c r="VVH41" s="528"/>
      <c r="VVI41" s="528"/>
      <c r="VVJ41" s="528"/>
      <c r="VVK41" s="528"/>
      <c r="VVL41" s="528"/>
      <c r="VVM41" s="528"/>
      <c r="VVN41" s="528"/>
      <c r="VVO41" s="528"/>
      <c r="VVP41" s="528"/>
      <c r="VVQ41" s="528"/>
      <c r="VVR41" s="528"/>
      <c r="VVS41" s="528"/>
      <c r="VVT41" s="528"/>
      <c r="VVU41" s="528"/>
      <c r="VVV41" s="528"/>
      <c r="VVW41" s="528"/>
      <c r="VVX41" s="528"/>
      <c r="VVY41" s="528"/>
      <c r="VVZ41" s="528"/>
      <c r="VWA41" s="528"/>
      <c r="VWB41" s="528"/>
      <c r="VWC41" s="528"/>
      <c r="VWD41" s="528"/>
      <c r="VWE41" s="528"/>
      <c r="VWF41" s="528"/>
      <c r="VWG41" s="528"/>
      <c r="VWH41" s="528"/>
      <c r="VWI41" s="528"/>
      <c r="VWJ41" s="528"/>
      <c r="VWK41" s="528"/>
      <c r="VWL41" s="528"/>
      <c r="VWM41" s="528"/>
      <c r="VWN41" s="528"/>
      <c r="VWO41" s="528"/>
      <c r="VWP41" s="528"/>
      <c r="VWQ41" s="528"/>
      <c r="VWR41" s="528"/>
      <c r="VWS41" s="528"/>
      <c r="VWT41" s="528"/>
      <c r="VWU41" s="528"/>
      <c r="VWV41" s="528"/>
      <c r="VWW41" s="528"/>
      <c r="VWX41" s="528"/>
      <c r="VWY41" s="528"/>
      <c r="VWZ41" s="528"/>
      <c r="VXA41" s="528"/>
      <c r="VXB41" s="528"/>
      <c r="VXC41" s="528"/>
      <c r="VXD41" s="528"/>
      <c r="VXE41" s="528"/>
      <c r="VXF41" s="528"/>
      <c r="VXG41" s="528"/>
      <c r="VXH41" s="528"/>
      <c r="VXI41" s="528"/>
      <c r="VXJ41" s="528"/>
      <c r="VXK41" s="528"/>
      <c r="VXL41" s="528"/>
      <c r="VXM41" s="528"/>
      <c r="VXN41" s="528"/>
      <c r="VXO41" s="528"/>
      <c r="VXP41" s="528"/>
      <c r="VXQ41" s="528"/>
      <c r="VXR41" s="528"/>
      <c r="VXS41" s="528"/>
      <c r="VXT41" s="528"/>
      <c r="VXU41" s="528"/>
      <c r="VXV41" s="528"/>
      <c r="VXW41" s="528"/>
      <c r="VXX41" s="528"/>
      <c r="VXY41" s="528"/>
      <c r="VXZ41" s="528"/>
      <c r="VYA41" s="528"/>
      <c r="VYB41" s="528"/>
      <c r="VYC41" s="528"/>
      <c r="VYD41" s="528"/>
      <c r="VYE41" s="528"/>
      <c r="VYF41" s="528"/>
      <c r="VYG41" s="528"/>
      <c r="VYH41" s="528"/>
      <c r="VYI41" s="528"/>
      <c r="VYJ41" s="528"/>
      <c r="VYK41" s="528"/>
      <c r="VYL41" s="528"/>
      <c r="VYM41" s="528"/>
      <c r="VYN41" s="528"/>
      <c r="VYO41" s="528"/>
      <c r="VYP41" s="528"/>
      <c r="VYQ41" s="528"/>
      <c r="VYR41" s="528"/>
      <c r="VYS41" s="528"/>
      <c r="VYT41" s="528"/>
      <c r="VYU41" s="528"/>
      <c r="VYV41" s="528"/>
      <c r="VYW41" s="528"/>
      <c r="VYX41" s="528"/>
      <c r="VYY41" s="528"/>
      <c r="VYZ41" s="528"/>
      <c r="VZA41" s="528"/>
      <c r="VZB41" s="528"/>
      <c r="VZC41" s="528"/>
      <c r="VZD41" s="528"/>
      <c r="VZE41" s="528"/>
      <c r="VZF41" s="528"/>
      <c r="VZG41" s="528"/>
      <c r="VZH41" s="528"/>
      <c r="VZI41" s="528"/>
      <c r="VZJ41" s="528"/>
      <c r="VZK41" s="528"/>
      <c r="VZL41" s="528"/>
      <c r="VZM41" s="528"/>
      <c r="VZN41" s="528"/>
      <c r="VZO41" s="528"/>
      <c r="VZP41" s="528"/>
      <c r="VZQ41" s="528"/>
      <c r="VZR41" s="528"/>
      <c r="VZS41" s="528"/>
      <c r="VZT41" s="528"/>
      <c r="VZU41" s="528"/>
      <c r="VZV41" s="528"/>
      <c r="VZW41" s="528"/>
      <c r="VZX41" s="528"/>
      <c r="VZY41" s="528"/>
      <c r="VZZ41" s="528"/>
      <c r="WAA41" s="528"/>
      <c r="WAB41" s="528"/>
      <c r="WAC41" s="528"/>
      <c r="WAD41" s="528"/>
      <c r="WAE41" s="528"/>
      <c r="WAF41" s="528"/>
      <c r="WAG41" s="528"/>
      <c r="WAH41" s="528"/>
      <c r="WAI41" s="528"/>
      <c r="WAJ41" s="528"/>
      <c r="WAK41" s="528"/>
      <c r="WAL41" s="528"/>
      <c r="WAM41" s="528"/>
      <c r="WAN41" s="528"/>
      <c r="WAO41" s="528"/>
      <c r="WAP41" s="528"/>
      <c r="WAQ41" s="528"/>
      <c r="WAR41" s="528"/>
      <c r="WAS41" s="528"/>
      <c r="WAT41" s="528"/>
      <c r="WAU41" s="528"/>
      <c r="WAV41" s="528"/>
      <c r="WAW41" s="528"/>
      <c r="WAX41" s="528"/>
      <c r="WAY41" s="528"/>
      <c r="WAZ41" s="528"/>
      <c r="WBA41" s="528"/>
      <c r="WBB41" s="528"/>
      <c r="WBC41" s="528"/>
      <c r="WBD41" s="528"/>
      <c r="WBE41" s="528"/>
      <c r="WBF41" s="528"/>
      <c r="WBG41" s="528"/>
      <c r="WBH41" s="528"/>
      <c r="WBI41" s="528"/>
      <c r="WBJ41" s="528"/>
      <c r="WBK41" s="528"/>
      <c r="WBL41" s="528"/>
      <c r="WBM41" s="528"/>
      <c r="WBN41" s="528"/>
      <c r="WBO41" s="528"/>
      <c r="WBP41" s="528"/>
      <c r="WBQ41" s="528"/>
      <c r="WBR41" s="528"/>
      <c r="WBS41" s="528"/>
      <c r="WBT41" s="528"/>
      <c r="WBU41" s="528"/>
      <c r="WBV41" s="528"/>
      <c r="WBW41" s="528"/>
      <c r="WBX41" s="528"/>
      <c r="WBY41" s="528"/>
      <c r="WBZ41" s="528"/>
      <c r="WCA41" s="528"/>
      <c r="WCB41" s="528"/>
      <c r="WCC41" s="528"/>
      <c r="WCD41" s="528"/>
      <c r="WCE41" s="528"/>
      <c r="WCF41" s="528"/>
      <c r="WCG41" s="528"/>
      <c r="WCH41" s="528"/>
      <c r="WCI41" s="528"/>
      <c r="WCJ41" s="528"/>
      <c r="WCK41" s="528"/>
      <c r="WCL41" s="528"/>
      <c r="WCM41" s="528"/>
      <c r="WCN41" s="528"/>
      <c r="WCO41" s="528"/>
      <c r="WCP41" s="528"/>
      <c r="WCQ41" s="528"/>
      <c r="WCR41" s="528"/>
      <c r="WCS41" s="528"/>
      <c r="WCT41" s="528"/>
      <c r="WCU41" s="528"/>
      <c r="WCV41" s="528"/>
      <c r="WCW41" s="528"/>
      <c r="WCX41" s="528"/>
      <c r="WCY41" s="528"/>
      <c r="WCZ41" s="528"/>
      <c r="WDA41" s="528"/>
      <c r="WDB41" s="528"/>
      <c r="WDC41" s="528"/>
      <c r="WDD41" s="528"/>
      <c r="WDE41" s="528"/>
      <c r="WDF41" s="528"/>
      <c r="WDG41" s="528"/>
      <c r="WDH41" s="528"/>
      <c r="WDI41" s="528"/>
      <c r="WDJ41" s="528"/>
      <c r="WDK41" s="528"/>
      <c r="WDL41" s="528"/>
      <c r="WDM41" s="528"/>
      <c r="WDN41" s="528"/>
      <c r="WDO41" s="528"/>
      <c r="WDP41" s="528"/>
      <c r="WDQ41" s="528"/>
      <c r="WDR41" s="528"/>
      <c r="WDS41" s="528"/>
      <c r="WDT41" s="528"/>
      <c r="WDU41" s="528"/>
      <c r="WDV41" s="528"/>
      <c r="WDW41" s="528"/>
      <c r="WDX41" s="528"/>
      <c r="WDY41" s="528"/>
      <c r="WDZ41" s="528"/>
      <c r="WEA41" s="528"/>
      <c r="WEB41" s="528"/>
      <c r="WEC41" s="528"/>
      <c r="WED41" s="528"/>
      <c r="WEE41" s="528"/>
      <c r="WEF41" s="528"/>
      <c r="WEG41" s="528"/>
      <c r="WEH41" s="528"/>
      <c r="WEI41" s="528"/>
      <c r="WEJ41" s="528"/>
      <c r="WEK41" s="528"/>
      <c r="WEL41" s="528"/>
      <c r="WEM41" s="528"/>
      <c r="WEN41" s="528"/>
      <c r="WEO41" s="528"/>
      <c r="WEP41" s="528"/>
      <c r="WEQ41" s="528"/>
      <c r="WER41" s="528"/>
      <c r="WES41" s="528"/>
      <c r="WET41" s="528"/>
      <c r="WEU41" s="528"/>
      <c r="WEV41" s="528"/>
      <c r="WEW41" s="528"/>
      <c r="WEX41" s="528"/>
      <c r="WEY41" s="528"/>
      <c r="WEZ41" s="528"/>
      <c r="WFA41" s="528"/>
      <c r="WFB41" s="528"/>
      <c r="WFC41" s="528"/>
      <c r="WFD41" s="528"/>
      <c r="WFE41" s="528"/>
      <c r="WFF41" s="528"/>
      <c r="WFG41" s="528"/>
      <c r="WFH41" s="528"/>
      <c r="WFI41" s="528"/>
      <c r="WFJ41" s="528"/>
      <c r="WFK41" s="528"/>
      <c r="WFL41" s="528"/>
      <c r="WFM41" s="528"/>
      <c r="WFN41" s="528"/>
      <c r="WFO41" s="528"/>
      <c r="WFP41" s="528"/>
      <c r="WFQ41" s="528"/>
      <c r="WFR41" s="528"/>
      <c r="WFS41" s="528"/>
      <c r="WFT41" s="528"/>
      <c r="WFU41" s="528"/>
      <c r="WFV41" s="528"/>
      <c r="WFW41" s="528"/>
      <c r="WFX41" s="528"/>
      <c r="WFY41" s="528"/>
      <c r="WFZ41" s="528"/>
      <c r="WGA41" s="528"/>
      <c r="WGB41" s="528"/>
      <c r="WGC41" s="528"/>
      <c r="WGD41" s="528"/>
      <c r="WGE41" s="528"/>
      <c r="WGF41" s="528"/>
      <c r="WGG41" s="528"/>
      <c r="WGH41" s="528"/>
      <c r="WGI41" s="528"/>
      <c r="WGJ41" s="528"/>
      <c r="WGK41" s="528"/>
      <c r="WGL41" s="528"/>
      <c r="WGM41" s="528"/>
      <c r="WGN41" s="528"/>
      <c r="WGO41" s="528"/>
      <c r="WGP41" s="528"/>
      <c r="WGQ41" s="528"/>
      <c r="WGR41" s="528"/>
      <c r="WGS41" s="528"/>
      <c r="WGT41" s="528"/>
      <c r="WGU41" s="528"/>
      <c r="WGV41" s="528"/>
      <c r="WGW41" s="528"/>
      <c r="WGX41" s="528"/>
      <c r="WGY41" s="528"/>
      <c r="WGZ41" s="528"/>
      <c r="WHA41" s="528"/>
      <c r="WHB41" s="528"/>
      <c r="WHC41" s="528"/>
      <c r="WHD41" s="528"/>
      <c r="WHE41" s="528"/>
      <c r="WHF41" s="528"/>
      <c r="WHG41" s="528"/>
      <c r="WHH41" s="528"/>
      <c r="WHI41" s="528"/>
      <c r="WHJ41" s="528"/>
      <c r="WHK41" s="528"/>
      <c r="WHL41" s="528"/>
      <c r="WHM41" s="528"/>
      <c r="WHN41" s="528"/>
      <c r="WHO41" s="528"/>
      <c r="WHP41" s="528"/>
      <c r="WHQ41" s="528"/>
      <c r="WHR41" s="528"/>
      <c r="WHS41" s="528"/>
      <c r="WHT41" s="528"/>
      <c r="WHU41" s="528"/>
      <c r="WHV41" s="528"/>
      <c r="WHW41" s="528"/>
      <c r="WHX41" s="528"/>
      <c r="WHY41" s="528"/>
      <c r="WHZ41" s="528"/>
      <c r="WIA41" s="528"/>
      <c r="WIB41" s="528"/>
      <c r="WIC41" s="528"/>
      <c r="WID41" s="528"/>
      <c r="WIE41" s="528"/>
      <c r="WIF41" s="528"/>
      <c r="WIG41" s="528"/>
      <c r="WIH41" s="528"/>
      <c r="WII41" s="528"/>
      <c r="WIJ41" s="528"/>
      <c r="WIK41" s="528"/>
      <c r="WIL41" s="528"/>
      <c r="WIM41" s="528"/>
      <c r="WIN41" s="528"/>
      <c r="WIO41" s="528"/>
      <c r="WIP41" s="528"/>
      <c r="WIQ41" s="528"/>
      <c r="WIR41" s="528"/>
      <c r="WIS41" s="528"/>
      <c r="WIT41" s="528"/>
      <c r="WIU41" s="528"/>
      <c r="WIV41" s="528"/>
      <c r="WIW41" s="528"/>
      <c r="WIX41" s="528"/>
      <c r="WIY41" s="528"/>
      <c r="WIZ41" s="528"/>
      <c r="WJA41" s="528"/>
      <c r="WJB41" s="528"/>
      <c r="WJC41" s="528"/>
      <c r="WJD41" s="528"/>
      <c r="WJE41" s="528"/>
      <c r="WJF41" s="528"/>
      <c r="WJG41" s="528"/>
      <c r="WJH41" s="528"/>
      <c r="WJI41" s="528"/>
      <c r="WJJ41" s="528"/>
      <c r="WJK41" s="528"/>
      <c r="WJL41" s="528"/>
      <c r="WJM41" s="528"/>
      <c r="WJN41" s="528"/>
      <c r="WJO41" s="528"/>
      <c r="WJP41" s="528"/>
      <c r="WJQ41" s="528"/>
      <c r="WJR41" s="528"/>
      <c r="WJS41" s="528"/>
      <c r="WJT41" s="528"/>
      <c r="WJU41" s="528"/>
      <c r="WJV41" s="528"/>
      <c r="WJW41" s="528"/>
      <c r="WJX41" s="528"/>
      <c r="WJY41" s="528"/>
      <c r="WJZ41" s="528"/>
      <c r="WKA41" s="528"/>
      <c r="WKB41" s="528"/>
      <c r="WKC41" s="528"/>
      <c r="WKD41" s="528"/>
      <c r="WKE41" s="528"/>
      <c r="WKF41" s="528"/>
      <c r="WKG41" s="528"/>
      <c r="WKH41" s="528"/>
      <c r="WKI41" s="528"/>
      <c r="WKJ41" s="528"/>
      <c r="WKK41" s="528"/>
      <c r="WKL41" s="528"/>
      <c r="WKM41" s="528"/>
      <c r="WKN41" s="528"/>
      <c r="WKO41" s="528"/>
      <c r="WKP41" s="528"/>
      <c r="WKQ41" s="528"/>
      <c r="WKR41" s="528"/>
      <c r="WKS41" s="528"/>
      <c r="WKT41" s="528"/>
      <c r="WKU41" s="528"/>
      <c r="WKV41" s="528"/>
      <c r="WKW41" s="528"/>
      <c r="WKX41" s="528"/>
      <c r="WKY41" s="528"/>
      <c r="WKZ41" s="528"/>
      <c r="WLA41" s="528"/>
      <c r="WLB41" s="528"/>
      <c r="WLC41" s="528"/>
      <c r="WLD41" s="528"/>
      <c r="WLE41" s="528"/>
      <c r="WLF41" s="528"/>
      <c r="WLG41" s="528"/>
      <c r="WLH41" s="528"/>
      <c r="WLI41" s="528"/>
      <c r="WLJ41" s="528"/>
      <c r="WLK41" s="528"/>
      <c r="WLL41" s="528"/>
      <c r="WLM41" s="528"/>
      <c r="WLN41" s="528"/>
      <c r="WLO41" s="528"/>
      <c r="WLP41" s="528"/>
      <c r="WLQ41" s="528"/>
      <c r="WLR41" s="528"/>
      <c r="WLS41" s="528"/>
      <c r="WLT41" s="528"/>
      <c r="WLU41" s="528"/>
      <c r="WLV41" s="528"/>
      <c r="WLW41" s="528"/>
      <c r="WLX41" s="528"/>
      <c r="WLY41" s="528"/>
      <c r="WLZ41" s="528"/>
      <c r="WMA41" s="528"/>
      <c r="WMB41" s="528"/>
      <c r="WMC41" s="528"/>
      <c r="WMD41" s="528"/>
      <c r="WME41" s="528"/>
      <c r="WMF41" s="528"/>
      <c r="WMG41" s="528"/>
      <c r="WMH41" s="528"/>
      <c r="WMI41" s="528"/>
      <c r="WMJ41" s="528"/>
      <c r="WMK41" s="528"/>
      <c r="WML41" s="528"/>
      <c r="WMM41" s="528"/>
      <c r="WMN41" s="528"/>
      <c r="WMO41" s="528"/>
      <c r="WMP41" s="528"/>
      <c r="WMQ41" s="528"/>
      <c r="WMR41" s="528"/>
      <c r="WMS41" s="528"/>
      <c r="WMT41" s="528"/>
      <c r="WMU41" s="528"/>
      <c r="WMV41" s="528"/>
      <c r="WMW41" s="528"/>
      <c r="WMX41" s="528"/>
      <c r="WMY41" s="528"/>
      <c r="WMZ41" s="528"/>
      <c r="WNA41" s="528"/>
      <c r="WNB41" s="528"/>
      <c r="WNC41" s="528"/>
      <c r="WND41" s="528"/>
      <c r="WNE41" s="528"/>
      <c r="WNF41" s="528"/>
      <c r="WNG41" s="528"/>
      <c r="WNH41" s="528"/>
      <c r="WNI41" s="528"/>
      <c r="WNJ41" s="528"/>
      <c r="WNK41" s="528"/>
      <c r="WNL41" s="528"/>
      <c r="WNM41" s="528"/>
      <c r="WNN41" s="528"/>
      <c r="WNO41" s="528"/>
      <c r="WNP41" s="528"/>
      <c r="WNQ41" s="528"/>
      <c r="WNR41" s="528"/>
      <c r="WNS41" s="528"/>
      <c r="WNT41" s="528"/>
      <c r="WNU41" s="528"/>
      <c r="WNV41" s="528"/>
      <c r="WNW41" s="528"/>
      <c r="WNX41" s="528"/>
      <c r="WNY41" s="528"/>
      <c r="WNZ41" s="528"/>
      <c r="WOA41" s="528"/>
      <c r="WOB41" s="528"/>
      <c r="WOC41" s="528"/>
      <c r="WOD41" s="528"/>
      <c r="WOE41" s="528"/>
      <c r="WOF41" s="528"/>
      <c r="WOG41" s="528"/>
      <c r="WOH41" s="528"/>
      <c r="WOI41" s="528"/>
      <c r="WOJ41" s="528"/>
      <c r="WOK41" s="528"/>
      <c r="WOL41" s="528"/>
      <c r="WOM41" s="528"/>
      <c r="WON41" s="528"/>
      <c r="WOO41" s="528"/>
      <c r="WOP41" s="528"/>
      <c r="WOQ41" s="528"/>
      <c r="WOR41" s="528"/>
      <c r="WOS41" s="528"/>
      <c r="WOT41" s="528"/>
      <c r="WOU41" s="528"/>
      <c r="WOV41" s="528"/>
      <c r="WOW41" s="528"/>
      <c r="WOX41" s="528"/>
      <c r="WOY41" s="528"/>
      <c r="WOZ41" s="528"/>
      <c r="WPA41" s="528"/>
      <c r="WPB41" s="528"/>
      <c r="WPC41" s="528"/>
      <c r="WPD41" s="528"/>
      <c r="WPE41" s="528"/>
      <c r="WPF41" s="528"/>
      <c r="WPG41" s="528"/>
      <c r="WPH41" s="528"/>
      <c r="WPI41" s="528"/>
      <c r="WPJ41" s="528"/>
      <c r="WPK41" s="528"/>
      <c r="WPL41" s="528"/>
      <c r="WPM41" s="528"/>
      <c r="WPN41" s="528"/>
      <c r="WPO41" s="528"/>
      <c r="WPP41" s="528"/>
      <c r="WPQ41" s="528"/>
      <c r="WPR41" s="528"/>
      <c r="WPS41" s="528"/>
      <c r="WPT41" s="528"/>
      <c r="WPU41" s="528"/>
      <c r="WPV41" s="528"/>
      <c r="WPW41" s="528"/>
      <c r="WPX41" s="528"/>
      <c r="WPY41" s="528"/>
      <c r="WPZ41" s="528"/>
      <c r="WQA41" s="528"/>
      <c r="WQB41" s="528"/>
      <c r="WQC41" s="528"/>
      <c r="WQD41" s="528"/>
      <c r="WQE41" s="528"/>
      <c r="WQF41" s="528"/>
      <c r="WQG41" s="528"/>
      <c r="WQH41" s="528"/>
      <c r="WQI41" s="528"/>
      <c r="WQJ41" s="528"/>
      <c r="WQK41" s="528"/>
      <c r="WQL41" s="528"/>
      <c r="WQM41" s="528"/>
      <c r="WQN41" s="528"/>
      <c r="WQO41" s="528"/>
      <c r="WQP41" s="528"/>
      <c r="WQQ41" s="528"/>
      <c r="WQR41" s="528"/>
      <c r="WQS41" s="528"/>
      <c r="WQT41" s="528"/>
      <c r="WQU41" s="528"/>
      <c r="WQV41" s="528"/>
      <c r="WQW41" s="528"/>
      <c r="WQX41" s="528"/>
      <c r="WQY41" s="528"/>
      <c r="WQZ41" s="528"/>
      <c r="WRA41" s="528"/>
      <c r="WRB41" s="528"/>
      <c r="WRC41" s="528"/>
      <c r="WRD41" s="528"/>
      <c r="WRE41" s="528"/>
      <c r="WRF41" s="528"/>
      <c r="WRG41" s="528"/>
      <c r="WRH41" s="528"/>
      <c r="WRI41" s="528"/>
      <c r="WRJ41" s="528"/>
      <c r="WRK41" s="528"/>
      <c r="WRL41" s="528"/>
      <c r="WRM41" s="528"/>
      <c r="WRN41" s="528"/>
      <c r="WRO41" s="528"/>
      <c r="WRP41" s="528"/>
      <c r="WRQ41" s="528"/>
      <c r="WRR41" s="528"/>
      <c r="WRS41" s="528"/>
      <c r="WRT41" s="528"/>
      <c r="WRU41" s="528"/>
      <c r="WRV41" s="528"/>
      <c r="WRW41" s="528"/>
      <c r="WRX41" s="528"/>
      <c r="WRY41" s="528"/>
      <c r="WRZ41" s="528"/>
      <c r="WSA41" s="528"/>
      <c r="WSB41" s="528"/>
      <c r="WSC41" s="528"/>
      <c r="WSD41" s="528"/>
      <c r="WSE41" s="528"/>
      <c r="WSF41" s="528"/>
      <c r="WSG41" s="528"/>
      <c r="WSH41" s="528"/>
      <c r="WSI41" s="528"/>
      <c r="WSJ41" s="528"/>
      <c r="WSK41" s="528"/>
      <c r="WSL41" s="528"/>
      <c r="WSM41" s="528"/>
      <c r="WSN41" s="528"/>
      <c r="WSO41" s="528"/>
      <c r="WSP41" s="528"/>
      <c r="WSQ41" s="528"/>
      <c r="WSR41" s="528"/>
      <c r="WSS41" s="528"/>
      <c r="WST41" s="528"/>
      <c r="WSU41" s="528"/>
      <c r="WSV41" s="528"/>
      <c r="WSW41" s="528"/>
      <c r="WSX41" s="528"/>
      <c r="WSY41" s="528"/>
      <c r="WSZ41" s="528"/>
      <c r="WTA41" s="528"/>
      <c r="WTB41" s="528"/>
      <c r="WTC41" s="528"/>
      <c r="WTD41" s="528"/>
      <c r="WTE41" s="528"/>
      <c r="WTF41" s="528"/>
      <c r="WTG41" s="528"/>
      <c r="WTH41" s="528"/>
      <c r="WTI41" s="528"/>
      <c r="WTJ41" s="528"/>
      <c r="WTK41" s="528"/>
      <c r="WTL41" s="528"/>
      <c r="WTM41" s="528"/>
      <c r="WTN41" s="528"/>
      <c r="WTO41" s="528"/>
      <c r="WTP41" s="528"/>
      <c r="WTQ41" s="528"/>
      <c r="WTR41" s="528"/>
      <c r="WTS41" s="528"/>
      <c r="WTT41" s="528"/>
      <c r="WTU41" s="528"/>
      <c r="WTV41" s="528"/>
      <c r="WTW41" s="528"/>
      <c r="WTX41" s="528"/>
      <c r="WTY41" s="528"/>
      <c r="WTZ41" s="528"/>
      <c r="WUA41" s="528"/>
      <c r="WUB41" s="528"/>
      <c r="WUC41" s="528"/>
      <c r="WUD41" s="528"/>
      <c r="WUE41" s="528"/>
      <c r="WUF41" s="528"/>
      <c r="WUG41" s="528"/>
      <c r="WUH41" s="528"/>
      <c r="WUI41" s="528"/>
      <c r="WUJ41" s="528"/>
      <c r="WUK41" s="528"/>
      <c r="WUL41" s="528"/>
      <c r="WUM41" s="528"/>
      <c r="WUN41" s="528"/>
      <c r="WUO41" s="528"/>
      <c r="WUP41" s="528"/>
      <c r="WUQ41" s="528"/>
      <c r="WUR41" s="528"/>
      <c r="WUS41" s="528"/>
      <c r="WUT41" s="528"/>
      <c r="WUU41" s="528"/>
      <c r="WUV41" s="528"/>
      <c r="WUW41" s="528"/>
      <c r="WUX41" s="528"/>
      <c r="WUY41" s="528"/>
      <c r="WUZ41" s="528"/>
      <c r="WVA41" s="528"/>
      <c r="WVB41" s="528"/>
      <c r="WVC41" s="528"/>
      <c r="WVD41" s="528"/>
      <c r="WVE41" s="528"/>
      <c r="WVF41" s="528"/>
      <c r="WVG41" s="528"/>
      <c r="WVH41" s="528"/>
      <c r="WVI41" s="528"/>
      <c r="WVJ41" s="528"/>
      <c r="WVK41" s="528"/>
      <c r="WVL41" s="528"/>
      <c r="WVM41" s="528"/>
      <c r="WVN41" s="528"/>
      <c r="WVO41" s="528"/>
      <c r="WVP41" s="528"/>
      <c r="WVQ41" s="528"/>
      <c r="WVR41" s="528"/>
      <c r="WVS41" s="528"/>
      <c r="WVT41" s="528"/>
      <c r="WVU41" s="528"/>
      <c r="WVV41" s="528"/>
      <c r="WVW41" s="528"/>
      <c r="WVX41" s="528"/>
      <c r="WVY41" s="528"/>
      <c r="WVZ41" s="528"/>
      <c r="WWA41" s="528"/>
      <c r="WWB41" s="528"/>
      <c r="WWC41" s="528"/>
      <c r="WWD41" s="528"/>
      <c r="WWE41" s="528"/>
      <c r="WWF41" s="528"/>
      <c r="WWG41" s="528"/>
      <c r="WWH41" s="528"/>
      <c r="WWI41" s="528"/>
      <c r="WWJ41" s="528"/>
      <c r="WWK41" s="528"/>
      <c r="WWL41" s="528"/>
      <c r="WWM41" s="528"/>
      <c r="WWN41" s="528"/>
      <c r="WWO41" s="528"/>
      <c r="WWP41" s="528"/>
      <c r="WWQ41" s="528"/>
      <c r="WWR41" s="528"/>
      <c r="WWS41" s="528"/>
      <c r="WWT41" s="528"/>
      <c r="WWU41" s="528"/>
      <c r="WWV41" s="528"/>
      <c r="WWW41" s="528"/>
      <c r="WWX41" s="528"/>
      <c r="WWY41" s="528"/>
      <c r="WWZ41" s="528"/>
      <c r="WXA41" s="528"/>
      <c r="WXB41" s="528"/>
      <c r="WXC41" s="528"/>
      <c r="WXD41" s="528"/>
      <c r="WXE41" s="528"/>
      <c r="WXF41" s="528"/>
      <c r="WXG41" s="528"/>
      <c r="WXH41" s="528"/>
      <c r="WXI41" s="528"/>
      <c r="WXJ41" s="528"/>
      <c r="WXK41" s="528"/>
      <c r="WXL41" s="528"/>
      <c r="WXM41" s="528"/>
      <c r="WXN41" s="528"/>
      <c r="WXO41" s="528"/>
      <c r="WXP41" s="528"/>
      <c r="WXQ41" s="528"/>
      <c r="WXR41" s="528"/>
      <c r="WXS41" s="528"/>
      <c r="WXT41" s="528"/>
      <c r="WXU41" s="528"/>
      <c r="WXV41" s="528"/>
      <c r="WXW41" s="528"/>
      <c r="WXX41" s="528"/>
      <c r="WXY41" s="528"/>
      <c r="WXZ41" s="528"/>
      <c r="WYA41" s="528"/>
      <c r="WYB41" s="528"/>
      <c r="WYC41" s="528"/>
      <c r="WYD41" s="528"/>
      <c r="WYE41" s="528"/>
      <c r="WYF41" s="528"/>
      <c r="WYG41" s="528"/>
      <c r="WYH41" s="528"/>
      <c r="WYI41" s="528"/>
      <c r="WYJ41" s="528"/>
      <c r="WYK41" s="528"/>
      <c r="WYL41" s="528"/>
      <c r="WYM41" s="528"/>
      <c r="WYN41" s="528"/>
      <c r="WYO41" s="528"/>
      <c r="WYP41" s="528"/>
      <c r="WYQ41" s="528"/>
      <c r="WYR41" s="528"/>
      <c r="WYS41" s="528"/>
      <c r="WYT41" s="528"/>
      <c r="WYU41" s="528"/>
      <c r="WYV41" s="528"/>
      <c r="WYW41" s="528"/>
      <c r="WYX41" s="528"/>
      <c r="WYY41" s="528"/>
      <c r="WYZ41" s="528"/>
      <c r="WZA41" s="528"/>
      <c r="WZB41" s="528"/>
      <c r="WZC41" s="528"/>
      <c r="WZD41" s="528"/>
      <c r="WZE41" s="528"/>
      <c r="WZF41" s="528"/>
      <c r="WZG41" s="528"/>
      <c r="WZH41" s="528"/>
      <c r="WZI41" s="528"/>
      <c r="WZJ41" s="528"/>
      <c r="WZK41" s="528"/>
      <c r="WZL41" s="528"/>
      <c r="WZM41" s="528"/>
      <c r="WZN41" s="528"/>
      <c r="WZO41" s="528"/>
      <c r="WZP41" s="528"/>
      <c r="WZQ41" s="528"/>
      <c r="WZR41" s="528"/>
      <c r="WZS41" s="528"/>
      <c r="WZT41" s="528"/>
      <c r="WZU41" s="528"/>
      <c r="WZV41" s="528"/>
      <c r="WZW41" s="528"/>
      <c r="WZX41" s="528"/>
      <c r="WZY41" s="528"/>
      <c r="WZZ41" s="528"/>
      <c r="XAA41" s="528"/>
      <c r="XAB41" s="528"/>
      <c r="XAC41" s="528"/>
      <c r="XAD41" s="528"/>
      <c r="XAE41" s="528"/>
      <c r="XAF41" s="528"/>
      <c r="XAG41" s="528"/>
      <c r="XAH41" s="528"/>
      <c r="XAI41" s="528"/>
      <c r="XAJ41" s="528"/>
      <c r="XAK41" s="528"/>
      <c r="XAL41" s="528"/>
      <c r="XAM41" s="528"/>
      <c r="XAN41" s="528"/>
      <c r="XAO41" s="528"/>
      <c r="XAP41" s="528"/>
      <c r="XAQ41" s="528"/>
      <c r="XAR41" s="528"/>
      <c r="XAS41" s="528"/>
      <c r="XAT41" s="528"/>
      <c r="XAU41" s="528"/>
      <c r="XAV41" s="528"/>
      <c r="XAW41" s="528"/>
      <c r="XAX41" s="528"/>
      <c r="XAY41" s="528"/>
      <c r="XAZ41" s="528"/>
      <c r="XBA41" s="528"/>
      <c r="XBB41" s="528"/>
      <c r="XBC41" s="528"/>
      <c r="XBD41" s="528"/>
      <c r="XBE41" s="528"/>
      <c r="XBF41" s="528"/>
      <c r="XBG41" s="528"/>
      <c r="XBH41" s="528"/>
      <c r="XBI41" s="528"/>
      <c r="XBJ41" s="528"/>
      <c r="XBK41" s="528"/>
      <c r="XBL41" s="528"/>
      <c r="XBM41" s="528"/>
      <c r="XBN41" s="528"/>
      <c r="XBO41" s="528"/>
      <c r="XBP41" s="528"/>
      <c r="XBQ41" s="528"/>
      <c r="XBR41" s="528"/>
      <c r="XBS41" s="528"/>
      <c r="XBT41" s="528"/>
      <c r="XBU41" s="528"/>
      <c r="XBV41" s="528"/>
      <c r="XBW41" s="528"/>
      <c r="XBX41" s="528"/>
      <c r="XBY41" s="528"/>
      <c r="XBZ41" s="528"/>
      <c r="XCA41" s="528"/>
      <c r="XCB41" s="528"/>
      <c r="XCC41" s="528"/>
      <c r="XCD41" s="528"/>
      <c r="XCE41" s="528"/>
      <c r="XCF41" s="528"/>
      <c r="XCG41" s="528"/>
      <c r="XCH41" s="528"/>
      <c r="XCI41" s="528"/>
      <c r="XCJ41" s="528"/>
      <c r="XCK41" s="528"/>
      <c r="XCL41" s="528"/>
      <c r="XCM41" s="528"/>
      <c r="XCN41" s="528"/>
      <c r="XCO41" s="528"/>
      <c r="XCP41" s="528"/>
      <c r="XCQ41" s="528"/>
      <c r="XCR41" s="528"/>
      <c r="XCS41" s="528"/>
      <c r="XCT41" s="528"/>
      <c r="XCU41" s="528"/>
      <c r="XCV41" s="528"/>
      <c r="XCW41" s="528"/>
      <c r="XCX41" s="528"/>
      <c r="XCY41" s="528"/>
      <c r="XCZ41" s="528"/>
      <c r="XDA41" s="528"/>
      <c r="XDB41" s="528"/>
      <c r="XDC41" s="528"/>
      <c r="XDD41" s="528"/>
      <c r="XDE41" s="528"/>
      <c r="XDF41" s="528"/>
      <c r="XDG41" s="528"/>
      <c r="XDH41" s="528"/>
      <c r="XDI41" s="528"/>
      <c r="XDJ41" s="528"/>
      <c r="XDK41" s="528"/>
      <c r="XDL41" s="528"/>
      <c r="XDM41" s="528"/>
      <c r="XDN41" s="528"/>
      <c r="XDO41" s="528"/>
      <c r="XDP41" s="528"/>
      <c r="XDQ41" s="528"/>
      <c r="XDR41" s="528"/>
      <c r="XDS41" s="528"/>
      <c r="XDT41" s="528"/>
      <c r="XDU41" s="528"/>
      <c r="XDV41" s="528"/>
      <c r="XDW41" s="528"/>
      <c r="XDX41" s="528"/>
      <c r="XDY41" s="528"/>
      <c r="XDZ41" s="528"/>
      <c r="XEA41" s="528"/>
      <c r="XEB41" s="528"/>
      <c r="XEC41" s="528"/>
      <c r="XED41" s="528"/>
      <c r="XEE41" s="528"/>
      <c r="XEF41" s="528"/>
      <c r="XEG41" s="528"/>
      <c r="XEH41" s="528"/>
      <c r="XEI41" s="528"/>
      <c r="XEJ41" s="528"/>
      <c r="XEK41" s="528"/>
      <c r="XEL41" s="528"/>
      <c r="XEM41" s="528"/>
      <c r="XEN41" s="528"/>
      <c r="XEO41" s="528"/>
      <c r="XEP41" s="528"/>
      <c r="XEQ41" s="528"/>
      <c r="XER41" s="528"/>
      <c r="XES41" s="528"/>
      <c r="XET41" s="528"/>
      <c r="XEU41" s="528"/>
      <c r="XEV41" s="528"/>
      <c r="XEW41" s="528"/>
      <c r="XEX41" s="528"/>
      <c r="XEY41" s="528"/>
      <c r="XEZ41" s="528"/>
      <c r="XFA41" s="528"/>
      <c r="XFB41" s="528"/>
      <c r="XFC41" s="528"/>
      <c r="XFD41" s="528"/>
    </row>
    <row r="43" spans="1:16384" ht="15" customHeight="1">
      <c r="A43" s="275" t="s">
        <v>150</v>
      </c>
      <c r="B43" s="276" t="s">
        <v>151</v>
      </c>
      <c r="C43" s="277" t="s">
        <v>159</v>
      </c>
      <c r="D43" s="261"/>
      <c r="E43" s="261"/>
    </row>
    <row r="44" spans="1:16384" ht="15" customHeight="1">
      <c r="A44" s="278"/>
      <c r="B44" s="276" t="s">
        <v>152</v>
      </c>
      <c r="C44" s="277" t="s">
        <v>158</v>
      </c>
      <c r="D44" s="261"/>
      <c r="E44" s="261"/>
    </row>
    <row r="45" spans="1:16384" ht="15" customHeight="1">
      <c r="A45" s="278"/>
      <c r="B45" s="279" t="s">
        <v>153</v>
      </c>
      <c r="C45" s="277" t="s">
        <v>154</v>
      </c>
      <c r="D45" s="261"/>
      <c r="E45" s="261"/>
    </row>
  </sheetData>
  <mergeCells count="210">
    <mergeCell ref="KK7:KL7"/>
    <mergeCell ref="KN7:KO7"/>
    <mergeCell ref="KQ7:KR7"/>
    <mergeCell ref="JJ7:JK7"/>
    <mergeCell ref="JM7:JN7"/>
    <mergeCell ref="JP7:JQ7"/>
    <mergeCell ref="JS7:JT7"/>
    <mergeCell ref="JV7:JW7"/>
    <mergeCell ref="JY7:JZ7"/>
    <mergeCell ref="KB7:KC7"/>
    <mergeCell ref="KE7:KF7"/>
    <mergeCell ref="KH7:KI7"/>
    <mergeCell ref="II7:IJ7"/>
    <mergeCell ref="IL7:IM7"/>
    <mergeCell ref="IO7:IP7"/>
    <mergeCell ref="IR7:IS7"/>
    <mergeCell ref="IU7:IV7"/>
    <mergeCell ref="IX7:IY7"/>
    <mergeCell ref="JA7:JB7"/>
    <mergeCell ref="JD7:JE7"/>
    <mergeCell ref="JG7:JH7"/>
    <mergeCell ref="HH7:HI7"/>
    <mergeCell ref="HK7:HL7"/>
    <mergeCell ref="HN7:HO7"/>
    <mergeCell ref="HQ7:HR7"/>
    <mergeCell ref="HT7:HU7"/>
    <mergeCell ref="HW7:HX7"/>
    <mergeCell ref="HZ7:IA7"/>
    <mergeCell ref="IC7:ID7"/>
    <mergeCell ref="IF7:IG7"/>
    <mergeCell ref="GG7:GH7"/>
    <mergeCell ref="GJ7:GK7"/>
    <mergeCell ref="GM7:GN7"/>
    <mergeCell ref="GP7:GQ7"/>
    <mergeCell ref="GS7:GT7"/>
    <mergeCell ref="GV7:GW7"/>
    <mergeCell ref="GY7:GZ7"/>
    <mergeCell ref="HB7:HC7"/>
    <mergeCell ref="HE7:HF7"/>
    <mergeCell ref="FF7:FG7"/>
    <mergeCell ref="FI7:FJ7"/>
    <mergeCell ref="FL7:FM7"/>
    <mergeCell ref="FO7:FP7"/>
    <mergeCell ref="FR7:FS7"/>
    <mergeCell ref="FU7:FV7"/>
    <mergeCell ref="FX7:FY7"/>
    <mergeCell ref="GA7:GB7"/>
    <mergeCell ref="GD7:GE7"/>
    <mergeCell ref="EE7:EF7"/>
    <mergeCell ref="EH7:EI7"/>
    <mergeCell ref="EK7:EL7"/>
    <mergeCell ref="EN7:EO7"/>
    <mergeCell ref="EQ7:ER7"/>
    <mergeCell ref="ET7:EU7"/>
    <mergeCell ref="EW7:EX7"/>
    <mergeCell ref="EZ7:FA7"/>
    <mergeCell ref="FC7:FD7"/>
    <mergeCell ref="DD7:DE7"/>
    <mergeCell ref="DG7:DH7"/>
    <mergeCell ref="DJ7:DK7"/>
    <mergeCell ref="DM7:DN7"/>
    <mergeCell ref="DP7:DQ7"/>
    <mergeCell ref="DS7:DT7"/>
    <mergeCell ref="DV7:DW7"/>
    <mergeCell ref="DY7:DZ7"/>
    <mergeCell ref="EB7:EC7"/>
    <mergeCell ref="CC7:CD7"/>
    <mergeCell ref="CF7:CG7"/>
    <mergeCell ref="CI7:CJ7"/>
    <mergeCell ref="CL7:CM7"/>
    <mergeCell ref="CO7:CP7"/>
    <mergeCell ref="CR7:CS7"/>
    <mergeCell ref="CU7:CV7"/>
    <mergeCell ref="CX7:CY7"/>
    <mergeCell ref="DA7:DB7"/>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JP6:JR6"/>
    <mergeCell ref="JS6:JU6"/>
    <mergeCell ref="JV6:JX6"/>
    <mergeCell ref="JY6:KA6"/>
    <mergeCell ref="KB6:KD6"/>
    <mergeCell ref="KE6:KG6"/>
    <mergeCell ref="KH6:KJ6"/>
    <mergeCell ref="KK6:KM6"/>
    <mergeCell ref="KN6:KP6"/>
    <mergeCell ref="IO6:IQ6"/>
    <mergeCell ref="IR6:IT6"/>
    <mergeCell ref="IU6:IW6"/>
    <mergeCell ref="IX6:IZ6"/>
    <mergeCell ref="JA6:JC6"/>
    <mergeCell ref="JD6:JF6"/>
    <mergeCell ref="JG6:JI6"/>
    <mergeCell ref="JJ6:JL6"/>
    <mergeCell ref="JM6:JO6"/>
    <mergeCell ref="HN6:HP6"/>
    <mergeCell ref="HQ6:HS6"/>
    <mergeCell ref="HT6:HV6"/>
    <mergeCell ref="HW6:HY6"/>
    <mergeCell ref="HZ6:IB6"/>
    <mergeCell ref="IC6:IE6"/>
    <mergeCell ref="IF6:IH6"/>
    <mergeCell ref="II6:IK6"/>
    <mergeCell ref="IL6:IN6"/>
    <mergeCell ref="GM6:GO6"/>
    <mergeCell ref="GP6:GR6"/>
    <mergeCell ref="GS6:GU6"/>
    <mergeCell ref="GV6:GX6"/>
    <mergeCell ref="GY6:HA6"/>
    <mergeCell ref="HB6:HD6"/>
    <mergeCell ref="HE6:HG6"/>
    <mergeCell ref="HH6:HJ6"/>
    <mergeCell ref="HK6:HM6"/>
    <mergeCell ref="FL6:FN6"/>
    <mergeCell ref="FO6:FQ6"/>
    <mergeCell ref="FR6:FT6"/>
    <mergeCell ref="FU6:FW6"/>
    <mergeCell ref="FX6:FZ6"/>
    <mergeCell ref="GA6:GC6"/>
    <mergeCell ref="GD6:GF6"/>
    <mergeCell ref="GG6:GI6"/>
    <mergeCell ref="GJ6:GL6"/>
    <mergeCell ref="EK6:EM6"/>
    <mergeCell ref="EN6:EP6"/>
    <mergeCell ref="EQ6:ES6"/>
    <mergeCell ref="ET6:EV6"/>
    <mergeCell ref="EW6:EY6"/>
    <mergeCell ref="EZ6:FB6"/>
    <mergeCell ref="FC6:FE6"/>
    <mergeCell ref="FF6:FH6"/>
    <mergeCell ref="FI6:FK6"/>
    <mergeCell ref="DJ6:DL6"/>
    <mergeCell ref="DM6:DO6"/>
    <mergeCell ref="DP6:DR6"/>
    <mergeCell ref="DS6:DU6"/>
    <mergeCell ref="DV6:DX6"/>
    <mergeCell ref="DY6:EA6"/>
    <mergeCell ref="EB6:ED6"/>
    <mergeCell ref="EE6:EG6"/>
    <mergeCell ref="EH6:EJ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DQ10" activePane="bottomRight" state="frozen"/>
      <selection pane="topRight"/>
      <selection pane="bottomLeft"/>
      <selection pane="bottomRight" activeCell="EU31" sqref="EU31"/>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bestFit="1" customWidth="1"/>
    <col min="88" max="88" width="7" bestFit="1" customWidth="1"/>
    <col min="89" max="89" width="11.5703125" bestFit="1" customWidth="1"/>
    <col min="90" max="90" width="7" bestFit="1" customWidth="1"/>
    <col min="91" max="91" width="12.7109375" hidden="1" customWidth="1"/>
    <col min="92" max="92" width="7.28515625" hidden="1" customWidth="1"/>
    <col min="93" max="93" width="12.140625" hidden="1" customWidth="1"/>
    <col min="94" max="94" width="6"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hidden="1" customWidth="1"/>
    <col min="144" max="144" width="9.28515625" hidden="1" customWidth="1"/>
    <col min="145" max="145" width="14.42578125" hidden="1" customWidth="1"/>
    <col min="146" max="146" width="10" hidden="1"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12.28515625" customWidth="1"/>
    <col min="158" max="158" width="15.42578125" bestFit="1" customWidth="1"/>
    <col min="159" max="159" width="10.42578125" bestFit="1" customWidth="1"/>
    <col min="162" max="162" width="10.42578125" bestFit="1" customWidth="1"/>
  </cols>
  <sheetData>
    <row r="1" spans="1:157" ht="15.75">
      <c r="A1" s="149"/>
      <c r="DB1" s="3"/>
      <c r="DG1" s="253"/>
      <c r="DV1" t="s">
        <v>1</v>
      </c>
    </row>
    <row r="2" spans="1:157" ht="15.75">
      <c r="A2" s="149"/>
      <c r="DG2" s="253"/>
    </row>
    <row r="3" spans="1:157" ht="15">
      <c r="A3" s="151"/>
      <c r="DG3" s="253"/>
    </row>
    <row r="4" spans="1:157" ht="15.75">
      <c r="A4" s="152" t="s">
        <v>387</v>
      </c>
      <c r="G4" s="14"/>
      <c r="AV4" s="20"/>
      <c r="AY4" s="14"/>
      <c r="DC4" s="14"/>
      <c r="DG4" s="253"/>
      <c r="EF4" s="20"/>
    </row>
    <row r="5" spans="1:157" ht="15.75">
      <c r="A5" s="152"/>
      <c r="G5" s="14"/>
      <c r="AY5" s="14"/>
      <c r="DC5" s="14"/>
      <c r="DG5" s="14"/>
    </row>
    <row r="6" spans="1:157" ht="18">
      <c r="A6" s="254"/>
      <c r="DC6" s="14"/>
      <c r="DG6" s="14"/>
      <c r="EN6" s="14"/>
      <c r="EO6" s="14"/>
      <c r="EP6" s="14"/>
      <c r="EV6" s="14"/>
    </row>
    <row r="7" spans="1:157" ht="16.5" thickBot="1">
      <c r="A7" s="255"/>
      <c r="B7" s="255"/>
      <c r="C7" s="255"/>
      <c r="D7" s="255"/>
      <c r="E7" s="255"/>
      <c r="F7" s="255"/>
      <c r="G7" s="487">
        <v>222.79599999999999</v>
      </c>
      <c r="K7" s="255">
        <v>250.01900000000001</v>
      </c>
      <c r="O7" s="458">
        <v>214.10599999999999</v>
      </c>
      <c r="S7">
        <v>250</v>
      </c>
      <c r="W7" s="256">
        <v>228.40600000000001</v>
      </c>
      <c r="X7" s="256"/>
      <c r="Y7" s="256"/>
      <c r="Z7" s="256"/>
      <c r="BG7">
        <v>200.64</v>
      </c>
      <c r="BK7" s="255"/>
      <c r="BL7" s="255"/>
      <c r="BM7" s="255"/>
      <c r="BN7" s="255"/>
      <c r="BO7" s="255"/>
      <c r="BP7" s="255"/>
      <c r="BQ7" s="255"/>
      <c r="BR7" s="255"/>
      <c r="BS7" s="255"/>
      <c r="BT7" s="255"/>
      <c r="BU7" s="255"/>
      <c r="BV7" s="255"/>
      <c r="BW7" s="255"/>
      <c r="BX7" s="255"/>
      <c r="BY7" s="256"/>
      <c r="BZ7" s="256"/>
      <c r="CA7" s="580">
        <v>251.43899999999999</v>
      </c>
      <c r="CB7" s="256"/>
      <c r="CC7" s="256"/>
      <c r="CD7" s="256"/>
      <c r="CE7" s="256">
        <v>250</v>
      </c>
      <c r="CF7" s="256"/>
      <c r="CG7" s="256"/>
      <c r="CH7" s="256"/>
      <c r="CI7" s="256"/>
      <c r="CJ7" s="256"/>
      <c r="CK7" s="256"/>
      <c r="CL7" s="256"/>
      <c r="CM7" s="255"/>
      <c r="CN7" s="255"/>
      <c r="CO7" s="255"/>
      <c r="CP7" s="255"/>
      <c r="CQ7" s="255"/>
      <c r="CR7" s="255"/>
      <c r="CS7" s="255"/>
      <c r="CT7" s="255"/>
      <c r="DC7" s="255"/>
      <c r="DD7" s="255"/>
      <c r="DE7" s="255"/>
      <c r="DF7" s="255"/>
      <c r="DG7" s="255"/>
      <c r="DH7" s="255"/>
      <c r="DI7" s="255"/>
      <c r="DJ7" s="255"/>
      <c r="DK7" s="255"/>
      <c r="DL7" s="255"/>
      <c r="DM7" s="255"/>
      <c r="DN7" s="255"/>
      <c r="DO7" s="255"/>
      <c r="DP7" s="255"/>
      <c r="DQ7" s="255"/>
      <c r="DR7" s="255"/>
      <c r="DV7" s="255"/>
      <c r="DW7" s="255"/>
      <c r="DX7" s="255"/>
      <c r="DY7" s="255"/>
      <c r="DZ7" s="255"/>
      <c r="EA7" s="255"/>
      <c r="EB7" s="255"/>
      <c r="EC7" s="255"/>
      <c r="ED7" s="255"/>
      <c r="EE7" s="255"/>
      <c r="EF7" s="255"/>
      <c r="EG7" s="255"/>
      <c r="EH7" s="255"/>
      <c r="EI7" s="255"/>
      <c r="EJ7" s="255"/>
      <c r="EK7" s="255"/>
      <c r="EL7" s="255"/>
      <c r="EM7" s="256"/>
      <c r="EN7" s="256"/>
      <c r="EO7" s="255"/>
      <c r="EP7" s="255"/>
      <c r="EQ7" s="255"/>
      <c r="ER7" s="255"/>
      <c r="ES7" s="255"/>
      <c r="ET7" s="255"/>
      <c r="EU7" s="255"/>
      <c r="EV7" s="255"/>
      <c r="EW7" s="255"/>
      <c r="EX7" s="255"/>
    </row>
    <row r="8" spans="1:157" ht="39" customHeight="1" thickTop="1">
      <c r="A8" s="728" t="s">
        <v>30</v>
      </c>
      <c r="B8" s="728" t="s">
        <v>6</v>
      </c>
      <c r="C8" s="728" t="s">
        <v>7</v>
      </c>
      <c r="D8" s="730" t="s">
        <v>45</v>
      </c>
      <c r="E8" s="732" t="s">
        <v>43</v>
      </c>
      <c r="F8" s="733"/>
      <c r="G8" s="725" t="s">
        <v>282</v>
      </c>
      <c r="H8" s="726"/>
      <c r="I8" s="726"/>
      <c r="J8" s="727"/>
      <c r="K8" s="725" t="s">
        <v>283</v>
      </c>
      <c r="L8" s="726"/>
      <c r="M8" s="726"/>
      <c r="N8" s="727"/>
      <c r="O8" s="725" t="s">
        <v>381</v>
      </c>
      <c r="P8" s="726"/>
      <c r="Q8" s="726"/>
      <c r="R8" s="727"/>
      <c r="S8" s="725" t="s">
        <v>370</v>
      </c>
      <c r="T8" s="726"/>
      <c r="U8" s="726"/>
      <c r="V8" s="727"/>
      <c r="W8" s="725" t="s">
        <v>376</v>
      </c>
      <c r="X8" s="726"/>
      <c r="Y8" s="726"/>
      <c r="Z8" s="726"/>
      <c r="AA8" s="725" t="s">
        <v>47</v>
      </c>
      <c r="AB8" s="726"/>
      <c r="AC8" s="726"/>
      <c r="AD8" s="727"/>
      <c r="AE8" s="725" t="s">
        <v>104</v>
      </c>
      <c r="AF8" s="726"/>
      <c r="AG8" s="726"/>
      <c r="AH8" s="727"/>
      <c r="AI8" s="725" t="s">
        <v>48</v>
      </c>
      <c r="AJ8" s="726"/>
      <c r="AK8" s="726"/>
      <c r="AL8" s="727"/>
      <c r="AM8" s="725" t="s">
        <v>49</v>
      </c>
      <c r="AN8" s="726"/>
      <c r="AO8" s="726"/>
      <c r="AP8" s="727"/>
      <c r="AQ8" s="725" t="s">
        <v>50</v>
      </c>
      <c r="AR8" s="726"/>
      <c r="AS8" s="726"/>
      <c r="AT8" s="727"/>
      <c r="AU8" s="725" t="s">
        <v>51</v>
      </c>
      <c r="AV8" s="726"/>
      <c r="AW8" s="726"/>
      <c r="AX8" s="727"/>
      <c r="AY8" s="725" t="s">
        <v>52</v>
      </c>
      <c r="AZ8" s="726"/>
      <c r="BA8" s="726"/>
      <c r="BB8" s="727"/>
      <c r="BC8" s="725" t="s">
        <v>53</v>
      </c>
      <c r="BD8" s="726"/>
      <c r="BE8" s="726"/>
      <c r="BF8" s="727"/>
      <c r="BG8" s="725" t="s">
        <v>54</v>
      </c>
      <c r="BH8" s="726"/>
      <c r="BI8" s="726"/>
      <c r="BJ8" s="727"/>
      <c r="BK8" s="725" t="s">
        <v>46</v>
      </c>
      <c r="BL8" s="726"/>
      <c r="BM8" s="726"/>
      <c r="BN8" s="727"/>
      <c r="BO8" s="725" t="s">
        <v>55</v>
      </c>
      <c r="BP8" s="726"/>
      <c r="BQ8" s="726"/>
      <c r="BR8" s="727"/>
      <c r="BS8" s="725" t="s">
        <v>56</v>
      </c>
      <c r="BT8" s="726"/>
      <c r="BU8" s="726"/>
      <c r="BV8" s="727"/>
      <c r="BW8" s="725" t="s">
        <v>57</v>
      </c>
      <c r="BX8" s="726"/>
      <c r="BY8" s="726"/>
      <c r="BZ8" s="726"/>
      <c r="CA8" s="725" t="s">
        <v>399</v>
      </c>
      <c r="CB8" s="726"/>
      <c r="CC8" s="726"/>
      <c r="CD8" s="726"/>
      <c r="CE8" s="725" t="s">
        <v>378</v>
      </c>
      <c r="CF8" s="726"/>
      <c r="CG8" s="726"/>
      <c r="CH8" s="726"/>
      <c r="CI8" s="725" t="s">
        <v>371</v>
      </c>
      <c r="CJ8" s="726"/>
      <c r="CK8" s="726"/>
      <c r="CL8" s="726"/>
      <c r="CM8" s="725" t="s">
        <v>190</v>
      </c>
      <c r="CN8" s="726"/>
      <c r="CO8" s="726"/>
      <c r="CP8" s="727"/>
      <c r="CQ8" s="725" t="s">
        <v>480</v>
      </c>
      <c r="CR8" s="726"/>
      <c r="CS8" s="726"/>
      <c r="CT8" s="726"/>
      <c r="CU8" s="735" t="s">
        <v>449</v>
      </c>
      <c r="CV8" s="736"/>
      <c r="CW8" s="736"/>
      <c r="CX8" s="737"/>
      <c r="CY8" s="735" t="s">
        <v>450</v>
      </c>
      <c r="CZ8" s="736"/>
      <c r="DA8" s="736"/>
      <c r="DB8" s="737"/>
      <c r="DC8" s="726" t="s">
        <v>451</v>
      </c>
      <c r="DD8" s="726"/>
      <c r="DE8" s="726"/>
      <c r="DF8" s="727"/>
      <c r="DG8" s="725" t="s">
        <v>574</v>
      </c>
      <c r="DH8" s="726"/>
      <c r="DI8" s="726"/>
      <c r="DJ8" s="727"/>
      <c r="DK8" s="725" t="s">
        <v>621</v>
      </c>
      <c r="DL8" s="726"/>
      <c r="DM8" s="726"/>
      <c r="DN8" s="727"/>
      <c r="DO8" s="725" t="s">
        <v>684</v>
      </c>
      <c r="DP8" s="726"/>
      <c r="DQ8" s="726"/>
      <c r="DR8" s="727"/>
      <c r="DS8" s="725"/>
      <c r="DT8" s="726"/>
      <c r="DU8" s="726"/>
      <c r="DV8" s="727"/>
      <c r="DW8" s="725" t="s">
        <v>284</v>
      </c>
      <c r="DX8" s="726"/>
      <c r="DY8" s="726"/>
      <c r="DZ8" s="727"/>
      <c r="EA8" s="725" t="s">
        <v>232</v>
      </c>
      <c r="EB8" s="726"/>
      <c r="EC8" s="726"/>
      <c r="ED8" s="727"/>
      <c r="EE8" s="725" t="s">
        <v>285</v>
      </c>
      <c r="EF8" s="726"/>
      <c r="EG8" s="726"/>
      <c r="EH8" s="727"/>
      <c r="EI8" s="725" t="s">
        <v>286</v>
      </c>
      <c r="EJ8" s="726"/>
      <c r="EK8" s="726"/>
      <c r="EL8" s="727"/>
      <c r="EM8" s="725" t="s">
        <v>103</v>
      </c>
      <c r="EN8" s="726"/>
      <c r="EO8" s="726"/>
      <c r="EP8" s="726"/>
      <c r="EQ8" s="725"/>
      <c r="ER8" s="726"/>
      <c r="ES8" s="726"/>
      <c r="ET8" s="727"/>
      <c r="EU8" s="725" t="s">
        <v>58</v>
      </c>
      <c r="EV8" s="727"/>
      <c r="EW8" s="725" t="s">
        <v>59</v>
      </c>
      <c r="EX8" s="727"/>
      <c r="EY8" s="734" t="s">
        <v>287</v>
      </c>
      <c r="EZ8" s="734"/>
      <c r="FA8" s="488" t="s">
        <v>288</v>
      </c>
    </row>
    <row r="9" spans="1:157">
      <c r="A9" s="729"/>
      <c r="B9" s="729"/>
      <c r="C9" s="729"/>
      <c r="D9" s="731"/>
      <c r="E9" s="2" t="s">
        <v>41</v>
      </c>
      <c r="F9" s="486" t="s">
        <v>42</v>
      </c>
      <c r="G9" s="9" t="s">
        <v>41</v>
      </c>
      <c r="H9" s="9" t="s">
        <v>12</v>
      </c>
      <c r="I9" s="485" t="s">
        <v>42</v>
      </c>
      <c r="J9" s="485" t="s">
        <v>12</v>
      </c>
      <c r="K9" s="9" t="s">
        <v>41</v>
      </c>
      <c r="L9" s="9" t="s">
        <v>12</v>
      </c>
      <c r="M9" s="485" t="s">
        <v>42</v>
      </c>
      <c r="N9" s="485" t="s">
        <v>12</v>
      </c>
      <c r="O9" s="9" t="s">
        <v>41</v>
      </c>
      <c r="P9" s="9" t="s">
        <v>12</v>
      </c>
      <c r="Q9" s="485" t="s">
        <v>42</v>
      </c>
      <c r="R9" s="485" t="s">
        <v>12</v>
      </c>
      <c r="S9" s="9" t="s">
        <v>41</v>
      </c>
      <c r="T9" s="9" t="s">
        <v>12</v>
      </c>
      <c r="U9" s="485" t="s">
        <v>42</v>
      </c>
      <c r="V9" s="485" t="s">
        <v>12</v>
      </c>
      <c r="W9" s="9" t="s">
        <v>41</v>
      </c>
      <c r="X9" s="9" t="s">
        <v>12</v>
      </c>
      <c r="Y9" s="485" t="s">
        <v>42</v>
      </c>
      <c r="Z9" s="485" t="s">
        <v>12</v>
      </c>
      <c r="AA9" s="9" t="s">
        <v>41</v>
      </c>
      <c r="AB9" s="9" t="s">
        <v>12</v>
      </c>
      <c r="AC9" s="485" t="s">
        <v>42</v>
      </c>
      <c r="AD9" s="485" t="s">
        <v>12</v>
      </c>
      <c r="AE9" s="9" t="s">
        <v>41</v>
      </c>
      <c r="AF9" s="9" t="s">
        <v>12</v>
      </c>
      <c r="AG9" s="485" t="s">
        <v>42</v>
      </c>
      <c r="AH9" s="485" t="s">
        <v>12</v>
      </c>
      <c r="AI9" s="485" t="s">
        <v>41</v>
      </c>
      <c r="AJ9" s="485" t="s">
        <v>12</v>
      </c>
      <c r="AK9" s="485" t="s">
        <v>42</v>
      </c>
      <c r="AL9" s="485" t="s">
        <v>12</v>
      </c>
      <c r="AM9" s="485" t="s">
        <v>41</v>
      </c>
      <c r="AN9" s="485" t="s">
        <v>12</v>
      </c>
      <c r="AO9" s="485" t="s">
        <v>42</v>
      </c>
      <c r="AP9" s="485" t="s">
        <v>12</v>
      </c>
      <c r="AQ9" s="485" t="s">
        <v>41</v>
      </c>
      <c r="AR9" s="485" t="s">
        <v>12</v>
      </c>
      <c r="AS9" s="485" t="s">
        <v>42</v>
      </c>
      <c r="AT9" s="485" t="s">
        <v>12</v>
      </c>
      <c r="AU9" s="485" t="s">
        <v>41</v>
      </c>
      <c r="AV9" s="485" t="s">
        <v>12</v>
      </c>
      <c r="AW9" s="485" t="s">
        <v>42</v>
      </c>
      <c r="AX9" s="485" t="s">
        <v>12</v>
      </c>
      <c r="AY9" s="485" t="s">
        <v>41</v>
      </c>
      <c r="AZ9" s="485" t="s">
        <v>12</v>
      </c>
      <c r="BA9" s="485" t="s">
        <v>42</v>
      </c>
      <c r="BB9" s="485" t="s">
        <v>12</v>
      </c>
      <c r="BC9" s="485" t="s">
        <v>41</v>
      </c>
      <c r="BD9" s="485" t="s">
        <v>12</v>
      </c>
      <c r="BE9" s="485" t="s">
        <v>42</v>
      </c>
      <c r="BF9" s="485" t="s">
        <v>12</v>
      </c>
      <c r="BG9" s="485" t="s">
        <v>41</v>
      </c>
      <c r="BH9" s="485" t="s">
        <v>12</v>
      </c>
      <c r="BI9" s="485" t="s">
        <v>42</v>
      </c>
      <c r="BJ9" s="485" t="s">
        <v>12</v>
      </c>
      <c r="BK9" s="485" t="s">
        <v>41</v>
      </c>
      <c r="BL9" s="485" t="s">
        <v>12</v>
      </c>
      <c r="BM9" s="485" t="s">
        <v>42</v>
      </c>
      <c r="BN9" s="485" t="s">
        <v>12</v>
      </c>
      <c r="BO9" s="485" t="s">
        <v>41</v>
      </c>
      <c r="BP9" s="485" t="s">
        <v>12</v>
      </c>
      <c r="BQ9" s="485" t="s">
        <v>42</v>
      </c>
      <c r="BR9" s="485" t="s">
        <v>12</v>
      </c>
      <c r="BS9" s="485" t="s">
        <v>41</v>
      </c>
      <c r="BT9" s="485" t="s">
        <v>12</v>
      </c>
      <c r="BU9" s="485" t="s">
        <v>42</v>
      </c>
      <c r="BV9" s="485" t="s">
        <v>12</v>
      </c>
      <c r="BW9" s="485" t="s">
        <v>41</v>
      </c>
      <c r="BX9" s="485" t="s">
        <v>12</v>
      </c>
      <c r="BY9" s="485" t="s">
        <v>42</v>
      </c>
      <c r="BZ9" s="485" t="s">
        <v>12</v>
      </c>
      <c r="CA9" s="551" t="s">
        <v>41</v>
      </c>
      <c r="CB9" s="551" t="s">
        <v>12</v>
      </c>
      <c r="CC9" s="551" t="s">
        <v>42</v>
      </c>
      <c r="CD9" s="551" t="s">
        <v>12</v>
      </c>
      <c r="CE9" s="551" t="s">
        <v>41</v>
      </c>
      <c r="CF9" s="551" t="s">
        <v>12</v>
      </c>
      <c r="CG9" s="551" t="s">
        <v>42</v>
      </c>
      <c r="CH9" s="551" t="s">
        <v>12</v>
      </c>
      <c r="CI9" s="551" t="s">
        <v>41</v>
      </c>
      <c r="CJ9" s="551" t="s">
        <v>12</v>
      </c>
      <c r="CK9" s="551" t="s">
        <v>42</v>
      </c>
      <c r="CL9" s="551" t="s">
        <v>12</v>
      </c>
      <c r="CM9" s="485" t="s">
        <v>41</v>
      </c>
      <c r="CN9" s="485" t="s">
        <v>12</v>
      </c>
      <c r="CO9" s="485" t="s">
        <v>42</v>
      </c>
      <c r="CP9" s="485" t="s">
        <v>12</v>
      </c>
      <c r="CQ9" s="485" t="s">
        <v>41</v>
      </c>
      <c r="CR9" s="485" t="s">
        <v>12</v>
      </c>
      <c r="CS9" s="485" t="s">
        <v>42</v>
      </c>
      <c r="CT9" s="485" t="s">
        <v>12</v>
      </c>
      <c r="CU9" s="485" t="s">
        <v>41</v>
      </c>
      <c r="CV9" s="485" t="s">
        <v>12</v>
      </c>
      <c r="CW9" s="485" t="s">
        <v>42</v>
      </c>
      <c r="CX9" s="485" t="s">
        <v>12</v>
      </c>
      <c r="CY9" s="485" t="s">
        <v>41</v>
      </c>
      <c r="CZ9" s="485" t="s">
        <v>12</v>
      </c>
      <c r="DA9" s="485" t="s">
        <v>42</v>
      </c>
      <c r="DB9" s="485" t="s">
        <v>12</v>
      </c>
      <c r="DC9" s="485" t="s">
        <v>41</v>
      </c>
      <c r="DD9" s="485" t="s">
        <v>12</v>
      </c>
      <c r="DE9" s="485" t="s">
        <v>42</v>
      </c>
      <c r="DF9" s="485" t="s">
        <v>12</v>
      </c>
      <c r="DG9" s="485" t="s">
        <v>41</v>
      </c>
      <c r="DH9" s="485" t="s">
        <v>12</v>
      </c>
      <c r="DI9" s="485" t="s">
        <v>42</v>
      </c>
      <c r="DJ9" s="485" t="s">
        <v>12</v>
      </c>
      <c r="DK9" s="557" t="s">
        <v>41</v>
      </c>
      <c r="DL9" s="557" t="s">
        <v>12</v>
      </c>
      <c r="DM9" s="557" t="s">
        <v>42</v>
      </c>
      <c r="DN9" s="557" t="s">
        <v>12</v>
      </c>
      <c r="DO9" s="485" t="s">
        <v>41</v>
      </c>
      <c r="DP9" s="485" t="s">
        <v>12</v>
      </c>
      <c r="DQ9" s="485" t="s">
        <v>42</v>
      </c>
      <c r="DR9" s="485" t="s">
        <v>12</v>
      </c>
      <c r="DS9" s="485" t="s">
        <v>41</v>
      </c>
      <c r="DT9" s="485" t="s">
        <v>12</v>
      </c>
      <c r="DU9" s="485" t="s">
        <v>42</v>
      </c>
      <c r="DV9" s="485" t="s">
        <v>12</v>
      </c>
      <c r="DW9" s="485" t="s">
        <v>41</v>
      </c>
      <c r="DX9" s="485" t="s">
        <v>12</v>
      </c>
      <c r="DY9" s="485" t="s">
        <v>42</v>
      </c>
      <c r="DZ9" s="485" t="s">
        <v>12</v>
      </c>
      <c r="EA9" s="485" t="s">
        <v>41</v>
      </c>
      <c r="EB9" s="485" t="s">
        <v>12</v>
      </c>
      <c r="EC9" s="485" t="s">
        <v>42</v>
      </c>
      <c r="ED9" s="485" t="s">
        <v>12</v>
      </c>
      <c r="EE9" s="485" t="s">
        <v>41</v>
      </c>
      <c r="EF9" s="485" t="s">
        <v>12</v>
      </c>
      <c r="EG9" s="485" t="s">
        <v>42</v>
      </c>
      <c r="EH9" s="485" t="s">
        <v>12</v>
      </c>
      <c r="EI9" s="485" t="s">
        <v>41</v>
      </c>
      <c r="EJ9" s="485" t="s">
        <v>12</v>
      </c>
      <c r="EK9" s="485" t="s">
        <v>42</v>
      </c>
      <c r="EL9" s="485" t="s">
        <v>12</v>
      </c>
      <c r="EM9" s="485" t="s">
        <v>41</v>
      </c>
      <c r="EN9" s="485" t="s">
        <v>12</v>
      </c>
      <c r="EO9" s="485" t="s">
        <v>42</v>
      </c>
      <c r="EP9" s="485" t="s">
        <v>12</v>
      </c>
      <c r="EQ9" s="485" t="s">
        <v>41</v>
      </c>
      <c r="ER9" s="485" t="s">
        <v>12</v>
      </c>
      <c r="ES9" s="485" t="s">
        <v>42</v>
      </c>
      <c r="ET9" s="485" t="s">
        <v>12</v>
      </c>
      <c r="EU9" s="485" t="s">
        <v>41</v>
      </c>
      <c r="EV9" s="485" t="s">
        <v>42</v>
      </c>
      <c r="EW9" s="485" t="s">
        <v>41</v>
      </c>
      <c r="EX9" s="485" t="s">
        <v>42</v>
      </c>
      <c r="EY9" s="485" t="s">
        <v>41</v>
      </c>
      <c r="EZ9" s="485" t="s">
        <v>42</v>
      </c>
      <c r="FA9" s="5"/>
    </row>
    <row r="10" spans="1:157">
      <c r="A10" s="17">
        <f>+Report1!A9</f>
        <v>45962</v>
      </c>
      <c r="B10" s="5" t="str">
        <f>+Chem!B9</f>
        <v>Toilet</v>
      </c>
      <c r="C10" s="5" t="str">
        <f>+Chem!C9</f>
        <v>14/13,5</v>
      </c>
      <c r="D10" s="8">
        <f>+Chem!D9</f>
        <v>42.54</v>
      </c>
      <c r="E10" s="6">
        <f>+Chem!E9</f>
        <v>39.835000000000001</v>
      </c>
      <c r="F10" s="6">
        <f>+E10</f>
        <v>39.835000000000001</v>
      </c>
      <c r="G10" s="97"/>
      <c r="H10" s="10">
        <f t="shared" ref="H10:H39" si="0">G10/EU10*100</f>
        <v>0</v>
      </c>
      <c r="I10" s="8">
        <f>G10</f>
        <v>0</v>
      </c>
      <c r="J10" s="10">
        <f t="shared" ref="J10:J39" si="1">I10/EV10*100</f>
        <v>0</v>
      </c>
      <c r="K10" s="97"/>
      <c r="L10" s="10">
        <f t="shared" ref="L10:L39" si="2">+K10/EU10*100</f>
        <v>0</v>
      </c>
      <c r="M10" s="10">
        <f>+K10</f>
        <v>0</v>
      </c>
      <c r="N10" s="10">
        <f t="shared" ref="N10:N39" si="3">+M10/EV10*100</f>
        <v>0</v>
      </c>
      <c r="O10" s="97"/>
      <c r="P10" s="10">
        <f t="shared" ref="P10:P39" si="4">+O10/EU10*100</f>
        <v>0</v>
      </c>
      <c r="Q10" s="10">
        <f>+O10</f>
        <v>0</v>
      </c>
      <c r="R10" s="10">
        <f t="shared" ref="R10:R39" si="5">+Q10/EV10*100</f>
        <v>0</v>
      </c>
      <c r="S10" s="97"/>
      <c r="T10" s="10">
        <f t="shared" ref="T10:T39" si="6">+S10/EU10*100</f>
        <v>0</v>
      </c>
      <c r="U10" s="10">
        <f>+S10</f>
        <v>0</v>
      </c>
      <c r="V10" s="10">
        <f t="shared" ref="V10:V39" si="7">+U10/EV10*100</f>
        <v>0</v>
      </c>
      <c r="W10" s="10"/>
      <c r="X10" s="10">
        <f t="shared" ref="X10:X39" si="8">+W10/EU10*100</f>
        <v>0</v>
      </c>
      <c r="Y10" s="10">
        <f>+W10</f>
        <v>0</v>
      </c>
      <c r="Z10" s="10">
        <f t="shared" ref="Z10:Z39" si="9">+Y10/EV10*100</f>
        <v>0</v>
      </c>
      <c r="AA10" s="97"/>
      <c r="AB10" s="10">
        <f t="shared" ref="AB10:AB39" si="10">AA10/EU10*100</f>
        <v>0</v>
      </c>
      <c r="AC10" s="10">
        <f>AA10</f>
        <v>0</v>
      </c>
      <c r="AD10" s="10">
        <f t="shared" ref="AD10:AD39" si="11">AC10/EV10*100</f>
        <v>0</v>
      </c>
      <c r="AE10" s="97"/>
      <c r="AF10" s="10">
        <f t="shared" ref="AF10:AF39" si="12">+AE10/EU10*100</f>
        <v>0</v>
      </c>
      <c r="AG10" s="10">
        <f>+AE10</f>
        <v>0</v>
      </c>
      <c r="AH10" s="10">
        <f t="shared" ref="AH10:AH39" si="13">+AG10/EV10*100</f>
        <v>0</v>
      </c>
      <c r="AI10" s="97"/>
      <c r="AJ10" s="10">
        <f t="shared" ref="AJ10:AJ39" si="14">AI10/EU10*100</f>
        <v>0</v>
      </c>
      <c r="AK10" s="10">
        <f>AI10</f>
        <v>0</v>
      </c>
      <c r="AL10" s="10">
        <f t="shared" ref="AL10:AL39" si="15">AK10/EV10*100</f>
        <v>0</v>
      </c>
      <c r="AM10" s="97"/>
      <c r="AN10" s="10">
        <f t="shared" ref="AN10:AN39" si="16">AM10/EU10*100</f>
        <v>0</v>
      </c>
      <c r="AO10" s="10">
        <f>AM10</f>
        <v>0</v>
      </c>
      <c r="AP10" s="10">
        <f t="shared" ref="AP10:AP39" si="17">+AO10/EV10*100</f>
        <v>0</v>
      </c>
      <c r="AQ10" s="97"/>
      <c r="AR10" s="10">
        <f t="shared" ref="AR10:AR39" si="18">AQ10/EU10*100</f>
        <v>0</v>
      </c>
      <c r="AS10" s="10">
        <f>AQ10</f>
        <v>0</v>
      </c>
      <c r="AT10" s="10">
        <f t="shared" ref="AT10:AT39" si="19">AS10/EV10*100</f>
        <v>0</v>
      </c>
      <c r="AU10" s="252"/>
      <c r="AV10" s="10">
        <f t="shared" ref="AV10:AV39" si="20">AU10/EU10*100</f>
        <v>0</v>
      </c>
      <c r="AW10" s="8">
        <f>AU10</f>
        <v>0</v>
      </c>
      <c r="AX10" s="10">
        <f t="shared" ref="AX10:AX39" si="21">AW10/EV10*100</f>
        <v>0</v>
      </c>
      <c r="AY10" s="97">
        <v>0</v>
      </c>
      <c r="AZ10" s="10">
        <f t="shared" ref="AZ10:AZ39" si="22">AY10/EU10*100</f>
        <v>0</v>
      </c>
      <c r="BA10" s="10">
        <f>AY10</f>
        <v>0</v>
      </c>
      <c r="BB10" s="10">
        <f t="shared" ref="BB10:BB39" si="23">BA10/EV10*100</f>
        <v>0</v>
      </c>
      <c r="BC10" s="97"/>
      <c r="BD10" s="10">
        <f t="shared" ref="BD10:BD39" si="24">BC10/EU10*100</f>
        <v>0</v>
      </c>
      <c r="BE10" s="10">
        <f>BC10</f>
        <v>0</v>
      </c>
      <c r="BF10" s="10">
        <f t="shared" ref="BF10:BF39" si="25">BE10/EV10*100</f>
        <v>0</v>
      </c>
      <c r="BG10" s="97">
        <v>0</v>
      </c>
      <c r="BH10" s="10">
        <f t="shared" ref="BH10:BH39" si="26">BG10/EU10*100</f>
        <v>0</v>
      </c>
      <c r="BI10" s="10">
        <f>BG10</f>
        <v>0</v>
      </c>
      <c r="BJ10" s="10">
        <f t="shared" ref="BJ10:BJ39" si="27">BI10/EV10*100</f>
        <v>0</v>
      </c>
      <c r="BK10" s="97"/>
      <c r="BL10" s="10">
        <f>BK10/EU10*100</f>
        <v>0</v>
      </c>
      <c r="BM10" s="10">
        <f>BK10</f>
        <v>0</v>
      </c>
      <c r="BN10" s="10">
        <f>BM10/EV10*100</f>
        <v>0</v>
      </c>
      <c r="BO10" s="97"/>
      <c r="BP10" s="10">
        <f>BO10/EU10*100</f>
        <v>0</v>
      </c>
      <c r="BQ10" s="10">
        <f>+BO10</f>
        <v>0</v>
      </c>
      <c r="BR10" s="10">
        <f>BQ10/EV10*100</f>
        <v>0</v>
      </c>
      <c r="BS10" s="97"/>
      <c r="BT10" s="10">
        <v>0</v>
      </c>
      <c r="BU10" s="10">
        <f>BS10</f>
        <v>0</v>
      </c>
      <c r="BV10" s="10">
        <f>BU10/EV10*100</f>
        <v>0</v>
      </c>
      <c r="BW10" s="10">
        <f>G10+AY10+BK10+BG10+BS10+BO10+AU10+AI10+BC10+AQ10+AA10+AM10+AE10+K10+W10+S10+O10</f>
        <v>0</v>
      </c>
      <c r="BX10" s="10">
        <f t="shared" ref="BX10:BX39" si="28">BW10/EU10*100</f>
        <v>0</v>
      </c>
      <c r="BY10" s="10">
        <f>BW10</f>
        <v>0</v>
      </c>
      <c r="BZ10" s="10">
        <f t="shared" ref="BZ10:BZ39" si="29">BY10/EV10*100</f>
        <v>0</v>
      </c>
      <c r="CA10" s="10"/>
      <c r="CB10" s="10">
        <f>CA10/EU10*100</f>
        <v>0</v>
      </c>
      <c r="CC10" s="10">
        <f>CA10</f>
        <v>0</v>
      </c>
      <c r="CD10" s="10">
        <f>CC10/EV10*100</f>
        <v>0</v>
      </c>
      <c r="CE10" s="10"/>
      <c r="CF10" s="10">
        <f>CE10/EU10*100</f>
        <v>0</v>
      </c>
      <c r="CG10" s="10">
        <f>CE10</f>
        <v>0</v>
      </c>
      <c r="CH10" s="10">
        <f>CG10/EV10*100</f>
        <v>0</v>
      </c>
      <c r="CI10" s="10">
        <f>+CA10+CE10</f>
        <v>0</v>
      </c>
      <c r="CJ10" s="10">
        <f>CI10/EU10*100</f>
        <v>0</v>
      </c>
      <c r="CK10" s="10">
        <f>CI10</f>
        <v>0</v>
      </c>
      <c r="CL10" s="10">
        <f>CK10/EV10*100</f>
        <v>0</v>
      </c>
      <c r="CM10" s="97">
        <v>26072.802409727068</v>
      </c>
      <c r="CN10" s="10">
        <f>CM10/EU10*100</f>
        <v>60.303596168905486</v>
      </c>
      <c r="CO10" s="10">
        <f>CM10</f>
        <v>26072.802409727068</v>
      </c>
      <c r="CP10" s="10">
        <f>CO10/EV10*100</f>
        <v>60.303596168905486</v>
      </c>
      <c r="CQ10" s="97"/>
      <c r="CR10" s="10">
        <f t="shared" ref="CR10:CR39" si="30">CQ10/EU10*100</f>
        <v>0</v>
      </c>
      <c r="CS10" s="10">
        <f>CQ10</f>
        <v>0</v>
      </c>
      <c r="CT10" s="10">
        <f t="shared" ref="CT10:CT39" si="31">CS10/EV10*100</f>
        <v>0</v>
      </c>
      <c r="CU10" s="97">
        <v>6849.6124600521616</v>
      </c>
      <c r="CV10" s="10">
        <f t="shared" ref="CV10:CV39" si="32">CU10/EU10*100</f>
        <v>15.842419131377628</v>
      </c>
      <c r="CW10" s="10">
        <f>CU10</f>
        <v>6849.6124600521616</v>
      </c>
      <c r="CX10" s="10">
        <f t="shared" ref="CX10:CX39" si="33">CW10/EV10*100</f>
        <v>15.842419131377628</v>
      </c>
      <c r="CY10" s="97">
        <v>3489.9166146273369</v>
      </c>
      <c r="CZ10" s="10">
        <f t="shared" ref="CZ10:CZ39" si="34">CY10/EU10*100</f>
        <v>8.0718029034395506</v>
      </c>
      <c r="DA10" s="10">
        <f>CY10</f>
        <v>3489.9166146273369</v>
      </c>
      <c r="DB10" s="10">
        <f t="shared" ref="DB10:DB39" si="35">DA10/EV10*100</f>
        <v>8.0718029034395506</v>
      </c>
      <c r="DC10" s="97">
        <v>6823.5683062116586</v>
      </c>
      <c r="DD10" s="10">
        <f t="shared" ref="DD10:DD39" si="36">DC10/EU10*100</f>
        <v>15.782181796277332</v>
      </c>
      <c r="DE10" s="10">
        <f>DC10</f>
        <v>6823.5683062116586</v>
      </c>
      <c r="DF10" s="10">
        <f t="shared" ref="DF10:DF39" si="37">DE10/EV10*100</f>
        <v>15.782181796277332</v>
      </c>
      <c r="DG10" s="97"/>
      <c r="DH10" s="10">
        <f t="shared" ref="DH10:DH39" si="38">DG10/EU10*100</f>
        <v>0</v>
      </c>
      <c r="DI10" s="10">
        <f>DG10</f>
        <v>0</v>
      </c>
      <c r="DJ10" s="10">
        <f t="shared" ref="DJ10:DJ39" si="39">DI10/EV10*100</f>
        <v>0</v>
      </c>
      <c r="DK10" s="97"/>
      <c r="DL10" s="10">
        <f>DK10/EU10*100</f>
        <v>0</v>
      </c>
      <c r="DM10" s="10">
        <f>DK10</f>
        <v>0</v>
      </c>
      <c r="DN10" s="10">
        <f>DM10/EV10*100</f>
        <v>0</v>
      </c>
      <c r="DO10" s="492"/>
      <c r="DP10" s="10">
        <f>DO10/EU10*100</f>
        <v>0</v>
      </c>
      <c r="DQ10" s="10">
        <f>DO10</f>
        <v>0</v>
      </c>
      <c r="DR10" s="10">
        <f>DQ10/EV10*100</f>
        <v>0</v>
      </c>
      <c r="DS10" s="97"/>
      <c r="DT10" s="10">
        <f>DS10/EU10*100</f>
        <v>0</v>
      </c>
      <c r="DU10" s="10">
        <f>DS10</f>
        <v>0</v>
      </c>
      <c r="DV10" s="10">
        <f>DU10/EV10*100</f>
        <v>0</v>
      </c>
      <c r="DW10" s="10">
        <f t="shared" ref="DW10:DW40" si="40">CQ10+CU10+CY10+DC10+DG10+DK10+DO10+DS10+CM10</f>
        <v>43235.899790618227</v>
      </c>
      <c r="DX10" s="10">
        <f t="shared" ref="DX10:DX39" si="41">DW10/EU10*100</f>
        <v>100</v>
      </c>
      <c r="DY10" s="10">
        <f>DW10</f>
        <v>43235.899790618227</v>
      </c>
      <c r="DZ10" s="10">
        <f t="shared" ref="DZ10:DZ39" si="42">DY10/EV10*100</f>
        <v>100</v>
      </c>
      <c r="EA10" s="97"/>
      <c r="EB10" s="10">
        <f t="shared" ref="EB10:EB39" si="43">+EA10/EU10*100</f>
        <v>0</v>
      </c>
      <c r="EC10" s="10">
        <f>+EA10</f>
        <v>0</v>
      </c>
      <c r="ED10" s="10">
        <f t="shared" ref="ED10:ED39" si="44">+EC10/EV10*100</f>
        <v>0</v>
      </c>
      <c r="EE10" s="97">
        <f>14*EF6</f>
        <v>0</v>
      </c>
      <c r="EF10" s="10">
        <f t="shared" ref="EF10:EF39" si="45">EE10/EU10*100</f>
        <v>0</v>
      </c>
      <c r="EG10" s="10">
        <f>EE10</f>
        <v>0</v>
      </c>
      <c r="EH10" s="10">
        <f t="shared" ref="EH10:EH39" si="46">EG10/EV10*100</f>
        <v>0</v>
      </c>
      <c r="EI10" s="97">
        <f>14*EJ6</f>
        <v>0</v>
      </c>
      <c r="EJ10" s="16">
        <f t="shared" ref="EJ10:EJ39" si="47">EI10/EU10*100</f>
        <v>0</v>
      </c>
      <c r="EK10" s="10">
        <f>EI10</f>
        <v>0</v>
      </c>
      <c r="EL10" s="10">
        <f t="shared" ref="EL10:EL39" si="48">EK10/EV10*100</f>
        <v>0</v>
      </c>
      <c r="EM10" s="10">
        <f>EA10+EE10+EI10</f>
        <v>0</v>
      </c>
      <c r="EN10" s="10">
        <f t="shared" ref="EN10:EN39" si="49">EM10/EU10*100</f>
        <v>0</v>
      </c>
      <c r="EO10" s="10">
        <f>EM10</f>
        <v>0</v>
      </c>
      <c r="EP10" s="10">
        <f t="shared" ref="EP10:EP39" si="50">EO10/EV10*100</f>
        <v>0</v>
      </c>
      <c r="EQ10" s="97"/>
      <c r="ER10" s="10">
        <f t="shared" ref="ER10:ER39" si="51">EQ10/EU10*100</f>
        <v>0</v>
      </c>
      <c r="ES10" s="10">
        <f>EQ10</f>
        <v>0</v>
      </c>
      <c r="ET10" s="10">
        <f t="shared" ref="ET10:ET39" si="52">ES10/EV10*100</f>
        <v>0</v>
      </c>
      <c r="EU10" s="10">
        <f>BW10+DW10+EM10+EQ10+CI10</f>
        <v>43235.899790618227</v>
      </c>
      <c r="EV10" s="10">
        <f>EU10</f>
        <v>43235.899790618227</v>
      </c>
      <c r="EW10" s="10">
        <f t="shared" ref="EW10:EW39" si="53">EU10/1000/E10</f>
        <v>1.0853746652596516</v>
      </c>
      <c r="EX10" s="10">
        <f t="shared" ref="EX10:EX39" si="54">(EV10/1000)/F10</f>
        <v>1.0853746652596516</v>
      </c>
      <c r="EY10" s="489">
        <f>+(E10*1000)/DW10</f>
        <v>0.92134083465157379</v>
      </c>
      <c r="EZ10" s="490">
        <f>+(F10*1000)/DY10</f>
        <v>0.92134083465157379</v>
      </c>
      <c r="FA10" s="5" t="s">
        <v>434</v>
      </c>
    </row>
    <row r="11" spans="1:157">
      <c r="A11" s="17">
        <f>+Chem!A10</f>
        <v>45963</v>
      </c>
      <c r="B11" s="5" t="str">
        <f>+Chem!B10</f>
        <v>Toilet</v>
      </c>
      <c r="C11" s="5" t="str">
        <f>+Chem!C10</f>
        <v>13,5/14</v>
      </c>
      <c r="D11" s="8">
        <f>+Chem!D10</f>
        <v>48.241</v>
      </c>
      <c r="E11" s="6">
        <f>+Chem!E10</f>
        <v>49.100999999999999</v>
      </c>
      <c r="F11" s="6">
        <f t="shared" ref="F11:F39" si="55">+E11+F10</f>
        <v>88.936000000000007</v>
      </c>
      <c r="G11" s="97"/>
      <c r="H11" s="10">
        <f t="shared" si="0"/>
        <v>0</v>
      </c>
      <c r="I11" s="8">
        <f t="shared" ref="I11:I39" si="56">G11+I10</f>
        <v>0</v>
      </c>
      <c r="J11" s="10">
        <f t="shared" si="1"/>
        <v>0</v>
      </c>
      <c r="K11" s="97"/>
      <c r="L11" s="10">
        <f t="shared" si="2"/>
        <v>0</v>
      </c>
      <c r="M11" s="10">
        <f t="shared" ref="M11:M39" si="57">+K11+M10</f>
        <v>0</v>
      </c>
      <c r="N11" s="10">
        <f t="shared" si="3"/>
        <v>0</v>
      </c>
      <c r="O11" s="97"/>
      <c r="P11" s="10">
        <f t="shared" si="4"/>
        <v>0</v>
      </c>
      <c r="Q11" s="10">
        <f t="shared" ref="Q11:Q39" si="58">+O11+Q10</f>
        <v>0</v>
      </c>
      <c r="R11" s="10">
        <f t="shared" si="5"/>
        <v>0</v>
      </c>
      <c r="S11" s="97"/>
      <c r="T11" s="10">
        <f t="shared" si="6"/>
        <v>0</v>
      </c>
      <c r="U11" s="10">
        <f t="shared" ref="U11:U39" si="59">+S11+U10</f>
        <v>0</v>
      </c>
      <c r="V11" s="10">
        <f t="shared" si="7"/>
        <v>0</v>
      </c>
      <c r="W11" s="10"/>
      <c r="X11" s="10">
        <f t="shared" si="8"/>
        <v>0</v>
      </c>
      <c r="Y11" s="10">
        <f t="shared" ref="Y11:Y39" si="60">+W11+Y10</f>
        <v>0</v>
      </c>
      <c r="Z11" s="10">
        <f t="shared" si="9"/>
        <v>0</v>
      </c>
      <c r="AA11" s="97"/>
      <c r="AB11" s="10">
        <f t="shared" si="10"/>
        <v>0</v>
      </c>
      <c r="AC11" s="10">
        <f t="shared" ref="AC11:AC39" si="61">AA11+AC10</f>
        <v>0</v>
      </c>
      <c r="AD11" s="10">
        <f t="shared" si="11"/>
        <v>0</v>
      </c>
      <c r="AE11" s="97"/>
      <c r="AF11" s="10">
        <f t="shared" si="12"/>
        <v>0</v>
      </c>
      <c r="AG11" s="10">
        <f t="shared" ref="AG11:AG39" si="62">+AE11+AG10</f>
        <v>0</v>
      </c>
      <c r="AH11" s="10">
        <f t="shared" si="13"/>
        <v>0</v>
      </c>
      <c r="AI11" s="97"/>
      <c r="AJ11" s="10">
        <f t="shared" si="14"/>
        <v>0</v>
      </c>
      <c r="AK11" s="10">
        <f t="shared" ref="AK11:AK39" si="63">AI11+AK10</f>
        <v>0</v>
      </c>
      <c r="AL11" s="10">
        <f t="shared" si="15"/>
        <v>0</v>
      </c>
      <c r="AM11" s="97"/>
      <c r="AN11" s="10">
        <f t="shared" si="16"/>
        <v>0</v>
      </c>
      <c r="AO11" s="10">
        <f t="shared" ref="AO11:AO39" si="64">+AM11+AO10</f>
        <v>0</v>
      </c>
      <c r="AP11" s="10">
        <f t="shared" si="17"/>
        <v>0</v>
      </c>
      <c r="AQ11" s="97"/>
      <c r="AR11" s="10">
        <f t="shared" si="18"/>
        <v>0</v>
      </c>
      <c r="AS11" s="10">
        <f t="shared" ref="AS11:AS39" si="65">AQ11+AS10</f>
        <v>0</v>
      </c>
      <c r="AT11" s="10">
        <f t="shared" si="19"/>
        <v>0</v>
      </c>
      <c r="AU11" s="252"/>
      <c r="AV11" s="10">
        <f t="shared" si="20"/>
        <v>0</v>
      </c>
      <c r="AW11" s="8">
        <f t="shared" ref="AW11:AW39" si="66">AU11+AW10</f>
        <v>0</v>
      </c>
      <c r="AX11" s="10">
        <f t="shared" si="21"/>
        <v>0</v>
      </c>
      <c r="AY11" s="97"/>
      <c r="AZ11" s="10">
        <f t="shared" si="22"/>
        <v>0</v>
      </c>
      <c r="BA11" s="10">
        <f t="shared" ref="BA11:BA39" si="67">AY11+BA10</f>
        <v>0</v>
      </c>
      <c r="BB11" s="10">
        <f t="shared" si="23"/>
        <v>0</v>
      </c>
      <c r="BC11" s="97"/>
      <c r="BD11" s="10">
        <f t="shared" si="24"/>
        <v>0</v>
      </c>
      <c r="BE11" s="10">
        <f t="shared" ref="BE11:BE39" si="68">BC11+BE10</f>
        <v>0</v>
      </c>
      <c r="BF11" s="10">
        <f t="shared" si="25"/>
        <v>0</v>
      </c>
      <c r="BG11" s="97">
        <v>0</v>
      </c>
      <c r="BH11" s="10">
        <f t="shared" si="26"/>
        <v>0</v>
      </c>
      <c r="BI11" s="10">
        <f t="shared" ref="BI11:BI39" si="69">BG11+BI10</f>
        <v>0</v>
      </c>
      <c r="BJ11" s="10">
        <f t="shared" si="27"/>
        <v>0</v>
      </c>
      <c r="BK11" s="97"/>
      <c r="BL11" s="10"/>
      <c r="BM11" s="10"/>
      <c r="BN11" s="10"/>
      <c r="BO11" s="97"/>
      <c r="BP11" s="10"/>
      <c r="BQ11" s="10"/>
      <c r="BR11" s="10"/>
      <c r="BS11" s="97"/>
      <c r="BT11" s="10"/>
      <c r="BU11" s="10"/>
      <c r="BV11" s="10"/>
      <c r="BW11" s="10">
        <f t="shared" ref="BW11:BW39" si="70">G11+AY11+BK11+BG11+BS11+BO11+AU11+AI11+BC11+AQ11+AA11+AM11+AE11+K11+W11+S11+O11</f>
        <v>0</v>
      </c>
      <c r="BX11" s="10">
        <f t="shared" si="28"/>
        <v>0</v>
      </c>
      <c r="BY11" s="10">
        <f t="shared" ref="BY11:BY39" si="71">BW11+BY10</f>
        <v>0</v>
      </c>
      <c r="BZ11" s="10">
        <f t="shared" si="29"/>
        <v>0</v>
      </c>
      <c r="CA11" s="10"/>
      <c r="CB11" s="10">
        <f t="shared" ref="CB11:CB39" si="72">CA11/EU11*100</f>
        <v>0</v>
      </c>
      <c r="CC11" s="10">
        <f>+CA11+CC10</f>
        <v>0</v>
      </c>
      <c r="CD11" s="10">
        <f t="shared" ref="CD11:CD39" si="73">CC11/EV11*100</f>
        <v>0</v>
      </c>
      <c r="CE11" s="10"/>
      <c r="CF11" s="10">
        <f>CE11/EU11*100</f>
        <v>0</v>
      </c>
      <c r="CG11" s="10">
        <f>+CE11+CG10</f>
        <v>0</v>
      </c>
      <c r="CH11" s="10">
        <f>CG11/EV11*100</f>
        <v>0</v>
      </c>
      <c r="CI11" s="10">
        <f t="shared" ref="CI11:CI39" si="74">+CA11+CE11</f>
        <v>0</v>
      </c>
      <c r="CJ11" s="10">
        <f>CI11/EU11*100</f>
        <v>0</v>
      </c>
      <c r="CK11" s="10">
        <f>+CI11+CK10</f>
        <v>0</v>
      </c>
      <c r="CL11" s="10">
        <f>CK11/EV11*100</f>
        <v>0</v>
      </c>
      <c r="CM11" s="97">
        <v>8056.7301165795398</v>
      </c>
      <c r="CN11" s="10">
        <f t="shared" ref="CN11:CN39" si="75">CM11/EU11*100</f>
        <v>12.154116800845804</v>
      </c>
      <c r="CO11" s="10">
        <f t="shared" ref="CO11:CO39" si="76">CM11</f>
        <v>8056.7301165795398</v>
      </c>
      <c r="CP11" s="10">
        <f t="shared" ref="CP11:CP39" si="77">CO11/EV11*100</f>
        <v>7.3561337579831285</v>
      </c>
      <c r="CQ11" s="97">
        <v>27504.901103873679</v>
      </c>
      <c r="CR11" s="10">
        <f t="shared" si="30"/>
        <v>41.492984843101397</v>
      </c>
      <c r="CS11" s="10">
        <f t="shared" ref="CS11:CS39" si="78">CQ11+CS10</f>
        <v>27504.901103873679</v>
      </c>
      <c r="CT11" s="10">
        <f t="shared" si="31"/>
        <v>25.113132572708174</v>
      </c>
      <c r="CU11" s="97">
        <v>16980.887147671387</v>
      </c>
      <c r="CV11" s="10">
        <f t="shared" si="32"/>
        <v>25.616805178823672</v>
      </c>
      <c r="CW11" s="10">
        <f t="shared" ref="CW11:CW39" si="79">CU11+CW10</f>
        <v>23830.499607723548</v>
      </c>
      <c r="CX11" s="10">
        <f t="shared" si="33"/>
        <v>21.758249326638996</v>
      </c>
      <c r="CY11" s="97">
        <v>3524.2808745251677</v>
      </c>
      <c r="CZ11" s="10">
        <f t="shared" si="34"/>
        <v>5.3166136594074169</v>
      </c>
      <c r="DA11" s="10">
        <f t="shared" ref="DA11:DA39" si="80">CY11+DA10</f>
        <v>7014.1974891525042</v>
      </c>
      <c r="DB11" s="10">
        <f t="shared" si="35"/>
        <v>6.4042575819854743</v>
      </c>
      <c r="DC11" s="97">
        <v>10221.276218488396</v>
      </c>
      <c r="DD11" s="10">
        <f t="shared" si="36"/>
        <v>15.419479517821705</v>
      </c>
      <c r="DE11" s="10">
        <f t="shared" ref="DE11:DE39" si="81">DC11+DE10</f>
        <v>17044.844524700056</v>
      </c>
      <c r="DF11" s="10">
        <f t="shared" si="37"/>
        <v>15.562660582324611</v>
      </c>
      <c r="DG11" s="97"/>
      <c r="DH11" s="10">
        <f t="shared" si="38"/>
        <v>0</v>
      </c>
      <c r="DI11" s="10">
        <f t="shared" ref="DI11:DI39" si="82">DG11+DI10</f>
        <v>0</v>
      </c>
      <c r="DJ11" s="10">
        <f t="shared" si="39"/>
        <v>0</v>
      </c>
      <c r="DK11" s="97"/>
      <c r="DL11" s="10">
        <f t="shared" ref="DL11:DL40" si="83">DK11/EU11*100</f>
        <v>0</v>
      </c>
      <c r="DM11" s="10">
        <f t="shared" ref="DM11:DM40" si="84">DK11+DM10</f>
        <v>0</v>
      </c>
      <c r="DN11" s="10">
        <f t="shared" ref="DN11:DN40" si="85">DM11/EV11*100</f>
        <v>0</v>
      </c>
      <c r="DO11" s="492"/>
      <c r="DP11" s="10">
        <f t="shared" ref="DP11:DP39" si="86">DO11/EU11*100</f>
        <v>0</v>
      </c>
      <c r="DQ11" s="10">
        <f t="shared" ref="DQ11:DQ39" si="87">DO11+DQ10</f>
        <v>0</v>
      </c>
      <c r="DR11" s="10">
        <f t="shared" ref="DR11:DR39" si="88">DQ11/EV11*100</f>
        <v>0</v>
      </c>
      <c r="DS11" s="97"/>
      <c r="DT11" s="10">
        <f>DS11/EU11*100</f>
        <v>0</v>
      </c>
      <c r="DU11" s="10">
        <f t="shared" ref="DU11:DU39" si="89">DS11+DU10</f>
        <v>0</v>
      </c>
      <c r="DV11" s="10">
        <f>DU11/EV11*100</f>
        <v>0</v>
      </c>
      <c r="DW11" s="10">
        <f t="shared" si="40"/>
        <v>66288.075461138171</v>
      </c>
      <c r="DX11" s="10">
        <f t="shared" si="41"/>
        <v>100</v>
      </c>
      <c r="DY11" s="10">
        <f t="shared" ref="DY11:DY39" si="90">DW11+DY10</f>
        <v>109523.9752517564</v>
      </c>
      <c r="DZ11" s="10">
        <f t="shared" si="42"/>
        <v>100</v>
      </c>
      <c r="EA11" s="97"/>
      <c r="EB11" s="10">
        <f t="shared" si="43"/>
        <v>0</v>
      </c>
      <c r="EC11" s="10">
        <f t="shared" ref="EC11:EC39" si="91">+EA11+EC10</f>
        <v>0</v>
      </c>
      <c r="ED11" s="10">
        <f t="shared" si="44"/>
        <v>0</v>
      </c>
      <c r="EE11" s="97"/>
      <c r="EF11" s="10">
        <f t="shared" si="45"/>
        <v>0</v>
      </c>
      <c r="EG11" s="10">
        <f t="shared" ref="EG11:EG39" si="92">EE11+EG10</f>
        <v>0</v>
      </c>
      <c r="EH11" s="10">
        <f t="shared" si="46"/>
        <v>0</v>
      </c>
      <c r="EI11" s="97"/>
      <c r="EJ11" s="16">
        <f t="shared" si="47"/>
        <v>0</v>
      </c>
      <c r="EK11" s="10">
        <f t="shared" ref="EK11:EK39" si="93">EI11+EK10</f>
        <v>0</v>
      </c>
      <c r="EL11" s="10">
        <f t="shared" si="48"/>
        <v>0</v>
      </c>
      <c r="EM11" s="10">
        <f t="shared" ref="EM11:EM39" si="94">EA11+EE11+EI11</f>
        <v>0</v>
      </c>
      <c r="EN11" s="10">
        <f t="shared" si="49"/>
        <v>0</v>
      </c>
      <c r="EO11" s="10">
        <f t="shared" ref="EO11:EO39" si="95">EM11+EO10</f>
        <v>0</v>
      </c>
      <c r="EP11" s="10">
        <f t="shared" si="50"/>
        <v>0</v>
      </c>
      <c r="EQ11" s="97"/>
      <c r="ER11" s="10">
        <f t="shared" si="51"/>
        <v>0</v>
      </c>
      <c r="ES11" s="10">
        <f t="shared" ref="ES11:ES39" si="96">EQ11+ES10</f>
        <v>0</v>
      </c>
      <c r="ET11" s="10">
        <f t="shared" si="52"/>
        <v>0</v>
      </c>
      <c r="EU11" s="10">
        <f t="shared" ref="EU11:EU39" si="97">BW11+DW11+EM11+EQ11+CI11</f>
        <v>66288.075461138171</v>
      </c>
      <c r="EV11" s="10">
        <f t="shared" ref="EV11:EV39" si="98">EU11+EV10</f>
        <v>109523.9752517564</v>
      </c>
      <c r="EW11" s="10">
        <f t="shared" si="53"/>
        <v>1.3500351410590046</v>
      </c>
      <c r="EX11" s="10">
        <f t="shared" si="54"/>
        <v>1.2314920308059323</v>
      </c>
      <c r="EY11" s="489">
        <f t="shared" ref="EY11:EY39" si="99">+(E11*1000)/DW11</f>
        <v>0.74072145945443524</v>
      </c>
      <c r="EZ11" s="490">
        <f t="shared" ref="EZ11:EZ39" si="100">+(F11*1000)/DY11</f>
        <v>0.81202311909851688</v>
      </c>
      <c r="FA11" s="5" t="s">
        <v>434</v>
      </c>
    </row>
    <row r="12" spans="1:157">
      <c r="A12" s="17">
        <f>+Chem!A11</f>
        <v>45964</v>
      </c>
      <c r="B12" s="5" t="str">
        <f>+Chem!B11</f>
        <v>Toilet</v>
      </c>
      <c r="C12" s="5" t="str">
        <f>+Chem!C11</f>
        <v>14</v>
      </c>
      <c r="D12" s="8">
        <f>+Chem!D11</f>
        <v>49.679000000000002</v>
      </c>
      <c r="E12" s="6">
        <f>+Chem!E11</f>
        <v>48.119</v>
      </c>
      <c r="F12" s="6">
        <f t="shared" si="55"/>
        <v>137.05500000000001</v>
      </c>
      <c r="G12" s="97"/>
      <c r="H12" s="10">
        <f t="shared" si="0"/>
        <v>0</v>
      </c>
      <c r="I12" s="8">
        <f t="shared" si="56"/>
        <v>0</v>
      </c>
      <c r="J12" s="10">
        <f t="shared" si="1"/>
        <v>0</v>
      </c>
      <c r="K12" s="97"/>
      <c r="L12" s="10">
        <f t="shared" si="2"/>
        <v>0</v>
      </c>
      <c r="M12" s="10">
        <f t="shared" si="57"/>
        <v>0</v>
      </c>
      <c r="N12" s="10">
        <f t="shared" si="3"/>
        <v>0</v>
      </c>
      <c r="O12" s="97"/>
      <c r="P12" s="10">
        <f t="shared" si="4"/>
        <v>0</v>
      </c>
      <c r="Q12" s="10">
        <f t="shared" si="58"/>
        <v>0</v>
      </c>
      <c r="R12" s="10">
        <f t="shared" si="5"/>
        <v>0</v>
      </c>
      <c r="S12" s="97"/>
      <c r="T12" s="10">
        <f t="shared" si="6"/>
        <v>0</v>
      </c>
      <c r="U12" s="10">
        <f t="shared" si="59"/>
        <v>0</v>
      </c>
      <c r="V12" s="10">
        <f t="shared" si="7"/>
        <v>0</v>
      </c>
      <c r="W12" s="10"/>
      <c r="X12" s="10">
        <f t="shared" si="8"/>
        <v>0</v>
      </c>
      <c r="Y12" s="10">
        <f t="shared" si="60"/>
        <v>0</v>
      </c>
      <c r="Z12" s="10">
        <f t="shared" si="9"/>
        <v>0</v>
      </c>
      <c r="AA12" s="97"/>
      <c r="AB12" s="10">
        <f t="shared" si="10"/>
        <v>0</v>
      </c>
      <c r="AC12" s="10">
        <f t="shared" si="61"/>
        <v>0</v>
      </c>
      <c r="AD12" s="10">
        <f t="shared" si="11"/>
        <v>0</v>
      </c>
      <c r="AE12" s="97"/>
      <c r="AF12" s="10">
        <f t="shared" si="12"/>
        <v>0</v>
      </c>
      <c r="AG12" s="10">
        <f t="shared" si="62"/>
        <v>0</v>
      </c>
      <c r="AH12" s="10">
        <f t="shared" si="13"/>
        <v>0</v>
      </c>
      <c r="AI12" s="97"/>
      <c r="AJ12" s="10">
        <f t="shared" si="14"/>
        <v>0</v>
      </c>
      <c r="AK12" s="10">
        <f t="shared" si="63"/>
        <v>0</v>
      </c>
      <c r="AL12" s="10">
        <f t="shared" si="15"/>
        <v>0</v>
      </c>
      <c r="AM12" s="97"/>
      <c r="AN12" s="10">
        <f t="shared" si="16"/>
        <v>0</v>
      </c>
      <c r="AO12" s="10">
        <f t="shared" si="64"/>
        <v>0</v>
      </c>
      <c r="AP12" s="10">
        <f t="shared" si="17"/>
        <v>0</v>
      </c>
      <c r="AQ12" s="97"/>
      <c r="AR12" s="10">
        <f t="shared" si="18"/>
        <v>0</v>
      </c>
      <c r="AS12" s="10">
        <f t="shared" si="65"/>
        <v>0</v>
      </c>
      <c r="AT12" s="10">
        <f t="shared" si="19"/>
        <v>0</v>
      </c>
      <c r="AU12" s="252"/>
      <c r="AV12" s="10">
        <f t="shared" si="20"/>
        <v>0</v>
      </c>
      <c r="AW12" s="8">
        <f t="shared" si="66"/>
        <v>0</v>
      </c>
      <c r="AX12" s="10">
        <f t="shared" si="21"/>
        <v>0</v>
      </c>
      <c r="AY12" s="97"/>
      <c r="AZ12" s="10">
        <f t="shared" si="22"/>
        <v>0</v>
      </c>
      <c r="BA12" s="10">
        <f t="shared" si="67"/>
        <v>0</v>
      </c>
      <c r="BB12" s="10">
        <f t="shared" si="23"/>
        <v>0</v>
      </c>
      <c r="BC12" s="97"/>
      <c r="BD12" s="10">
        <f t="shared" si="24"/>
        <v>0</v>
      </c>
      <c r="BE12" s="10">
        <f t="shared" si="68"/>
        <v>0</v>
      </c>
      <c r="BF12" s="10">
        <f t="shared" si="25"/>
        <v>0</v>
      </c>
      <c r="BG12" s="97"/>
      <c r="BH12" s="10">
        <f t="shared" si="26"/>
        <v>0</v>
      </c>
      <c r="BI12" s="10">
        <f t="shared" si="69"/>
        <v>0</v>
      </c>
      <c r="BJ12" s="10">
        <f t="shared" si="27"/>
        <v>0</v>
      </c>
      <c r="BK12" s="97"/>
      <c r="BL12" s="10"/>
      <c r="BM12" s="10"/>
      <c r="BN12" s="10"/>
      <c r="BO12" s="97"/>
      <c r="BP12" s="10"/>
      <c r="BQ12" s="10"/>
      <c r="BR12" s="10"/>
      <c r="BS12" s="97"/>
      <c r="BT12" s="10"/>
      <c r="BU12" s="10"/>
      <c r="BV12" s="10"/>
      <c r="BW12" s="10">
        <f t="shared" si="70"/>
        <v>0</v>
      </c>
      <c r="BX12" s="10">
        <f t="shared" si="28"/>
        <v>0</v>
      </c>
      <c r="BY12" s="10">
        <f t="shared" si="71"/>
        <v>0</v>
      </c>
      <c r="BZ12" s="10">
        <f t="shared" si="29"/>
        <v>0</v>
      </c>
      <c r="CA12" s="10"/>
      <c r="CB12" s="10">
        <f t="shared" si="72"/>
        <v>0</v>
      </c>
      <c r="CC12" s="10">
        <f t="shared" ref="CC12:CC39" si="101">+CA12+CC11</f>
        <v>0</v>
      </c>
      <c r="CD12" s="10">
        <f t="shared" si="73"/>
        <v>0</v>
      </c>
      <c r="CE12" s="10"/>
      <c r="CF12" s="10">
        <f t="shared" ref="CF12:CF39" si="102">CE12/EU12*100</f>
        <v>0</v>
      </c>
      <c r="CG12" s="10">
        <f t="shared" ref="CG12:CG39" si="103">+CE12+CG11</f>
        <v>0</v>
      </c>
      <c r="CH12" s="10">
        <f t="shared" ref="CH12:CH39" si="104">CG12/EV12*100</f>
        <v>0</v>
      </c>
      <c r="CI12" s="10">
        <f t="shared" si="74"/>
        <v>0</v>
      </c>
      <c r="CJ12" s="10">
        <f t="shared" ref="CJ12:CJ39" si="105">CI12/EU12*100</f>
        <v>0</v>
      </c>
      <c r="CK12" s="10">
        <f t="shared" ref="CK12:CK39" si="106">+CI12+CK11</f>
        <v>0</v>
      </c>
      <c r="CL12" s="10">
        <f t="shared" ref="CL12:CL39" si="107">CK12/EV12*100</f>
        <v>0</v>
      </c>
      <c r="CM12" s="97">
        <v>6710.6892024212211</v>
      </c>
      <c r="CN12" s="10">
        <f t="shared" si="75"/>
        <v>12.191203052821853</v>
      </c>
      <c r="CO12" s="10">
        <f t="shared" si="76"/>
        <v>6710.6892024212211</v>
      </c>
      <c r="CP12" s="10">
        <f t="shared" si="77"/>
        <v>4.0777280876958377</v>
      </c>
      <c r="CQ12" s="97">
        <v>24557.031945433504</v>
      </c>
      <c r="CR12" s="10">
        <f t="shared" si="30"/>
        <v>44.612371962241411</v>
      </c>
      <c r="CS12" s="10">
        <f t="shared" si="78"/>
        <v>52061.933049307183</v>
      </c>
      <c r="CT12" s="10">
        <f t="shared" si="31"/>
        <v>31.635261340713576</v>
      </c>
      <c r="CU12" s="97">
        <v>12724.881831938757</v>
      </c>
      <c r="CV12" s="10">
        <f t="shared" si="32"/>
        <v>23.117091785499095</v>
      </c>
      <c r="CW12" s="10">
        <f t="shared" si="79"/>
        <v>36555.381439662306</v>
      </c>
      <c r="CX12" s="10">
        <f t="shared" si="33"/>
        <v>22.212756567412491</v>
      </c>
      <c r="CY12" s="97">
        <v>2584.223395495816</v>
      </c>
      <c r="CZ12" s="10">
        <f t="shared" si="34"/>
        <v>4.694717814822253</v>
      </c>
      <c r="DA12" s="10">
        <f t="shared" si="80"/>
        <v>9598.4208846483198</v>
      </c>
      <c r="DB12" s="10">
        <f t="shared" si="35"/>
        <v>5.8324486886883591</v>
      </c>
      <c r="DC12" s="97">
        <v>8468.5138864162363</v>
      </c>
      <c r="DD12" s="10">
        <f t="shared" si="36"/>
        <v>15.384615384615385</v>
      </c>
      <c r="DE12" s="10">
        <f t="shared" si="81"/>
        <v>25513.358411116293</v>
      </c>
      <c r="DF12" s="10">
        <f t="shared" si="37"/>
        <v>15.503107812968494</v>
      </c>
      <c r="DG12" s="97"/>
      <c r="DH12" s="10">
        <f t="shared" si="38"/>
        <v>0</v>
      </c>
      <c r="DI12" s="10">
        <f t="shared" si="82"/>
        <v>0</v>
      </c>
      <c r="DJ12" s="10">
        <f t="shared" si="39"/>
        <v>0</v>
      </c>
      <c r="DK12" s="97"/>
      <c r="DL12" s="10">
        <f t="shared" si="83"/>
        <v>0</v>
      </c>
      <c r="DM12" s="10">
        <f t="shared" si="84"/>
        <v>0</v>
      </c>
      <c r="DN12" s="10">
        <f t="shared" si="85"/>
        <v>0</v>
      </c>
      <c r="DO12" s="492"/>
      <c r="DP12" s="10">
        <f t="shared" si="86"/>
        <v>0</v>
      </c>
      <c r="DQ12" s="10">
        <f t="shared" si="87"/>
        <v>0</v>
      </c>
      <c r="DR12" s="10">
        <f t="shared" si="88"/>
        <v>0</v>
      </c>
      <c r="DS12" s="97"/>
      <c r="DT12" s="10">
        <f t="shared" ref="DT12:DT39" si="108">DS12/EU12*100</f>
        <v>0</v>
      </c>
      <c r="DU12" s="10">
        <f t="shared" si="89"/>
        <v>0</v>
      </c>
      <c r="DV12" s="10">
        <f t="shared" ref="DV12:DV39" si="109">DU12/EV12*100</f>
        <v>0</v>
      </c>
      <c r="DW12" s="10">
        <f t="shared" si="40"/>
        <v>55045.340261705533</v>
      </c>
      <c r="DX12" s="10">
        <f t="shared" si="41"/>
        <v>100</v>
      </c>
      <c r="DY12" s="10">
        <f t="shared" si="90"/>
        <v>164569.31551346194</v>
      </c>
      <c r="DZ12" s="10">
        <f t="shared" si="42"/>
        <v>100</v>
      </c>
      <c r="EA12" s="97"/>
      <c r="EB12" s="10">
        <f t="shared" si="43"/>
        <v>0</v>
      </c>
      <c r="EC12" s="10">
        <f t="shared" si="91"/>
        <v>0</v>
      </c>
      <c r="ED12" s="10">
        <f t="shared" si="44"/>
        <v>0</v>
      </c>
      <c r="EE12" s="97"/>
      <c r="EF12" s="10">
        <f t="shared" si="45"/>
        <v>0</v>
      </c>
      <c r="EG12" s="10">
        <f t="shared" si="92"/>
        <v>0</v>
      </c>
      <c r="EH12" s="10">
        <f t="shared" si="46"/>
        <v>0</v>
      </c>
      <c r="EI12" s="97"/>
      <c r="EJ12" s="16">
        <f t="shared" si="47"/>
        <v>0</v>
      </c>
      <c r="EK12" s="10">
        <f t="shared" si="93"/>
        <v>0</v>
      </c>
      <c r="EL12" s="10">
        <f t="shared" si="48"/>
        <v>0</v>
      </c>
      <c r="EM12" s="10">
        <f t="shared" si="94"/>
        <v>0</v>
      </c>
      <c r="EN12" s="10">
        <f t="shared" si="49"/>
        <v>0</v>
      </c>
      <c r="EO12" s="10">
        <f t="shared" si="95"/>
        <v>0</v>
      </c>
      <c r="EP12" s="10">
        <f t="shared" si="50"/>
        <v>0</v>
      </c>
      <c r="EQ12" s="97"/>
      <c r="ER12" s="10">
        <f t="shared" si="51"/>
        <v>0</v>
      </c>
      <c r="ES12" s="10">
        <f t="shared" si="96"/>
        <v>0</v>
      </c>
      <c r="ET12" s="10">
        <f t="shared" si="52"/>
        <v>0</v>
      </c>
      <c r="EU12" s="10">
        <f t="shared" si="97"/>
        <v>55045.340261705533</v>
      </c>
      <c r="EV12" s="10">
        <f t="shared" si="98"/>
        <v>164569.31551346194</v>
      </c>
      <c r="EW12" s="10">
        <f t="shared" si="53"/>
        <v>1.1439418994930388</v>
      </c>
      <c r="EX12" s="10">
        <f t="shared" si="54"/>
        <v>1.2007538252049319</v>
      </c>
      <c r="EY12" s="489">
        <f t="shared" si="99"/>
        <v>0.87417027074816511</v>
      </c>
      <c r="EZ12" s="490">
        <f t="shared" si="100"/>
        <v>0.83281017225102794</v>
      </c>
      <c r="FA12" s="5" t="s">
        <v>434</v>
      </c>
    </row>
    <row r="13" spans="1:157">
      <c r="A13" s="17">
        <f>+Chem!A12</f>
        <v>45965</v>
      </c>
      <c r="B13" s="5" t="str">
        <f>+Chem!B12</f>
        <v>Toilet</v>
      </c>
      <c r="C13" s="5" t="str">
        <f>+Chem!C12</f>
        <v>14/15</v>
      </c>
      <c r="D13" s="8">
        <f>+Chem!D12</f>
        <v>51.656999999999996</v>
      </c>
      <c r="E13" s="6">
        <f>+Chem!E12</f>
        <v>50.56</v>
      </c>
      <c r="F13" s="6">
        <f t="shared" si="55"/>
        <v>187.61500000000001</v>
      </c>
      <c r="G13" s="97"/>
      <c r="H13" s="10">
        <f t="shared" si="0"/>
        <v>0</v>
      </c>
      <c r="I13" s="8">
        <f t="shared" si="56"/>
        <v>0</v>
      </c>
      <c r="J13" s="10">
        <f t="shared" si="1"/>
        <v>0</v>
      </c>
      <c r="K13" s="97"/>
      <c r="L13" s="10">
        <f t="shared" si="2"/>
        <v>0</v>
      </c>
      <c r="M13" s="10">
        <f t="shared" si="57"/>
        <v>0</v>
      </c>
      <c r="N13" s="10">
        <f t="shared" si="3"/>
        <v>0</v>
      </c>
      <c r="O13" s="97"/>
      <c r="P13" s="10">
        <f t="shared" si="4"/>
        <v>0</v>
      </c>
      <c r="Q13" s="10">
        <f t="shared" si="58"/>
        <v>0</v>
      </c>
      <c r="R13" s="10">
        <f t="shared" si="5"/>
        <v>0</v>
      </c>
      <c r="S13" s="97"/>
      <c r="T13" s="10">
        <f t="shared" si="6"/>
        <v>0</v>
      </c>
      <c r="U13" s="10">
        <f t="shared" si="59"/>
        <v>0</v>
      </c>
      <c r="V13" s="10">
        <f t="shared" si="7"/>
        <v>0</v>
      </c>
      <c r="W13" s="10"/>
      <c r="X13" s="10">
        <f t="shared" si="8"/>
        <v>0</v>
      </c>
      <c r="Y13" s="10">
        <f t="shared" si="60"/>
        <v>0</v>
      </c>
      <c r="Z13" s="10">
        <f t="shared" si="9"/>
        <v>0</v>
      </c>
      <c r="AA13" s="97"/>
      <c r="AB13" s="10">
        <f t="shared" si="10"/>
        <v>0</v>
      </c>
      <c r="AC13" s="10">
        <f t="shared" si="61"/>
        <v>0</v>
      </c>
      <c r="AD13" s="10">
        <f t="shared" si="11"/>
        <v>0</v>
      </c>
      <c r="AE13" s="97"/>
      <c r="AF13" s="10">
        <f t="shared" si="12"/>
        <v>0</v>
      </c>
      <c r="AG13" s="10">
        <f t="shared" si="62"/>
        <v>0</v>
      </c>
      <c r="AH13" s="10">
        <f t="shared" si="13"/>
        <v>0</v>
      </c>
      <c r="AI13" s="97"/>
      <c r="AJ13" s="10">
        <f t="shared" si="14"/>
        <v>0</v>
      </c>
      <c r="AK13" s="10">
        <f t="shared" si="63"/>
        <v>0</v>
      </c>
      <c r="AL13" s="10">
        <f t="shared" si="15"/>
        <v>0</v>
      </c>
      <c r="AM13" s="97"/>
      <c r="AN13" s="10">
        <f t="shared" si="16"/>
        <v>0</v>
      </c>
      <c r="AO13" s="10">
        <f t="shared" si="64"/>
        <v>0</v>
      </c>
      <c r="AP13" s="10">
        <f t="shared" si="17"/>
        <v>0</v>
      </c>
      <c r="AQ13" s="97"/>
      <c r="AR13" s="10">
        <f t="shared" si="18"/>
        <v>0</v>
      </c>
      <c r="AS13" s="10">
        <f t="shared" si="65"/>
        <v>0</v>
      </c>
      <c r="AT13" s="10">
        <f t="shared" si="19"/>
        <v>0</v>
      </c>
      <c r="AU13" s="252"/>
      <c r="AV13" s="10">
        <f t="shared" si="20"/>
        <v>0</v>
      </c>
      <c r="AW13" s="8">
        <f t="shared" si="66"/>
        <v>0</v>
      </c>
      <c r="AX13" s="10">
        <f t="shared" si="21"/>
        <v>0</v>
      </c>
      <c r="AY13" s="97"/>
      <c r="AZ13" s="10">
        <f t="shared" si="22"/>
        <v>0</v>
      </c>
      <c r="BA13" s="10">
        <f t="shared" si="67"/>
        <v>0</v>
      </c>
      <c r="BB13" s="10">
        <f t="shared" si="23"/>
        <v>0</v>
      </c>
      <c r="BC13" s="97"/>
      <c r="BD13" s="10">
        <f t="shared" si="24"/>
        <v>0</v>
      </c>
      <c r="BE13" s="10">
        <f t="shared" si="68"/>
        <v>0</v>
      </c>
      <c r="BF13" s="10">
        <f t="shared" si="25"/>
        <v>0</v>
      </c>
      <c r="BG13" s="97"/>
      <c r="BH13" s="10">
        <f t="shared" si="26"/>
        <v>0</v>
      </c>
      <c r="BI13" s="10">
        <f t="shared" si="69"/>
        <v>0</v>
      </c>
      <c r="BJ13" s="10">
        <f t="shared" si="27"/>
        <v>0</v>
      </c>
      <c r="BK13" s="97"/>
      <c r="BL13" s="10"/>
      <c r="BM13" s="10"/>
      <c r="BN13" s="10"/>
      <c r="BO13" s="97"/>
      <c r="BP13" s="10"/>
      <c r="BQ13" s="10"/>
      <c r="BR13" s="10"/>
      <c r="BS13" s="97"/>
      <c r="BT13" s="10"/>
      <c r="BU13" s="10"/>
      <c r="BV13" s="10"/>
      <c r="BW13" s="10">
        <f t="shared" si="70"/>
        <v>0</v>
      </c>
      <c r="BX13" s="10">
        <f t="shared" si="28"/>
        <v>0</v>
      </c>
      <c r="BY13" s="10">
        <f t="shared" si="71"/>
        <v>0</v>
      </c>
      <c r="BZ13" s="10">
        <f t="shared" si="29"/>
        <v>0</v>
      </c>
      <c r="CA13" s="10"/>
      <c r="CB13" s="10">
        <f t="shared" si="72"/>
        <v>0</v>
      </c>
      <c r="CC13" s="10">
        <f t="shared" si="101"/>
        <v>0</v>
      </c>
      <c r="CD13" s="10">
        <f t="shared" si="73"/>
        <v>0</v>
      </c>
      <c r="CE13" s="10"/>
      <c r="CF13" s="10">
        <f t="shared" si="102"/>
        <v>0</v>
      </c>
      <c r="CG13" s="10">
        <f t="shared" si="103"/>
        <v>0</v>
      </c>
      <c r="CH13" s="10">
        <f t="shared" si="104"/>
        <v>0</v>
      </c>
      <c r="CI13" s="10">
        <f t="shared" si="74"/>
        <v>0</v>
      </c>
      <c r="CJ13" s="10">
        <f t="shared" si="105"/>
        <v>0</v>
      </c>
      <c r="CK13" s="10">
        <f t="shared" si="106"/>
        <v>0</v>
      </c>
      <c r="CL13" s="10">
        <f t="shared" si="107"/>
        <v>0</v>
      </c>
      <c r="CM13" s="97">
        <v>3452.3624067628048</v>
      </c>
      <c r="CN13" s="10">
        <f t="shared" si="75"/>
        <v>6.1113132048017471</v>
      </c>
      <c r="CO13" s="10">
        <f t="shared" si="76"/>
        <v>3452.3624067628048</v>
      </c>
      <c r="CP13" s="10">
        <f t="shared" si="77"/>
        <v>1.5617263411453923</v>
      </c>
      <c r="CQ13" s="97">
        <v>16051.943958229736</v>
      </c>
      <c r="CR13" s="10">
        <f t="shared" si="30"/>
        <v>28.414878137504552</v>
      </c>
      <c r="CS13" s="10">
        <f t="shared" si="78"/>
        <v>68113.877007536925</v>
      </c>
      <c r="CT13" s="10">
        <f t="shared" si="31"/>
        <v>30.812302819608483</v>
      </c>
      <c r="CU13" s="97">
        <v>17356.854748881153</v>
      </c>
      <c r="CV13" s="10">
        <f t="shared" si="32"/>
        <v>30.724809021462352</v>
      </c>
      <c r="CW13" s="10">
        <f t="shared" si="79"/>
        <v>53912.236188543458</v>
      </c>
      <c r="CX13" s="10">
        <f t="shared" si="33"/>
        <v>24.3879840658585</v>
      </c>
      <c r="CY13" s="97">
        <v>7287.4643958229744</v>
      </c>
      <c r="CZ13" s="10">
        <f t="shared" si="34"/>
        <v>12.90014550745726</v>
      </c>
      <c r="DA13" s="10">
        <f t="shared" si="80"/>
        <v>16885.885280471295</v>
      </c>
      <c r="DB13" s="10">
        <f t="shared" si="35"/>
        <v>7.6385757718868321</v>
      </c>
      <c r="DC13" s="97">
        <v>12342.709348582795</v>
      </c>
      <c r="DD13" s="10">
        <f t="shared" si="36"/>
        <v>21.848854128774104</v>
      </c>
      <c r="DE13" s="10">
        <f t="shared" si="81"/>
        <v>37856.067759699086</v>
      </c>
      <c r="DF13" s="10">
        <f t="shared" si="37"/>
        <v>17.124742778074399</v>
      </c>
      <c r="DG13" s="97"/>
      <c r="DH13" s="10">
        <f t="shared" si="38"/>
        <v>0</v>
      </c>
      <c r="DI13" s="10">
        <f t="shared" si="82"/>
        <v>0</v>
      </c>
      <c r="DJ13" s="10">
        <f t="shared" si="39"/>
        <v>0</v>
      </c>
      <c r="DK13" s="97"/>
      <c r="DL13" s="10">
        <f t="shared" si="83"/>
        <v>0</v>
      </c>
      <c r="DM13" s="10">
        <f t="shared" si="84"/>
        <v>0</v>
      </c>
      <c r="DN13" s="10">
        <f t="shared" si="85"/>
        <v>0</v>
      </c>
      <c r="DO13" s="492"/>
      <c r="DP13" s="10">
        <f t="shared" si="86"/>
        <v>0</v>
      </c>
      <c r="DQ13" s="10">
        <f t="shared" si="87"/>
        <v>0</v>
      </c>
      <c r="DR13" s="10">
        <f t="shared" si="88"/>
        <v>0</v>
      </c>
      <c r="DS13" s="97"/>
      <c r="DT13" s="10">
        <f t="shared" si="108"/>
        <v>0</v>
      </c>
      <c r="DU13" s="10">
        <f t="shared" si="89"/>
        <v>0</v>
      </c>
      <c r="DV13" s="10">
        <f t="shared" si="109"/>
        <v>0</v>
      </c>
      <c r="DW13" s="10">
        <f t="shared" si="40"/>
        <v>56491.334858279457</v>
      </c>
      <c r="DX13" s="10">
        <f t="shared" si="41"/>
        <v>100</v>
      </c>
      <c r="DY13" s="10">
        <f t="shared" si="90"/>
        <v>221060.65037174139</v>
      </c>
      <c r="DZ13" s="10">
        <f t="shared" si="42"/>
        <v>100</v>
      </c>
      <c r="EA13" s="97"/>
      <c r="EB13" s="10">
        <f t="shared" si="43"/>
        <v>0</v>
      </c>
      <c r="EC13" s="10">
        <f t="shared" si="91"/>
        <v>0</v>
      </c>
      <c r="ED13" s="10">
        <f t="shared" si="44"/>
        <v>0</v>
      </c>
      <c r="EE13" s="97"/>
      <c r="EF13" s="10">
        <f t="shared" si="45"/>
        <v>0</v>
      </c>
      <c r="EG13" s="10">
        <f t="shared" si="92"/>
        <v>0</v>
      </c>
      <c r="EH13" s="10">
        <f t="shared" si="46"/>
        <v>0</v>
      </c>
      <c r="EI13" s="97"/>
      <c r="EJ13" s="16">
        <f t="shared" si="47"/>
        <v>0</v>
      </c>
      <c r="EK13" s="10">
        <f t="shared" si="93"/>
        <v>0</v>
      </c>
      <c r="EL13" s="10">
        <f t="shared" si="48"/>
        <v>0</v>
      </c>
      <c r="EM13" s="10">
        <f t="shared" si="94"/>
        <v>0</v>
      </c>
      <c r="EN13" s="10">
        <f t="shared" si="49"/>
        <v>0</v>
      </c>
      <c r="EO13" s="10">
        <f t="shared" si="95"/>
        <v>0</v>
      </c>
      <c r="EP13" s="10">
        <f t="shared" si="50"/>
        <v>0</v>
      </c>
      <c r="EQ13" s="97"/>
      <c r="ER13" s="10">
        <f t="shared" si="51"/>
        <v>0</v>
      </c>
      <c r="ES13" s="10">
        <f t="shared" si="96"/>
        <v>0</v>
      </c>
      <c r="ET13" s="10">
        <f t="shared" si="52"/>
        <v>0</v>
      </c>
      <c r="EU13" s="10">
        <f t="shared" si="97"/>
        <v>56491.334858279457</v>
      </c>
      <c r="EV13" s="10">
        <f t="shared" si="98"/>
        <v>221060.65037174139</v>
      </c>
      <c r="EW13" s="10">
        <f t="shared" si="53"/>
        <v>1.117312793874198</v>
      </c>
      <c r="EX13" s="10">
        <f t="shared" si="54"/>
        <v>1.1782674646043301</v>
      </c>
      <c r="EY13" s="489">
        <f t="shared" si="99"/>
        <v>0.89500451930974068</v>
      </c>
      <c r="EZ13" s="490">
        <f t="shared" si="100"/>
        <v>0.84870373666458365</v>
      </c>
      <c r="FA13" s="5" t="s">
        <v>434</v>
      </c>
    </row>
    <row r="14" spans="1:157">
      <c r="A14" s="17">
        <f>+Chem!A13</f>
        <v>45966</v>
      </c>
      <c r="B14" s="5" t="str">
        <f>+Chem!B13</f>
        <v>Toilet/Towel</v>
      </c>
      <c r="C14" s="5" t="str">
        <f>+Chem!C13</f>
        <v>15/13,5/29/20</v>
      </c>
      <c r="D14" s="8">
        <f>+Chem!D13</f>
        <v>30.387999999999998</v>
      </c>
      <c r="E14" s="6">
        <f>+Chem!E13</f>
        <v>28.984999999999999</v>
      </c>
      <c r="F14" s="6">
        <f t="shared" si="55"/>
        <v>216.60000000000002</v>
      </c>
      <c r="G14" s="98"/>
      <c r="H14" s="88">
        <f t="shared" si="0"/>
        <v>0</v>
      </c>
      <c r="I14" s="8">
        <f t="shared" si="56"/>
        <v>0</v>
      </c>
      <c r="J14" s="88">
        <f t="shared" si="1"/>
        <v>0</v>
      </c>
      <c r="K14" s="98"/>
      <c r="L14" s="88">
        <f t="shared" si="2"/>
        <v>0</v>
      </c>
      <c r="M14" s="88">
        <f t="shared" si="57"/>
        <v>0</v>
      </c>
      <c r="N14" s="88">
        <f t="shared" si="3"/>
        <v>0</v>
      </c>
      <c r="O14" s="97"/>
      <c r="P14" s="88">
        <f t="shared" si="4"/>
        <v>0</v>
      </c>
      <c r="Q14" s="88">
        <f t="shared" si="58"/>
        <v>0</v>
      </c>
      <c r="R14" s="88">
        <f t="shared" si="5"/>
        <v>0</v>
      </c>
      <c r="S14" s="98"/>
      <c r="T14" s="88">
        <f t="shared" si="6"/>
        <v>0</v>
      </c>
      <c r="U14" s="88">
        <f t="shared" si="59"/>
        <v>0</v>
      </c>
      <c r="V14" s="88">
        <f t="shared" si="7"/>
        <v>0</v>
      </c>
      <c r="W14" s="10"/>
      <c r="X14" s="88">
        <f t="shared" si="8"/>
        <v>0</v>
      </c>
      <c r="Y14" s="88">
        <f t="shared" si="60"/>
        <v>0</v>
      </c>
      <c r="Z14" s="88">
        <f t="shared" si="9"/>
        <v>0</v>
      </c>
      <c r="AA14" s="98"/>
      <c r="AB14" s="88">
        <f t="shared" si="10"/>
        <v>0</v>
      </c>
      <c r="AC14" s="88">
        <f t="shared" si="61"/>
        <v>0</v>
      </c>
      <c r="AD14" s="88">
        <f t="shared" si="11"/>
        <v>0</v>
      </c>
      <c r="AE14" s="98"/>
      <c r="AF14" s="88">
        <f t="shared" si="12"/>
        <v>0</v>
      </c>
      <c r="AG14" s="88">
        <f t="shared" si="62"/>
        <v>0</v>
      </c>
      <c r="AH14" s="88">
        <f t="shared" si="13"/>
        <v>0</v>
      </c>
      <c r="AI14" s="98"/>
      <c r="AJ14" s="88">
        <f t="shared" si="14"/>
        <v>0</v>
      </c>
      <c r="AK14" s="88">
        <f t="shared" si="63"/>
        <v>0</v>
      </c>
      <c r="AL14" s="88">
        <f t="shared" si="15"/>
        <v>0</v>
      </c>
      <c r="AM14" s="98"/>
      <c r="AN14" s="88">
        <f t="shared" si="16"/>
        <v>0</v>
      </c>
      <c r="AO14" s="88">
        <f t="shared" si="64"/>
        <v>0</v>
      </c>
      <c r="AP14" s="88">
        <f t="shared" si="17"/>
        <v>0</v>
      </c>
      <c r="AQ14" s="98"/>
      <c r="AR14" s="88">
        <f t="shared" si="18"/>
        <v>0</v>
      </c>
      <c r="AS14" s="88">
        <f t="shared" si="65"/>
        <v>0</v>
      </c>
      <c r="AT14" s="88">
        <f t="shared" si="19"/>
        <v>0</v>
      </c>
      <c r="AU14" s="252"/>
      <c r="AV14" s="88">
        <f t="shared" si="20"/>
        <v>0</v>
      </c>
      <c r="AW14" s="8">
        <f t="shared" si="66"/>
        <v>0</v>
      </c>
      <c r="AX14" s="88">
        <f t="shared" si="21"/>
        <v>0</v>
      </c>
      <c r="AY14" s="98"/>
      <c r="AZ14" s="88">
        <f t="shared" si="22"/>
        <v>0</v>
      </c>
      <c r="BA14" s="88">
        <f t="shared" si="67"/>
        <v>0</v>
      </c>
      <c r="BB14" s="88">
        <f t="shared" si="23"/>
        <v>0</v>
      </c>
      <c r="BC14" s="98"/>
      <c r="BD14" s="88">
        <f t="shared" si="24"/>
        <v>0</v>
      </c>
      <c r="BE14" s="88">
        <f t="shared" si="68"/>
        <v>0</v>
      </c>
      <c r="BF14" s="88">
        <f t="shared" si="25"/>
        <v>0</v>
      </c>
      <c r="BG14" s="98"/>
      <c r="BH14" s="88">
        <f t="shared" si="26"/>
        <v>0</v>
      </c>
      <c r="BI14" s="88">
        <f t="shared" si="69"/>
        <v>0</v>
      </c>
      <c r="BJ14" s="88">
        <f t="shared" si="27"/>
        <v>0</v>
      </c>
      <c r="BK14" s="98"/>
      <c r="BL14" s="88"/>
      <c r="BM14" s="88"/>
      <c r="BN14" s="88"/>
      <c r="BO14" s="98"/>
      <c r="BP14" s="88"/>
      <c r="BQ14" s="88"/>
      <c r="BR14" s="88"/>
      <c r="BS14" s="98"/>
      <c r="BT14" s="88"/>
      <c r="BU14" s="88"/>
      <c r="BV14" s="88"/>
      <c r="BW14" s="88">
        <f t="shared" si="70"/>
        <v>0</v>
      </c>
      <c r="BX14" s="88">
        <f t="shared" si="28"/>
        <v>0</v>
      </c>
      <c r="BY14" s="88">
        <f t="shared" si="71"/>
        <v>0</v>
      </c>
      <c r="BZ14" s="88">
        <f t="shared" si="29"/>
        <v>0</v>
      </c>
      <c r="CA14" s="88"/>
      <c r="CB14" s="10">
        <f t="shared" si="72"/>
        <v>0</v>
      </c>
      <c r="CC14" s="10">
        <f t="shared" si="101"/>
        <v>0</v>
      </c>
      <c r="CD14" s="10">
        <f t="shared" si="73"/>
        <v>0</v>
      </c>
      <c r="CE14" s="10"/>
      <c r="CF14" s="10">
        <f t="shared" si="102"/>
        <v>0</v>
      </c>
      <c r="CG14" s="10">
        <f t="shared" si="103"/>
        <v>0</v>
      </c>
      <c r="CH14" s="10">
        <f t="shared" si="104"/>
        <v>0</v>
      </c>
      <c r="CI14" s="10">
        <f t="shared" si="74"/>
        <v>0</v>
      </c>
      <c r="CJ14" s="10">
        <f t="shared" si="105"/>
        <v>0</v>
      </c>
      <c r="CK14" s="10">
        <f t="shared" si="106"/>
        <v>0</v>
      </c>
      <c r="CL14" s="10">
        <f t="shared" si="107"/>
        <v>0</v>
      </c>
      <c r="CM14" s="97">
        <v>1503.8086071005093</v>
      </c>
      <c r="CN14" s="10">
        <f t="shared" si="75"/>
        <v>5.5903329284624252</v>
      </c>
      <c r="CO14" s="10">
        <f t="shared" si="76"/>
        <v>1503.8086071005093</v>
      </c>
      <c r="CP14" s="10">
        <f t="shared" si="77"/>
        <v>0.60647026982831842</v>
      </c>
      <c r="CQ14" s="98">
        <v>7784.1992606542517</v>
      </c>
      <c r="CR14" s="88">
        <f t="shared" si="30"/>
        <v>28.937369584851602</v>
      </c>
      <c r="CS14" s="88">
        <f t="shared" si="78"/>
        <v>75898.076268191173</v>
      </c>
      <c r="CT14" s="88">
        <f t="shared" si="31"/>
        <v>30.608899680771483</v>
      </c>
      <c r="CU14" s="98">
        <v>8101.2976215386761</v>
      </c>
      <c r="CV14" s="88">
        <f t="shared" si="32"/>
        <v>30.116166806814288</v>
      </c>
      <c r="CW14" s="88">
        <f t="shared" si="79"/>
        <v>62013.533810082132</v>
      </c>
      <c r="CX14" s="88">
        <f t="shared" si="33"/>
        <v>25.009409046622366</v>
      </c>
      <c r="CY14" s="97">
        <v>1434.6920555206809</v>
      </c>
      <c r="CZ14" s="88">
        <f t="shared" si="34"/>
        <v>5.3333956211654057</v>
      </c>
      <c r="DA14" s="88">
        <f t="shared" si="80"/>
        <v>18320.577335991977</v>
      </c>
      <c r="DB14" s="88">
        <f t="shared" si="35"/>
        <v>7.3884970653230315</v>
      </c>
      <c r="DC14" s="98">
        <v>8076.1643300551023</v>
      </c>
      <c r="DD14" s="88">
        <f t="shared" si="36"/>
        <v>30.022735058706278</v>
      </c>
      <c r="DE14" s="88">
        <f t="shared" si="81"/>
        <v>45932.232089754187</v>
      </c>
      <c r="DF14" s="88">
        <f t="shared" si="37"/>
        <v>18.523988397034312</v>
      </c>
      <c r="DG14" s="98"/>
      <c r="DH14" s="88">
        <f t="shared" si="38"/>
        <v>0</v>
      </c>
      <c r="DI14" s="88">
        <f t="shared" si="82"/>
        <v>0</v>
      </c>
      <c r="DJ14" s="88">
        <f t="shared" si="39"/>
        <v>0</v>
      </c>
      <c r="DK14" s="98"/>
      <c r="DL14" s="10">
        <f t="shared" si="83"/>
        <v>0</v>
      </c>
      <c r="DM14" s="88">
        <f t="shared" si="84"/>
        <v>0</v>
      </c>
      <c r="DN14" s="10">
        <f t="shared" si="85"/>
        <v>0</v>
      </c>
      <c r="DO14" s="492"/>
      <c r="DP14" s="88">
        <f t="shared" si="86"/>
        <v>0</v>
      </c>
      <c r="DQ14" s="88">
        <f t="shared" si="87"/>
        <v>0</v>
      </c>
      <c r="DR14" s="88">
        <f t="shared" si="88"/>
        <v>0</v>
      </c>
      <c r="DS14" s="98"/>
      <c r="DT14" s="10">
        <f t="shared" si="108"/>
        <v>0</v>
      </c>
      <c r="DU14" s="10">
        <f t="shared" si="89"/>
        <v>0</v>
      </c>
      <c r="DV14" s="10">
        <f t="shared" si="109"/>
        <v>0</v>
      </c>
      <c r="DW14" s="10">
        <f t="shared" si="40"/>
        <v>26900.16187486922</v>
      </c>
      <c r="DX14" s="88">
        <f t="shared" si="41"/>
        <v>100</v>
      </c>
      <c r="DY14" s="88">
        <f t="shared" si="90"/>
        <v>247960.81224661061</v>
      </c>
      <c r="DZ14" s="88">
        <f t="shared" si="42"/>
        <v>100</v>
      </c>
      <c r="EA14" s="98"/>
      <c r="EB14" s="88">
        <f t="shared" si="43"/>
        <v>0</v>
      </c>
      <c r="EC14" s="88">
        <f t="shared" si="91"/>
        <v>0</v>
      </c>
      <c r="ED14" s="88">
        <f t="shared" si="44"/>
        <v>0</v>
      </c>
      <c r="EE14" s="98"/>
      <c r="EF14" s="88">
        <f t="shared" si="45"/>
        <v>0</v>
      </c>
      <c r="EG14" s="88">
        <f t="shared" si="92"/>
        <v>0</v>
      </c>
      <c r="EH14" s="88">
        <f t="shared" si="46"/>
        <v>0</v>
      </c>
      <c r="EI14" s="98"/>
      <c r="EJ14" s="89">
        <f t="shared" si="47"/>
        <v>0</v>
      </c>
      <c r="EK14" s="88">
        <f t="shared" si="93"/>
        <v>0</v>
      </c>
      <c r="EL14" s="88">
        <f t="shared" si="48"/>
        <v>0</v>
      </c>
      <c r="EM14" s="88">
        <f t="shared" si="94"/>
        <v>0</v>
      </c>
      <c r="EN14" s="88">
        <f t="shared" si="49"/>
        <v>0</v>
      </c>
      <c r="EO14" s="88">
        <f t="shared" si="95"/>
        <v>0</v>
      </c>
      <c r="EP14" s="88">
        <f t="shared" si="50"/>
        <v>0</v>
      </c>
      <c r="EQ14" s="98"/>
      <c r="ER14" s="88">
        <f t="shared" si="51"/>
        <v>0</v>
      </c>
      <c r="ES14" s="88">
        <f t="shared" si="96"/>
        <v>0</v>
      </c>
      <c r="ET14" s="88">
        <f t="shared" si="52"/>
        <v>0</v>
      </c>
      <c r="EU14" s="10">
        <f t="shared" si="97"/>
        <v>26900.16187486922</v>
      </c>
      <c r="EV14" s="88">
        <f t="shared" si="98"/>
        <v>247960.81224661061</v>
      </c>
      <c r="EW14" s="88">
        <f t="shared" si="53"/>
        <v>0.92807182593994209</v>
      </c>
      <c r="EX14" s="88">
        <f t="shared" si="54"/>
        <v>1.1447867601413231</v>
      </c>
      <c r="EY14" s="489">
        <f t="shared" si="99"/>
        <v>1.0775028096421415</v>
      </c>
      <c r="EZ14" s="490">
        <f t="shared" si="100"/>
        <v>0.87352512696473772</v>
      </c>
      <c r="FA14" s="5" t="s">
        <v>434</v>
      </c>
    </row>
    <row r="15" spans="1:157">
      <c r="A15" s="17">
        <f>+Chem!A14</f>
        <v>45967</v>
      </c>
      <c r="B15" s="5" t="str">
        <f>+Chem!B14</f>
        <v>Towel</v>
      </c>
      <c r="C15" s="5" t="str">
        <f>+Chem!C14</f>
        <v>20</v>
      </c>
      <c r="D15" s="8">
        <f>+Chem!D14</f>
        <v>58.853999999999999</v>
      </c>
      <c r="E15" s="6">
        <f>+Chem!E14</f>
        <v>56.119</v>
      </c>
      <c r="F15" s="6">
        <f t="shared" si="55"/>
        <v>272.71900000000005</v>
      </c>
      <c r="G15" s="98"/>
      <c r="H15" s="88">
        <f t="shared" si="0"/>
        <v>0</v>
      </c>
      <c r="I15" s="8">
        <f t="shared" si="56"/>
        <v>0</v>
      </c>
      <c r="J15" s="88">
        <f t="shared" si="1"/>
        <v>0</v>
      </c>
      <c r="K15" s="98"/>
      <c r="L15" s="88">
        <f t="shared" si="2"/>
        <v>0</v>
      </c>
      <c r="M15" s="88">
        <f t="shared" si="57"/>
        <v>0</v>
      </c>
      <c r="N15" s="88">
        <f t="shared" si="3"/>
        <v>0</v>
      </c>
      <c r="O15" s="97"/>
      <c r="P15" s="88">
        <f t="shared" si="4"/>
        <v>0</v>
      </c>
      <c r="Q15" s="88">
        <f t="shared" si="58"/>
        <v>0</v>
      </c>
      <c r="R15" s="88">
        <f t="shared" si="5"/>
        <v>0</v>
      </c>
      <c r="S15" s="98"/>
      <c r="T15" s="88">
        <f t="shared" si="6"/>
        <v>0</v>
      </c>
      <c r="U15" s="88">
        <f t="shared" si="59"/>
        <v>0</v>
      </c>
      <c r="V15" s="88">
        <f t="shared" si="7"/>
        <v>0</v>
      </c>
      <c r="W15" s="10"/>
      <c r="X15" s="88">
        <f t="shared" si="8"/>
        <v>0</v>
      </c>
      <c r="Y15" s="88">
        <f t="shared" si="60"/>
        <v>0</v>
      </c>
      <c r="Z15" s="88">
        <f t="shared" si="9"/>
        <v>0</v>
      </c>
      <c r="AA15" s="98"/>
      <c r="AB15" s="88">
        <f t="shared" si="10"/>
        <v>0</v>
      </c>
      <c r="AC15" s="88">
        <f t="shared" si="61"/>
        <v>0</v>
      </c>
      <c r="AD15" s="88">
        <f t="shared" si="11"/>
        <v>0</v>
      </c>
      <c r="AE15" s="98"/>
      <c r="AF15" s="88">
        <f t="shared" si="12"/>
        <v>0</v>
      </c>
      <c r="AG15" s="88">
        <f t="shared" si="62"/>
        <v>0</v>
      </c>
      <c r="AH15" s="88">
        <f t="shared" si="13"/>
        <v>0</v>
      </c>
      <c r="AI15" s="98"/>
      <c r="AJ15" s="88">
        <f t="shared" si="14"/>
        <v>0</v>
      </c>
      <c r="AK15" s="88">
        <f t="shared" si="63"/>
        <v>0</v>
      </c>
      <c r="AL15" s="88">
        <f t="shared" si="15"/>
        <v>0</v>
      </c>
      <c r="AM15" s="98"/>
      <c r="AN15" s="88">
        <f t="shared" si="16"/>
        <v>0</v>
      </c>
      <c r="AO15" s="88">
        <f t="shared" si="64"/>
        <v>0</v>
      </c>
      <c r="AP15" s="88">
        <f t="shared" si="17"/>
        <v>0</v>
      </c>
      <c r="AQ15" s="98"/>
      <c r="AR15" s="88">
        <f t="shared" si="18"/>
        <v>0</v>
      </c>
      <c r="AS15" s="88">
        <f t="shared" si="65"/>
        <v>0</v>
      </c>
      <c r="AT15" s="88">
        <f t="shared" si="19"/>
        <v>0</v>
      </c>
      <c r="AU15" s="252"/>
      <c r="AV15" s="88">
        <f t="shared" si="20"/>
        <v>0</v>
      </c>
      <c r="AW15" s="8">
        <f t="shared" si="66"/>
        <v>0</v>
      </c>
      <c r="AX15" s="88">
        <f t="shared" si="21"/>
        <v>0</v>
      </c>
      <c r="AY15" s="98"/>
      <c r="AZ15" s="88">
        <f t="shared" si="22"/>
        <v>0</v>
      </c>
      <c r="BA15" s="88">
        <f t="shared" si="67"/>
        <v>0</v>
      </c>
      <c r="BB15" s="88">
        <f t="shared" si="23"/>
        <v>0</v>
      </c>
      <c r="BC15" s="98"/>
      <c r="BD15" s="88">
        <f t="shared" si="24"/>
        <v>0</v>
      </c>
      <c r="BE15" s="88">
        <f t="shared" si="68"/>
        <v>0</v>
      </c>
      <c r="BF15" s="88">
        <f t="shared" si="25"/>
        <v>0</v>
      </c>
      <c r="BG15" s="98"/>
      <c r="BH15" s="88">
        <f t="shared" si="26"/>
        <v>0</v>
      </c>
      <c r="BI15" s="88">
        <f t="shared" si="69"/>
        <v>0</v>
      </c>
      <c r="BJ15" s="88">
        <f t="shared" si="27"/>
        <v>0</v>
      </c>
      <c r="BK15" s="98"/>
      <c r="BL15" s="88"/>
      <c r="BM15" s="88"/>
      <c r="BN15" s="88"/>
      <c r="BO15" s="98"/>
      <c r="BP15" s="88"/>
      <c r="BQ15" s="88"/>
      <c r="BR15" s="88"/>
      <c r="BS15" s="98"/>
      <c r="BT15" s="88"/>
      <c r="BU15" s="88"/>
      <c r="BV15" s="88"/>
      <c r="BW15" s="88">
        <f t="shared" si="70"/>
        <v>0</v>
      </c>
      <c r="BX15" s="88">
        <f t="shared" si="28"/>
        <v>0</v>
      </c>
      <c r="BY15" s="88">
        <f t="shared" si="71"/>
        <v>0</v>
      </c>
      <c r="BZ15" s="88">
        <f t="shared" si="29"/>
        <v>0</v>
      </c>
      <c r="CA15" s="88"/>
      <c r="CB15" s="10">
        <f t="shared" si="72"/>
        <v>0</v>
      </c>
      <c r="CC15" s="10">
        <f t="shared" si="101"/>
        <v>0</v>
      </c>
      <c r="CD15" s="10">
        <f t="shared" si="73"/>
        <v>0</v>
      </c>
      <c r="CE15" s="10"/>
      <c r="CF15" s="10">
        <f t="shared" si="102"/>
        <v>0</v>
      </c>
      <c r="CG15" s="10">
        <f t="shared" si="103"/>
        <v>0</v>
      </c>
      <c r="CH15" s="10">
        <f t="shared" si="104"/>
        <v>0</v>
      </c>
      <c r="CI15" s="10">
        <f t="shared" si="74"/>
        <v>0</v>
      </c>
      <c r="CJ15" s="10">
        <f t="shared" si="105"/>
        <v>0</v>
      </c>
      <c r="CK15" s="10">
        <f t="shared" si="106"/>
        <v>0</v>
      </c>
      <c r="CL15" s="10">
        <f t="shared" si="107"/>
        <v>0</v>
      </c>
      <c r="CM15" s="97">
        <v>3193.3440962142308</v>
      </c>
      <c r="CN15" s="10">
        <f t="shared" si="75"/>
        <v>5.3588843378193882</v>
      </c>
      <c r="CO15" s="10">
        <f t="shared" si="76"/>
        <v>3193.3440962142308</v>
      </c>
      <c r="CP15" s="10">
        <f t="shared" si="77"/>
        <v>1.0383152607726482</v>
      </c>
      <c r="CQ15" s="98">
        <v>17765.337401504828</v>
      </c>
      <c r="CR15" s="88">
        <f t="shared" si="30"/>
        <v>29.812755997659451</v>
      </c>
      <c r="CS15" s="88">
        <f t="shared" si="78"/>
        <v>93663.413669696005</v>
      </c>
      <c r="CT15" s="88">
        <f t="shared" si="31"/>
        <v>30.454642174202618</v>
      </c>
      <c r="CU15" s="98">
        <v>17718.846495645477</v>
      </c>
      <c r="CV15" s="88">
        <f t="shared" si="32"/>
        <v>29.734737663350892</v>
      </c>
      <c r="CW15" s="88">
        <f t="shared" si="79"/>
        <v>79732.380305727609</v>
      </c>
      <c r="CX15" s="88">
        <f t="shared" si="33"/>
        <v>25.924969171756807</v>
      </c>
      <c r="CY15" s="97">
        <v>12378.203685052433</v>
      </c>
      <c r="CZ15" s="88">
        <f t="shared" si="34"/>
        <v>20.772381509654771</v>
      </c>
      <c r="DA15" s="88">
        <f t="shared" si="80"/>
        <v>30698.781021044408</v>
      </c>
      <c r="DB15" s="88">
        <f t="shared" si="35"/>
        <v>9.9817031490770365</v>
      </c>
      <c r="DC15" s="98">
        <v>8533.9869068072749</v>
      </c>
      <c r="DD15" s="88">
        <f t="shared" si="36"/>
        <v>14.321240491515505</v>
      </c>
      <c r="DE15" s="88">
        <f t="shared" si="81"/>
        <v>54466.21899656146</v>
      </c>
      <c r="DF15" s="88">
        <f t="shared" si="37"/>
        <v>17.709681348702652</v>
      </c>
      <c r="DG15" s="98"/>
      <c r="DH15" s="88">
        <f t="shared" si="38"/>
        <v>0</v>
      </c>
      <c r="DI15" s="88">
        <f t="shared" si="82"/>
        <v>0</v>
      </c>
      <c r="DJ15" s="88">
        <f t="shared" si="39"/>
        <v>0</v>
      </c>
      <c r="DK15" s="98"/>
      <c r="DL15" s="10">
        <f t="shared" si="83"/>
        <v>0</v>
      </c>
      <c r="DM15" s="88">
        <f t="shared" si="84"/>
        <v>0</v>
      </c>
      <c r="DN15" s="10">
        <f t="shared" si="85"/>
        <v>0</v>
      </c>
      <c r="DO15" s="492"/>
      <c r="DP15" s="88">
        <f t="shared" si="86"/>
        <v>0</v>
      </c>
      <c r="DQ15" s="88">
        <f t="shared" si="87"/>
        <v>0</v>
      </c>
      <c r="DR15" s="88">
        <f t="shared" si="88"/>
        <v>0</v>
      </c>
      <c r="DS15" s="98"/>
      <c r="DT15" s="10">
        <f t="shared" si="108"/>
        <v>0</v>
      </c>
      <c r="DU15" s="10">
        <f t="shared" si="89"/>
        <v>0</v>
      </c>
      <c r="DV15" s="10">
        <f t="shared" si="109"/>
        <v>0</v>
      </c>
      <c r="DW15" s="10">
        <f t="shared" si="40"/>
        <v>59589.71858522424</v>
      </c>
      <c r="DX15" s="88">
        <f t="shared" si="41"/>
        <v>100</v>
      </c>
      <c r="DY15" s="88">
        <f t="shared" si="90"/>
        <v>307550.53083183488</v>
      </c>
      <c r="DZ15" s="88">
        <f t="shared" si="42"/>
        <v>100</v>
      </c>
      <c r="EA15" s="98"/>
      <c r="EB15" s="88">
        <f t="shared" si="43"/>
        <v>0</v>
      </c>
      <c r="EC15" s="88">
        <f t="shared" si="91"/>
        <v>0</v>
      </c>
      <c r="ED15" s="88">
        <f t="shared" si="44"/>
        <v>0</v>
      </c>
      <c r="EE15" s="98"/>
      <c r="EF15" s="88">
        <f t="shared" si="45"/>
        <v>0</v>
      </c>
      <c r="EG15" s="88">
        <f t="shared" si="92"/>
        <v>0</v>
      </c>
      <c r="EH15" s="88">
        <f t="shared" si="46"/>
        <v>0</v>
      </c>
      <c r="EI15" s="98"/>
      <c r="EJ15" s="89">
        <f t="shared" si="47"/>
        <v>0</v>
      </c>
      <c r="EK15" s="88">
        <f t="shared" si="93"/>
        <v>0</v>
      </c>
      <c r="EL15" s="88">
        <f t="shared" si="48"/>
        <v>0</v>
      </c>
      <c r="EM15" s="88">
        <f t="shared" si="94"/>
        <v>0</v>
      </c>
      <c r="EN15" s="88">
        <f t="shared" si="49"/>
        <v>0</v>
      </c>
      <c r="EO15" s="88">
        <f t="shared" si="95"/>
        <v>0</v>
      </c>
      <c r="EP15" s="88">
        <f t="shared" si="50"/>
        <v>0</v>
      </c>
      <c r="EQ15" s="98"/>
      <c r="ER15" s="88">
        <f t="shared" si="51"/>
        <v>0</v>
      </c>
      <c r="ES15" s="88">
        <f t="shared" si="96"/>
        <v>0</v>
      </c>
      <c r="ET15" s="88">
        <f t="shared" si="52"/>
        <v>0</v>
      </c>
      <c r="EU15" s="10">
        <f t="shared" si="97"/>
        <v>59589.71858522424</v>
      </c>
      <c r="EV15" s="88">
        <f t="shared" si="98"/>
        <v>307550.53083183488</v>
      </c>
      <c r="EW15" s="88">
        <f t="shared" si="53"/>
        <v>1.061845695490373</v>
      </c>
      <c r="EX15" s="88">
        <f t="shared" si="54"/>
        <v>1.1277194872078395</v>
      </c>
      <c r="EY15" s="489">
        <f t="shared" si="99"/>
        <v>0.94175641926785614</v>
      </c>
      <c r="EZ15" s="490">
        <f t="shared" si="100"/>
        <v>0.88674533990357407</v>
      </c>
      <c r="FA15" s="5" t="s">
        <v>434</v>
      </c>
    </row>
    <row r="16" spans="1:157">
      <c r="A16" s="17">
        <f>+Chem!A15</f>
        <v>45968</v>
      </c>
      <c r="B16" s="5" t="str">
        <f>+Chem!B15</f>
        <v>Towel</v>
      </c>
      <c r="C16" s="5" t="str">
        <f>+Chem!C15</f>
        <v>20/19</v>
      </c>
      <c r="D16" s="8">
        <f>+Chem!D15</f>
        <v>58.433000000000007</v>
      </c>
      <c r="E16" s="6">
        <f>+Chem!E15</f>
        <v>56.67</v>
      </c>
      <c r="F16" s="6">
        <f t="shared" si="55"/>
        <v>329.38900000000007</v>
      </c>
      <c r="G16" s="98"/>
      <c r="H16" s="88">
        <f t="shared" si="0"/>
        <v>0</v>
      </c>
      <c r="I16" s="8">
        <f t="shared" si="56"/>
        <v>0</v>
      </c>
      <c r="J16" s="88">
        <f t="shared" si="1"/>
        <v>0</v>
      </c>
      <c r="K16" s="98"/>
      <c r="L16" s="88">
        <f t="shared" si="2"/>
        <v>0</v>
      </c>
      <c r="M16" s="88">
        <f t="shared" si="57"/>
        <v>0</v>
      </c>
      <c r="N16" s="88">
        <f t="shared" si="3"/>
        <v>0</v>
      </c>
      <c r="O16" s="97"/>
      <c r="P16" s="88">
        <f t="shared" si="4"/>
        <v>0</v>
      </c>
      <c r="Q16" s="88">
        <f t="shared" si="58"/>
        <v>0</v>
      </c>
      <c r="R16" s="88">
        <f t="shared" si="5"/>
        <v>0</v>
      </c>
      <c r="S16" s="98"/>
      <c r="T16" s="88">
        <f t="shared" si="6"/>
        <v>0</v>
      </c>
      <c r="U16" s="88">
        <f t="shared" si="59"/>
        <v>0</v>
      </c>
      <c r="V16" s="88">
        <f t="shared" si="7"/>
        <v>0</v>
      </c>
      <c r="W16" s="10"/>
      <c r="X16" s="88">
        <f t="shared" si="8"/>
        <v>0</v>
      </c>
      <c r="Y16" s="88">
        <f t="shared" si="60"/>
        <v>0</v>
      </c>
      <c r="Z16" s="88">
        <f t="shared" si="9"/>
        <v>0</v>
      </c>
      <c r="AA16" s="98"/>
      <c r="AB16" s="88">
        <f t="shared" si="10"/>
        <v>0</v>
      </c>
      <c r="AC16" s="88">
        <f t="shared" si="61"/>
        <v>0</v>
      </c>
      <c r="AD16" s="88">
        <f t="shared" si="11"/>
        <v>0</v>
      </c>
      <c r="AE16" s="98"/>
      <c r="AF16" s="88">
        <f t="shared" si="12"/>
        <v>0</v>
      </c>
      <c r="AG16" s="88">
        <f t="shared" si="62"/>
        <v>0</v>
      </c>
      <c r="AH16" s="88">
        <f t="shared" si="13"/>
        <v>0</v>
      </c>
      <c r="AI16" s="98"/>
      <c r="AJ16" s="88">
        <f t="shared" si="14"/>
        <v>0</v>
      </c>
      <c r="AK16" s="88">
        <f t="shared" si="63"/>
        <v>0</v>
      </c>
      <c r="AL16" s="88">
        <f t="shared" si="15"/>
        <v>0</v>
      </c>
      <c r="AM16" s="98"/>
      <c r="AN16" s="88">
        <f t="shared" si="16"/>
        <v>0</v>
      </c>
      <c r="AO16" s="88">
        <f t="shared" si="64"/>
        <v>0</v>
      </c>
      <c r="AP16" s="88">
        <f t="shared" si="17"/>
        <v>0</v>
      </c>
      <c r="AQ16" s="98"/>
      <c r="AR16" s="88">
        <f t="shared" si="18"/>
        <v>0</v>
      </c>
      <c r="AS16" s="88">
        <f t="shared" si="65"/>
        <v>0</v>
      </c>
      <c r="AT16" s="88">
        <f t="shared" si="19"/>
        <v>0</v>
      </c>
      <c r="AU16" s="252"/>
      <c r="AV16" s="88">
        <f t="shared" si="20"/>
        <v>0</v>
      </c>
      <c r="AW16" s="8">
        <f t="shared" si="66"/>
        <v>0</v>
      </c>
      <c r="AX16" s="88">
        <f t="shared" si="21"/>
        <v>0</v>
      </c>
      <c r="AY16" s="98"/>
      <c r="AZ16" s="88">
        <f t="shared" si="22"/>
        <v>0</v>
      </c>
      <c r="BA16" s="88">
        <f t="shared" si="67"/>
        <v>0</v>
      </c>
      <c r="BB16" s="88">
        <f t="shared" si="23"/>
        <v>0</v>
      </c>
      <c r="BC16" s="98"/>
      <c r="BD16" s="88">
        <f t="shared" si="24"/>
        <v>0</v>
      </c>
      <c r="BE16" s="88">
        <f t="shared" si="68"/>
        <v>0</v>
      </c>
      <c r="BF16" s="88">
        <f t="shared" si="25"/>
        <v>0</v>
      </c>
      <c r="BG16" s="98"/>
      <c r="BH16" s="88">
        <f t="shared" si="26"/>
        <v>0</v>
      </c>
      <c r="BI16" s="88">
        <f t="shared" si="69"/>
        <v>0</v>
      </c>
      <c r="BJ16" s="88">
        <f t="shared" si="27"/>
        <v>0</v>
      </c>
      <c r="BK16" s="98"/>
      <c r="BL16" s="88"/>
      <c r="BM16" s="88"/>
      <c r="BN16" s="88"/>
      <c r="BO16" s="98"/>
      <c r="BP16" s="88"/>
      <c r="BQ16" s="88"/>
      <c r="BR16" s="88"/>
      <c r="BS16" s="98"/>
      <c r="BT16" s="88"/>
      <c r="BU16" s="88"/>
      <c r="BV16" s="88"/>
      <c r="BW16" s="88">
        <f t="shared" si="70"/>
        <v>0</v>
      </c>
      <c r="BX16" s="88">
        <f t="shared" si="28"/>
        <v>0</v>
      </c>
      <c r="BY16" s="88">
        <f t="shared" si="71"/>
        <v>0</v>
      </c>
      <c r="BZ16" s="88">
        <f t="shared" si="29"/>
        <v>0</v>
      </c>
      <c r="CA16" s="88"/>
      <c r="CB16" s="10">
        <f t="shared" si="72"/>
        <v>0</v>
      </c>
      <c r="CC16" s="10">
        <f t="shared" si="101"/>
        <v>0</v>
      </c>
      <c r="CD16" s="10">
        <f t="shared" si="73"/>
        <v>0</v>
      </c>
      <c r="CE16" s="10"/>
      <c r="CF16" s="10">
        <f t="shared" si="102"/>
        <v>0</v>
      </c>
      <c r="CG16" s="10">
        <f t="shared" si="103"/>
        <v>0</v>
      </c>
      <c r="CH16" s="10">
        <f t="shared" si="104"/>
        <v>0</v>
      </c>
      <c r="CI16" s="10">
        <f t="shared" si="74"/>
        <v>0</v>
      </c>
      <c r="CJ16" s="10">
        <f t="shared" si="105"/>
        <v>0</v>
      </c>
      <c r="CK16" s="10">
        <f t="shared" si="106"/>
        <v>0</v>
      </c>
      <c r="CL16" s="10">
        <f t="shared" si="107"/>
        <v>0</v>
      </c>
      <c r="CM16" s="97">
        <v>3153.5791719416707</v>
      </c>
      <c r="CN16" s="10">
        <f t="shared" si="75"/>
        <v>5.4078180793084005</v>
      </c>
      <c r="CO16" s="10">
        <f t="shared" si="76"/>
        <v>3153.5791719416707</v>
      </c>
      <c r="CP16" s="10">
        <f t="shared" si="77"/>
        <v>0.86194989767768515</v>
      </c>
      <c r="CQ16" s="98">
        <v>17428.251183945235</v>
      </c>
      <c r="CR16" s="88">
        <f t="shared" si="30"/>
        <v>29.88629956775042</v>
      </c>
      <c r="CS16" s="88">
        <f t="shared" si="78"/>
        <v>111091.66485364124</v>
      </c>
      <c r="CT16" s="88">
        <f t="shared" si="31"/>
        <v>30.364054280103186</v>
      </c>
      <c r="CU16" s="98">
        <v>17411.812022319129</v>
      </c>
      <c r="CV16" s="88">
        <f t="shared" si="32"/>
        <v>29.858109377936476</v>
      </c>
      <c r="CW16" s="88">
        <f t="shared" si="79"/>
        <v>97144.192328046745</v>
      </c>
      <c r="CX16" s="88">
        <f t="shared" si="33"/>
        <v>26.551870770248104</v>
      </c>
      <c r="CY16" s="97">
        <v>2446.6952220190369</v>
      </c>
      <c r="CZ16" s="88">
        <f t="shared" si="34"/>
        <v>4.1956399173087755</v>
      </c>
      <c r="DA16" s="88">
        <f t="shared" si="80"/>
        <v>33145.476243063444</v>
      </c>
      <c r="DB16" s="88">
        <f t="shared" si="35"/>
        <v>9.0594649122432465</v>
      </c>
      <c r="DC16" s="98">
        <v>17874.848408121161</v>
      </c>
      <c r="DD16" s="88">
        <f t="shared" si="36"/>
        <v>30.65213305769592</v>
      </c>
      <c r="DE16" s="88">
        <f t="shared" si="81"/>
        <v>72341.067404682617</v>
      </c>
      <c r="DF16" s="88">
        <f t="shared" si="37"/>
        <v>19.772573399185941</v>
      </c>
      <c r="DG16" s="98"/>
      <c r="DH16" s="88">
        <f t="shared" si="38"/>
        <v>0</v>
      </c>
      <c r="DI16" s="88">
        <f t="shared" si="82"/>
        <v>0</v>
      </c>
      <c r="DJ16" s="88">
        <f t="shared" si="39"/>
        <v>0</v>
      </c>
      <c r="DK16" s="98"/>
      <c r="DL16" s="10">
        <f t="shared" si="83"/>
        <v>0</v>
      </c>
      <c r="DM16" s="88">
        <f t="shared" si="84"/>
        <v>0</v>
      </c>
      <c r="DN16" s="10">
        <f t="shared" si="85"/>
        <v>0</v>
      </c>
      <c r="DO16" s="492"/>
      <c r="DP16" s="88">
        <f t="shared" si="86"/>
        <v>0</v>
      </c>
      <c r="DQ16" s="88">
        <f t="shared" si="87"/>
        <v>0</v>
      </c>
      <c r="DR16" s="88">
        <f t="shared" si="88"/>
        <v>0</v>
      </c>
      <c r="DS16" s="98"/>
      <c r="DT16" s="10">
        <f t="shared" si="108"/>
        <v>0</v>
      </c>
      <c r="DU16" s="10">
        <f t="shared" si="89"/>
        <v>0</v>
      </c>
      <c r="DV16" s="10">
        <f t="shared" si="109"/>
        <v>0</v>
      </c>
      <c r="DW16" s="10">
        <f t="shared" si="40"/>
        <v>58315.186008346238</v>
      </c>
      <c r="DX16" s="88">
        <f t="shared" si="41"/>
        <v>100</v>
      </c>
      <c r="DY16" s="88">
        <f t="shared" si="90"/>
        <v>365865.71684018115</v>
      </c>
      <c r="DZ16" s="88">
        <f t="shared" si="42"/>
        <v>100</v>
      </c>
      <c r="EA16" s="98"/>
      <c r="EB16" s="88">
        <f t="shared" si="43"/>
        <v>0</v>
      </c>
      <c r="EC16" s="88">
        <f t="shared" si="91"/>
        <v>0</v>
      </c>
      <c r="ED16" s="88">
        <f t="shared" si="44"/>
        <v>0</v>
      </c>
      <c r="EE16" s="98"/>
      <c r="EF16" s="88">
        <f t="shared" si="45"/>
        <v>0</v>
      </c>
      <c r="EG16" s="88">
        <f t="shared" si="92"/>
        <v>0</v>
      </c>
      <c r="EH16" s="88">
        <f t="shared" si="46"/>
        <v>0</v>
      </c>
      <c r="EI16" s="98"/>
      <c r="EJ16" s="89">
        <f t="shared" si="47"/>
        <v>0</v>
      </c>
      <c r="EK16" s="88">
        <f t="shared" si="93"/>
        <v>0</v>
      </c>
      <c r="EL16" s="88">
        <f t="shared" si="48"/>
        <v>0</v>
      </c>
      <c r="EM16" s="88">
        <f t="shared" si="94"/>
        <v>0</v>
      </c>
      <c r="EN16" s="88">
        <f t="shared" si="49"/>
        <v>0</v>
      </c>
      <c r="EO16" s="88">
        <f t="shared" si="95"/>
        <v>0</v>
      </c>
      <c r="EP16" s="88">
        <f t="shared" si="50"/>
        <v>0</v>
      </c>
      <c r="EQ16" s="98"/>
      <c r="ER16" s="88">
        <f t="shared" si="51"/>
        <v>0</v>
      </c>
      <c r="ES16" s="88">
        <f t="shared" si="96"/>
        <v>0</v>
      </c>
      <c r="ET16" s="88">
        <f t="shared" si="52"/>
        <v>0</v>
      </c>
      <c r="EU16" s="10">
        <f t="shared" si="97"/>
        <v>58315.186008346238</v>
      </c>
      <c r="EV16" s="88">
        <f t="shared" si="98"/>
        <v>365865.71684018115</v>
      </c>
      <c r="EW16" s="88">
        <f t="shared" si="53"/>
        <v>1.0290309865598419</v>
      </c>
      <c r="EX16" s="88">
        <f t="shared" si="54"/>
        <v>1.1107405433702433</v>
      </c>
      <c r="EY16" s="489">
        <f t="shared" si="99"/>
        <v>0.97178803462770791</v>
      </c>
      <c r="EZ16" s="490">
        <f t="shared" si="100"/>
        <v>0.9003002600101091</v>
      </c>
      <c r="FA16" s="5" t="s">
        <v>434</v>
      </c>
    </row>
    <row r="17" spans="1:163">
      <c r="A17" s="17">
        <f>+Chem!A16</f>
        <v>45969</v>
      </c>
      <c r="B17" s="5" t="str">
        <f>+Chem!B16</f>
        <v>Towel</v>
      </c>
      <c r="C17" s="5" t="str">
        <f>+Chem!C16</f>
        <v>19/17</v>
      </c>
      <c r="D17" s="8">
        <f>+Chem!D16</f>
        <v>53.438000000000002</v>
      </c>
      <c r="E17" s="6">
        <f>+Chem!E16</f>
        <v>51.448</v>
      </c>
      <c r="F17" s="6">
        <f t="shared" si="55"/>
        <v>380.83700000000005</v>
      </c>
      <c r="G17" s="98"/>
      <c r="H17" s="88">
        <f t="shared" si="0"/>
        <v>0</v>
      </c>
      <c r="I17" s="8">
        <f t="shared" si="56"/>
        <v>0</v>
      </c>
      <c r="J17" s="88">
        <f t="shared" si="1"/>
        <v>0</v>
      </c>
      <c r="K17" s="98"/>
      <c r="L17" s="88">
        <f t="shared" si="2"/>
        <v>0</v>
      </c>
      <c r="M17" s="88">
        <f t="shared" si="57"/>
        <v>0</v>
      </c>
      <c r="N17" s="88">
        <f t="shared" si="3"/>
        <v>0</v>
      </c>
      <c r="O17" s="97"/>
      <c r="P17" s="88">
        <f t="shared" si="4"/>
        <v>0</v>
      </c>
      <c r="Q17" s="88">
        <f t="shared" si="58"/>
        <v>0</v>
      </c>
      <c r="R17" s="88">
        <f t="shared" si="5"/>
        <v>0</v>
      </c>
      <c r="S17" s="98"/>
      <c r="T17" s="88">
        <f t="shared" si="6"/>
        <v>0</v>
      </c>
      <c r="U17" s="88">
        <f t="shared" si="59"/>
        <v>0</v>
      </c>
      <c r="V17" s="88">
        <f t="shared" si="7"/>
        <v>0</v>
      </c>
      <c r="W17" s="10"/>
      <c r="X17" s="88">
        <f t="shared" si="8"/>
        <v>0</v>
      </c>
      <c r="Y17" s="88">
        <f t="shared" si="60"/>
        <v>0</v>
      </c>
      <c r="Z17" s="88">
        <f t="shared" si="9"/>
        <v>0</v>
      </c>
      <c r="AA17" s="98"/>
      <c r="AB17" s="88">
        <f t="shared" si="10"/>
        <v>0</v>
      </c>
      <c r="AC17" s="88">
        <f t="shared" si="61"/>
        <v>0</v>
      </c>
      <c r="AD17" s="88">
        <f t="shared" si="11"/>
        <v>0</v>
      </c>
      <c r="AE17" s="98"/>
      <c r="AF17" s="88">
        <f t="shared" si="12"/>
        <v>0</v>
      </c>
      <c r="AG17" s="88">
        <f t="shared" si="62"/>
        <v>0</v>
      </c>
      <c r="AH17" s="88">
        <f t="shared" si="13"/>
        <v>0</v>
      </c>
      <c r="AI17" s="98"/>
      <c r="AJ17" s="88">
        <f t="shared" si="14"/>
        <v>0</v>
      </c>
      <c r="AK17" s="88">
        <f t="shared" si="63"/>
        <v>0</v>
      </c>
      <c r="AL17" s="88">
        <f t="shared" si="15"/>
        <v>0</v>
      </c>
      <c r="AM17" s="98"/>
      <c r="AN17" s="88">
        <f t="shared" si="16"/>
        <v>0</v>
      </c>
      <c r="AO17" s="88">
        <f t="shared" si="64"/>
        <v>0</v>
      </c>
      <c r="AP17" s="88">
        <f t="shared" si="17"/>
        <v>0</v>
      </c>
      <c r="AQ17" s="98"/>
      <c r="AR17" s="88">
        <f t="shared" si="18"/>
        <v>0</v>
      </c>
      <c r="AS17" s="88">
        <f t="shared" si="65"/>
        <v>0</v>
      </c>
      <c r="AT17" s="88">
        <f t="shared" si="19"/>
        <v>0</v>
      </c>
      <c r="AU17" s="252"/>
      <c r="AV17" s="88">
        <f t="shared" si="20"/>
        <v>0</v>
      </c>
      <c r="AW17" s="8">
        <f t="shared" si="66"/>
        <v>0</v>
      </c>
      <c r="AX17" s="88">
        <f t="shared" si="21"/>
        <v>0</v>
      </c>
      <c r="AY17" s="98"/>
      <c r="AZ17" s="88">
        <f t="shared" si="22"/>
        <v>0</v>
      </c>
      <c r="BA17" s="88">
        <f t="shared" si="67"/>
        <v>0</v>
      </c>
      <c r="BB17" s="88">
        <f t="shared" si="23"/>
        <v>0</v>
      </c>
      <c r="BC17" s="98"/>
      <c r="BD17" s="88">
        <f t="shared" si="24"/>
        <v>0</v>
      </c>
      <c r="BE17" s="88">
        <f t="shared" si="68"/>
        <v>0</v>
      </c>
      <c r="BF17" s="88">
        <f t="shared" si="25"/>
        <v>0</v>
      </c>
      <c r="BG17" s="98"/>
      <c r="BH17" s="88">
        <f t="shared" si="26"/>
        <v>0</v>
      </c>
      <c r="BI17" s="88">
        <f t="shared" si="69"/>
        <v>0</v>
      </c>
      <c r="BJ17" s="88">
        <f t="shared" si="27"/>
        <v>0</v>
      </c>
      <c r="BK17" s="98"/>
      <c r="BL17" s="88"/>
      <c r="BM17" s="88"/>
      <c r="BN17" s="88"/>
      <c r="BO17" s="98"/>
      <c r="BP17" s="88"/>
      <c r="BQ17" s="88"/>
      <c r="BR17" s="88"/>
      <c r="BS17" s="98"/>
      <c r="BT17" s="88"/>
      <c r="BU17" s="88"/>
      <c r="BV17" s="88"/>
      <c r="BW17" s="88">
        <f t="shared" si="70"/>
        <v>0</v>
      </c>
      <c r="BX17" s="88">
        <f t="shared" si="28"/>
        <v>0</v>
      </c>
      <c r="BY17" s="88">
        <f t="shared" si="71"/>
        <v>0</v>
      </c>
      <c r="BZ17" s="88">
        <f t="shared" si="29"/>
        <v>0</v>
      </c>
      <c r="CA17" s="88"/>
      <c r="CB17" s="10">
        <f t="shared" si="72"/>
        <v>0</v>
      </c>
      <c r="CC17" s="10">
        <f t="shared" si="101"/>
        <v>0</v>
      </c>
      <c r="CD17" s="10">
        <f t="shared" si="73"/>
        <v>0</v>
      </c>
      <c r="CE17" s="10"/>
      <c r="CF17" s="10">
        <f t="shared" si="102"/>
        <v>0</v>
      </c>
      <c r="CG17" s="10">
        <f t="shared" si="103"/>
        <v>0</v>
      </c>
      <c r="CH17" s="10">
        <f t="shared" si="104"/>
        <v>0</v>
      </c>
      <c r="CI17" s="10">
        <f t="shared" si="74"/>
        <v>0</v>
      </c>
      <c r="CJ17" s="10">
        <f t="shared" si="105"/>
        <v>0</v>
      </c>
      <c r="CK17" s="10">
        <f t="shared" si="106"/>
        <v>0</v>
      </c>
      <c r="CL17" s="10">
        <f t="shared" si="107"/>
        <v>0</v>
      </c>
      <c r="CM17" s="97">
        <v>3394.7579298831388</v>
      </c>
      <c r="CN17" s="10">
        <f t="shared" si="75"/>
        <v>5.742203185651185</v>
      </c>
      <c r="CO17" s="10">
        <f t="shared" si="76"/>
        <v>3394.7579298831388</v>
      </c>
      <c r="CP17" s="10">
        <f t="shared" si="77"/>
        <v>0.79879448400817754</v>
      </c>
      <c r="CQ17" s="98">
        <v>16841.903171953254</v>
      </c>
      <c r="CR17" s="88">
        <f t="shared" si="30"/>
        <v>28.48793111140856</v>
      </c>
      <c r="CS17" s="88">
        <f t="shared" si="78"/>
        <v>127933.56802559449</v>
      </c>
      <c r="CT17" s="88">
        <f t="shared" si="31"/>
        <v>30.103067897347163</v>
      </c>
      <c r="CU17" s="98">
        <v>17920.734557595992</v>
      </c>
      <c r="CV17" s="88">
        <f t="shared" si="32"/>
        <v>30.312764913220004</v>
      </c>
      <c r="CW17" s="88">
        <f t="shared" si="79"/>
        <v>115064.92688564274</v>
      </c>
      <c r="CX17" s="88">
        <f t="shared" si="33"/>
        <v>27.075046526872594</v>
      </c>
      <c r="CY17" s="97">
        <v>10450.68447412354</v>
      </c>
      <c r="CZ17" s="88">
        <f t="shared" si="34"/>
        <v>17.677240886985235</v>
      </c>
      <c r="DA17" s="88">
        <f t="shared" si="80"/>
        <v>43596.160717186984</v>
      </c>
      <c r="DB17" s="88">
        <f t="shared" si="35"/>
        <v>10.258278623719645</v>
      </c>
      <c r="DC17" s="98">
        <v>10511.35225375626</v>
      </c>
      <c r="DD17" s="88">
        <f t="shared" si="36"/>
        <v>17.779859902735019</v>
      </c>
      <c r="DE17" s="88">
        <f t="shared" si="81"/>
        <v>82852.419658438885</v>
      </c>
      <c r="DF17" s="88">
        <f t="shared" si="37"/>
        <v>19.495368204993021</v>
      </c>
      <c r="DG17" s="98"/>
      <c r="DH17" s="88">
        <f t="shared" si="38"/>
        <v>0</v>
      </c>
      <c r="DI17" s="88">
        <f t="shared" si="82"/>
        <v>0</v>
      </c>
      <c r="DJ17" s="88">
        <f t="shared" si="39"/>
        <v>0</v>
      </c>
      <c r="DK17" s="98"/>
      <c r="DL17" s="10">
        <f t="shared" si="83"/>
        <v>0</v>
      </c>
      <c r="DM17" s="88">
        <f t="shared" si="84"/>
        <v>0</v>
      </c>
      <c r="DN17" s="10">
        <f t="shared" si="85"/>
        <v>0</v>
      </c>
      <c r="DO17" s="492"/>
      <c r="DP17" s="88">
        <f t="shared" si="86"/>
        <v>0</v>
      </c>
      <c r="DQ17" s="88">
        <f t="shared" si="87"/>
        <v>0</v>
      </c>
      <c r="DR17" s="88">
        <f t="shared" si="88"/>
        <v>0</v>
      </c>
      <c r="DS17" s="98"/>
      <c r="DT17" s="10">
        <f t="shared" si="108"/>
        <v>0</v>
      </c>
      <c r="DU17" s="10">
        <f t="shared" si="89"/>
        <v>0</v>
      </c>
      <c r="DV17" s="10">
        <f t="shared" si="109"/>
        <v>0</v>
      </c>
      <c r="DW17" s="10">
        <f t="shared" si="40"/>
        <v>59119.432387312183</v>
      </c>
      <c r="DX17" s="88">
        <f t="shared" si="41"/>
        <v>100</v>
      </c>
      <c r="DY17" s="88">
        <f t="shared" si="90"/>
        <v>424985.14922749333</v>
      </c>
      <c r="DZ17" s="88">
        <f t="shared" si="42"/>
        <v>100</v>
      </c>
      <c r="EA17" s="98"/>
      <c r="EB17" s="88">
        <f t="shared" si="43"/>
        <v>0</v>
      </c>
      <c r="EC17" s="88">
        <f t="shared" si="91"/>
        <v>0</v>
      </c>
      <c r="ED17" s="88">
        <f t="shared" si="44"/>
        <v>0</v>
      </c>
      <c r="EE17" s="98"/>
      <c r="EF17" s="88">
        <f t="shared" si="45"/>
        <v>0</v>
      </c>
      <c r="EG17" s="88">
        <f t="shared" si="92"/>
        <v>0</v>
      </c>
      <c r="EH17" s="88">
        <f t="shared" si="46"/>
        <v>0</v>
      </c>
      <c r="EI17" s="98"/>
      <c r="EJ17" s="89">
        <f t="shared" si="47"/>
        <v>0</v>
      </c>
      <c r="EK17" s="88">
        <f t="shared" si="93"/>
        <v>0</v>
      </c>
      <c r="EL17" s="88">
        <f t="shared" si="48"/>
        <v>0</v>
      </c>
      <c r="EM17" s="88">
        <f t="shared" si="94"/>
        <v>0</v>
      </c>
      <c r="EN17" s="88">
        <f t="shared" si="49"/>
        <v>0</v>
      </c>
      <c r="EO17" s="88">
        <f t="shared" si="95"/>
        <v>0</v>
      </c>
      <c r="EP17" s="88">
        <f t="shared" si="50"/>
        <v>0</v>
      </c>
      <c r="EQ17" s="98"/>
      <c r="ER17" s="88">
        <f t="shared" si="51"/>
        <v>0</v>
      </c>
      <c r="ES17" s="88">
        <f t="shared" si="96"/>
        <v>0</v>
      </c>
      <c r="ET17" s="88">
        <f t="shared" si="52"/>
        <v>0</v>
      </c>
      <c r="EU17" s="10">
        <f t="shared" si="97"/>
        <v>59119.432387312183</v>
      </c>
      <c r="EV17" s="88">
        <f t="shared" si="98"/>
        <v>424985.14922749333</v>
      </c>
      <c r="EW17" s="88">
        <f t="shared" si="53"/>
        <v>1.1491104102649701</v>
      </c>
      <c r="EX17" s="88">
        <f t="shared" si="54"/>
        <v>1.1159240022043375</v>
      </c>
      <c r="EY17" s="489">
        <f t="shared" si="99"/>
        <v>0.8702383957773151</v>
      </c>
      <c r="EZ17" s="490">
        <f t="shared" si="100"/>
        <v>0.89611837188254106</v>
      </c>
      <c r="FA17" s="5" t="s">
        <v>434</v>
      </c>
    </row>
    <row r="18" spans="1:163">
      <c r="A18" s="17">
        <f>+Chem!A17</f>
        <v>45970</v>
      </c>
      <c r="B18" s="5" t="str">
        <f>+Chem!B17</f>
        <v>Towel/Facial/Toilet</v>
      </c>
      <c r="C18" s="5" t="str">
        <f>+Chem!C17</f>
        <v>17/14/16,5/13,5</v>
      </c>
      <c r="D18" s="8">
        <f>+Chem!D17</f>
        <v>49.893000000000001</v>
      </c>
      <c r="E18" s="6">
        <f>+Chem!E17</f>
        <v>50.395000000000003</v>
      </c>
      <c r="F18" s="6">
        <f t="shared" si="55"/>
        <v>431.23200000000003</v>
      </c>
      <c r="G18" s="97"/>
      <c r="H18" s="10">
        <f t="shared" si="0"/>
        <v>0</v>
      </c>
      <c r="I18" s="8">
        <f t="shared" si="56"/>
        <v>0</v>
      </c>
      <c r="J18" s="10">
        <f t="shared" si="1"/>
        <v>0</v>
      </c>
      <c r="K18" s="97"/>
      <c r="L18" s="10">
        <f t="shared" si="2"/>
        <v>0</v>
      </c>
      <c r="M18" s="10">
        <f t="shared" si="57"/>
        <v>0</v>
      </c>
      <c r="N18" s="10">
        <f t="shared" si="3"/>
        <v>0</v>
      </c>
      <c r="O18" s="97"/>
      <c r="P18" s="10">
        <f t="shared" si="4"/>
        <v>0</v>
      </c>
      <c r="Q18" s="10">
        <f t="shared" si="58"/>
        <v>0</v>
      </c>
      <c r="R18" s="10">
        <f t="shared" si="5"/>
        <v>0</v>
      </c>
      <c r="S18" s="97">
        <f>20*S7</f>
        <v>5000</v>
      </c>
      <c r="T18" s="10">
        <f t="shared" si="6"/>
        <v>8.241875208102833</v>
      </c>
      <c r="U18" s="10">
        <f t="shared" si="59"/>
        <v>5000</v>
      </c>
      <c r="V18" s="10">
        <f t="shared" si="7"/>
        <v>1.0295460040266007</v>
      </c>
      <c r="W18" s="10"/>
      <c r="X18" s="10">
        <f t="shared" si="8"/>
        <v>0</v>
      </c>
      <c r="Y18" s="10">
        <f t="shared" si="60"/>
        <v>0</v>
      </c>
      <c r="Z18" s="10">
        <f t="shared" si="9"/>
        <v>0</v>
      </c>
      <c r="AA18" s="97"/>
      <c r="AB18" s="10">
        <f t="shared" si="10"/>
        <v>0</v>
      </c>
      <c r="AC18" s="10">
        <f t="shared" si="61"/>
        <v>0</v>
      </c>
      <c r="AD18" s="10">
        <f t="shared" si="11"/>
        <v>0</v>
      </c>
      <c r="AE18" s="97"/>
      <c r="AF18" s="10">
        <f t="shared" si="12"/>
        <v>0</v>
      </c>
      <c r="AG18" s="10">
        <f t="shared" si="62"/>
        <v>0</v>
      </c>
      <c r="AH18" s="10">
        <f t="shared" si="13"/>
        <v>0</v>
      </c>
      <c r="AI18" s="97"/>
      <c r="AJ18" s="10">
        <f t="shared" si="14"/>
        <v>0</v>
      </c>
      <c r="AK18" s="10">
        <f t="shared" si="63"/>
        <v>0</v>
      </c>
      <c r="AL18" s="10">
        <f t="shared" si="15"/>
        <v>0</v>
      </c>
      <c r="AM18" s="97"/>
      <c r="AN18" s="10">
        <f t="shared" si="16"/>
        <v>0</v>
      </c>
      <c r="AO18" s="10">
        <f t="shared" si="64"/>
        <v>0</v>
      </c>
      <c r="AP18" s="10">
        <f t="shared" si="17"/>
        <v>0</v>
      </c>
      <c r="AQ18" s="97"/>
      <c r="AR18" s="10">
        <f t="shared" si="18"/>
        <v>0</v>
      </c>
      <c r="AS18" s="10">
        <f t="shared" si="65"/>
        <v>0</v>
      </c>
      <c r="AT18" s="10">
        <f t="shared" si="19"/>
        <v>0</v>
      </c>
      <c r="AU18" s="252"/>
      <c r="AV18" s="10">
        <f t="shared" si="20"/>
        <v>0</v>
      </c>
      <c r="AW18" s="8">
        <f t="shared" si="66"/>
        <v>0</v>
      </c>
      <c r="AX18" s="10">
        <f t="shared" si="21"/>
        <v>0</v>
      </c>
      <c r="AY18" s="97"/>
      <c r="AZ18" s="10">
        <f t="shared" si="22"/>
        <v>0</v>
      </c>
      <c r="BA18" s="10">
        <f t="shared" si="67"/>
        <v>0</v>
      </c>
      <c r="BB18" s="10">
        <f t="shared" si="23"/>
        <v>0</v>
      </c>
      <c r="BC18" s="97"/>
      <c r="BD18" s="10">
        <f t="shared" si="24"/>
        <v>0</v>
      </c>
      <c r="BE18" s="10">
        <f t="shared" si="68"/>
        <v>0</v>
      </c>
      <c r="BF18" s="10">
        <f t="shared" si="25"/>
        <v>0</v>
      </c>
      <c r="BG18" s="97"/>
      <c r="BH18" s="10">
        <f t="shared" si="26"/>
        <v>0</v>
      </c>
      <c r="BI18" s="10">
        <f t="shared" si="69"/>
        <v>0</v>
      </c>
      <c r="BJ18" s="10">
        <f t="shared" si="27"/>
        <v>0</v>
      </c>
      <c r="BK18" s="97"/>
      <c r="BL18" s="10"/>
      <c r="BM18" s="10"/>
      <c r="BN18" s="10"/>
      <c r="BO18" s="97"/>
      <c r="BP18" s="10"/>
      <c r="BQ18" s="10"/>
      <c r="BR18" s="10"/>
      <c r="BS18" s="97"/>
      <c r="BT18" s="10"/>
      <c r="BU18" s="10"/>
      <c r="BV18" s="10"/>
      <c r="BW18" s="10">
        <f t="shared" si="70"/>
        <v>5000</v>
      </c>
      <c r="BX18" s="10">
        <f t="shared" si="28"/>
        <v>8.241875208102833</v>
      </c>
      <c r="BY18" s="10">
        <f t="shared" si="71"/>
        <v>5000</v>
      </c>
      <c r="BZ18" s="10">
        <f t="shared" si="29"/>
        <v>1.0295460040266007</v>
      </c>
      <c r="CA18" s="10"/>
      <c r="CB18" s="10">
        <f t="shared" si="72"/>
        <v>0</v>
      </c>
      <c r="CC18" s="10">
        <f t="shared" si="101"/>
        <v>0</v>
      </c>
      <c r="CD18" s="10">
        <f t="shared" si="73"/>
        <v>0</v>
      </c>
      <c r="CE18" s="10"/>
      <c r="CF18" s="10">
        <f t="shared" si="102"/>
        <v>0</v>
      </c>
      <c r="CG18" s="10">
        <f t="shared" si="103"/>
        <v>0</v>
      </c>
      <c r="CH18" s="10">
        <f t="shared" si="104"/>
        <v>0</v>
      </c>
      <c r="CI18" s="10">
        <f t="shared" si="74"/>
        <v>0</v>
      </c>
      <c r="CJ18" s="10">
        <f t="shared" si="105"/>
        <v>0</v>
      </c>
      <c r="CK18" s="10">
        <f t="shared" si="106"/>
        <v>0</v>
      </c>
      <c r="CL18" s="10">
        <f t="shared" si="107"/>
        <v>0</v>
      </c>
      <c r="CM18" s="97">
        <v>3532.7913109618789</v>
      </c>
      <c r="CN18" s="10">
        <f t="shared" si="75"/>
        <v>5.8233650242435635</v>
      </c>
      <c r="CO18" s="10">
        <f t="shared" si="76"/>
        <v>3532.7913109618789</v>
      </c>
      <c r="CP18" s="10">
        <f t="shared" si="77"/>
        <v>0.72743423545213959</v>
      </c>
      <c r="CQ18" s="98">
        <v>16802.604609733884</v>
      </c>
      <c r="CR18" s="10">
        <f t="shared" si="30"/>
        <v>27.696994072904019</v>
      </c>
      <c r="CS18" s="10">
        <f t="shared" si="78"/>
        <v>144736.17263532837</v>
      </c>
      <c r="CT18" s="10">
        <f t="shared" si="31"/>
        <v>29.802509634961311</v>
      </c>
      <c r="CU18" s="97">
        <v>16692.75102833295</v>
      </c>
      <c r="CV18" s="10">
        <f t="shared" si="32"/>
        <v>27.515914171090085</v>
      </c>
      <c r="CW18" s="10">
        <f t="shared" si="79"/>
        <v>131757.6779139757</v>
      </c>
      <c r="CX18" s="10">
        <f t="shared" si="33"/>
        <v>27.130118159231515</v>
      </c>
      <c r="CY18" s="97">
        <v>12321.07782303666</v>
      </c>
      <c r="CZ18" s="10">
        <f t="shared" si="34"/>
        <v>20.309757169358296</v>
      </c>
      <c r="DA18" s="10">
        <f t="shared" si="80"/>
        <v>55917.23854022364</v>
      </c>
      <c r="DB18" s="10">
        <f t="shared" si="35"/>
        <v>11.513873899057895</v>
      </c>
      <c r="DC18" s="97">
        <v>6316.5809305537477</v>
      </c>
      <c r="DD18" s="10">
        <f t="shared" si="36"/>
        <v>10.412094354301212</v>
      </c>
      <c r="DE18" s="10">
        <f t="shared" si="81"/>
        <v>89169.00058899264</v>
      </c>
      <c r="DF18" s="10">
        <f t="shared" si="37"/>
        <v>18.360717647888595</v>
      </c>
      <c r="DG18" s="97"/>
      <c r="DH18" s="10">
        <f t="shared" si="38"/>
        <v>0</v>
      </c>
      <c r="DI18" s="10">
        <f t="shared" si="82"/>
        <v>0</v>
      </c>
      <c r="DJ18" s="10">
        <f t="shared" si="39"/>
        <v>0</v>
      </c>
      <c r="DK18" s="97"/>
      <c r="DL18" s="10">
        <f t="shared" si="83"/>
        <v>0</v>
      </c>
      <c r="DM18" s="10">
        <f t="shared" si="84"/>
        <v>0</v>
      </c>
      <c r="DN18" s="10">
        <f t="shared" si="85"/>
        <v>0</v>
      </c>
      <c r="DO18" s="492"/>
      <c r="DP18" s="10">
        <f t="shared" si="86"/>
        <v>0</v>
      </c>
      <c r="DQ18" s="10">
        <f t="shared" si="87"/>
        <v>0</v>
      </c>
      <c r="DR18" s="10">
        <f t="shared" si="88"/>
        <v>0</v>
      </c>
      <c r="DS18" s="97"/>
      <c r="DT18" s="10">
        <f t="shared" si="108"/>
        <v>0</v>
      </c>
      <c r="DU18" s="10">
        <f t="shared" si="89"/>
        <v>0</v>
      </c>
      <c r="DV18" s="10">
        <f t="shared" si="109"/>
        <v>0</v>
      </c>
      <c r="DW18" s="10">
        <f t="shared" si="40"/>
        <v>55665.805702619116</v>
      </c>
      <c r="DX18" s="10">
        <f t="shared" si="41"/>
        <v>91.75812479189716</v>
      </c>
      <c r="DY18" s="10">
        <f t="shared" si="90"/>
        <v>480650.95493011246</v>
      </c>
      <c r="DZ18" s="10">
        <f t="shared" si="42"/>
        <v>98.970453995973401</v>
      </c>
      <c r="EA18" s="97"/>
      <c r="EB18" s="10">
        <f t="shared" si="43"/>
        <v>0</v>
      </c>
      <c r="EC18" s="10">
        <f t="shared" si="91"/>
        <v>0</v>
      </c>
      <c r="ED18" s="10">
        <f t="shared" si="44"/>
        <v>0</v>
      </c>
      <c r="EE18" s="97"/>
      <c r="EF18" s="10">
        <f t="shared" si="45"/>
        <v>0</v>
      </c>
      <c r="EG18" s="10">
        <f t="shared" si="92"/>
        <v>0</v>
      </c>
      <c r="EH18" s="10">
        <f t="shared" si="46"/>
        <v>0</v>
      </c>
      <c r="EI18" s="97"/>
      <c r="EJ18" s="16">
        <f t="shared" si="47"/>
        <v>0</v>
      </c>
      <c r="EK18" s="10">
        <f t="shared" si="93"/>
        <v>0</v>
      </c>
      <c r="EL18" s="10">
        <f t="shared" si="48"/>
        <v>0</v>
      </c>
      <c r="EM18" s="10">
        <f t="shared" si="94"/>
        <v>0</v>
      </c>
      <c r="EN18" s="10">
        <f t="shared" si="49"/>
        <v>0</v>
      </c>
      <c r="EO18" s="10">
        <f t="shared" si="95"/>
        <v>0</v>
      </c>
      <c r="EP18" s="10">
        <f t="shared" si="50"/>
        <v>0</v>
      </c>
      <c r="EQ18" s="97"/>
      <c r="ER18" s="10">
        <f t="shared" si="51"/>
        <v>0</v>
      </c>
      <c r="ES18" s="10">
        <f t="shared" si="96"/>
        <v>0</v>
      </c>
      <c r="ET18" s="10">
        <f t="shared" si="52"/>
        <v>0</v>
      </c>
      <c r="EU18" s="10">
        <f t="shared" si="97"/>
        <v>60665.805702619116</v>
      </c>
      <c r="EV18" s="10">
        <f t="shared" si="98"/>
        <v>485650.95493011246</v>
      </c>
      <c r="EW18" s="10">
        <f t="shared" si="53"/>
        <v>1.2038060462867173</v>
      </c>
      <c r="EX18" s="10">
        <f t="shared" si="54"/>
        <v>1.1261941482313753</v>
      </c>
      <c r="EY18" s="489">
        <f t="shared" si="99"/>
        <v>0.90531340315494402</v>
      </c>
      <c r="EZ18" s="490">
        <f t="shared" si="100"/>
        <v>0.89718327941884968</v>
      </c>
      <c r="FA18" s="5" t="s">
        <v>434</v>
      </c>
    </row>
    <row r="19" spans="1:163">
      <c r="A19" s="17">
        <f>+Chem!A18</f>
        <v>45971</v>
      </c>
      <c r="B19" s="5" t="str">
        <f>+Chem!B18</f>
        <v>Toilet</v>
      </c>
      <c r="C19" s="5" t="str">
        <f>+Chem!C18</f>
        <v>13,5</v>
      </c>
      <c r="D19" s="8">
        <f>+Chem!D18</f>
        <v>51.384</v>
      </c>
      <c r="E19" s="6">
        <f>+Chem!E18</f>
        <v>51.182000000000002</v>
      </c>
      <c r="F19" s="6">
        <f t="shared" si="55"/>
        <v>482.41400000000004</v>
      </c>
      <c r="G19" s="97"/>
      <c r="H19" s="10">
        <f t="shared" si="0"/>
        <v>0</v>
      </c>
      <c r="I19" s="8">
        <f t="shared" si="56"/>
        <v>0</v>
      </c>
      <c r="J19" s="10">
        <f t="shared" si="1"/>
        <v>0</v>
      </c>
      <c r="K19" s="97"/>
      <c r="L19" s="10">
        <f t="shared" si="2"/>
        <v>0</v>
      </c>
      <c r="M19" s="10">
        <f t="shared" si="57"/>
        <v>0</v>
      </c>
      <c r="N19" s="10">
        <f t="shared" si="3"/>
        <v>0</v>
      </c>
      <c r="O19" s="97"/>
      <c r="P19" s="10">
        <f t="shared" si="4"/>
        <v>0</v>
      </c>
      <c r="Q19" s="10">
        <f t="shared" si="58"/>
        <v>0</v>
      </c>
      <c r="R19" s="10">
        <f t="shared" si="5"/>
        <v>0</v>
      </c>
      <c r="S19" s="97"/>
      <c r="T19" s="10">
        <f t="shared" si="6"/>
        <v>0</v>
      </c>
      <c r="U19" s="10">
        <f t="shared" si="59"/>
        <v>5000</v>
      </c>
      <c r="V19" s="10">
        <f t="shared" si="7"/>
        <v>0.92891317973935883</v>
      </c>
      <c r="W19" s="10"/>
      <c r="X19" s="10">
        <f t="shared" si="8"/>
        <v>0</v>
      </c>
      <c r="Y19" s="10">
        <f t="shared" si="60"/>
        <v>0</v>
      </c>
      <c r="Z19" s="10">
        <f t="shared" si="9"/>
        <v>0</v>
      </c>
      <c r="AA19" s="97"/>
      <c r="AB19" s="10">
        <f t="shared" si="10"/>
        <v>0</v>
      </c>
      <c r="AC19" s="10">
        <f t="shared" si="61"/>
        <v>0</v>
      </c>
      <c r="AD19" s="10">
        <f t="shared" si="11"/>
        <v>0</v>
      </c>
      <c r="AE19" s="97"/>
      <c r="AF19" s="10">
        <f t="shared" si="12"/>
        <v>0</v>
      </c>
      <c r="AG19" s="10">
        <f t="shared" si="62"/>
        <v>0</v>
      </c>
      <c r="AH19" s="10">
        <f t="shared" si="13"/>
        <v>0</v>
      </c>
      <c r="AI19" s="97"/>
      <c r="AJ19" s="10">
        <f t="shared" si="14"/>
        <v>0</v>
      </c>
      <c r="AK19" s="10">
        <f t="shared" si="63"/>
        <v>0</v>
      </c>
      <c r="AL19" s="10">
        <f t="shared" si="15"/>
        <v>0</v>
      </c>
      <c r="AM19" s="97"/>
      <c r="AN19" s="10">
        <f t="shared" si="16"/>
        <v>0</v>
      </c>
      <c r="AO19" s="10">
        <f t="shared" si="64"/>
        <v>0</v>
      </c>
      <c r="AP19" s="10">
        <f t="shared" si="17"/>
        <v>0</v>
      </c>
      <c r="AQ19" s="97"/>
      <c r="AR19" s="10">
        <f t="shared" si="18"/>
        <v>0</v>
      </c>
      <c r="AS19" s="10">
        <f t="shared" si="65"/>
        <v>0</v>
      </c>
      <c r="AT19" s="10">
        <f t="shared" si="19"/>
        <v>0</v>
      </c>
      <c r="AU19" s="252"/>
      <c r="AV19" s="10">
        <f t="shared" si="20"/>
        <v>0</v>
      </c>
      <c r="AW19" s="8">
        <f t="shared" si="66"/>
        <v>0</v>
      </c>
      <c r="AX19" s="10">
        <f t="shared" si="21"/>
        <v>0</v>
      </c>
      <c r="AY19" s="97"/>
      <c r="AZ19" s="10">
        <f t="shared" si="22"/>
        <v>0</v>
      </c>
      <c r="BA19" s="10">
        <f t="shared" si="67"/>
        <v>0</v>
      </c>
      <c r="BB19" s="10">
        <f t="shared" si="23"/>
        <v>0</v>
      </c>
      <c r="BC19" s="97"/>
      <c r="BD19" s="10">
        <f t="shared" si="24"/>
        <v>0</v>
      </c>
      <c r="BE19" s="10">
        <f t="shared" si="68"/>
        <v>0</v>
      </c>
      <c r="BF19" s="10">
        <f t="shared" si="25"/>
        <v>0</v>
      </c>
      <c r="BG19" s="97"/>
      <c r="BH19" s="10">
        <f t="shared" si="26"/>
        <v>0</v>
      </c>
      <c r="BI19" s="10">
        <f t="shared" si="69"/>
        <v>0</v>
      </c>
      <c r="BJ19" s="10">
        <f t="shared" si="27"/>
        <v>0</v>
      </c>
      <c r="BK19" s="97"/>
      <c r="BL19" s="10"/>
      <c r="BM19" s="10"/>
      <c r="BN19" s="10"/>
      <c r="BO19" s="97"/>
      <c r="BP19" s="10"/>
      <c r="BQ19" s="10"/>
      <c r="BR19" s="10"/>
      <c r="BS19" s="97"/>
      <c r="BT19" s="10"/>
      <c r="BU19" s="10"/>
      <c r="BV19" s="10"/>
      <c r="BW19" s="10">
        <f t="shared" si="70"/>
        <v>0</v>
      </c>
      <c r="BX19" s="10">
        <f t="shared" si="28"/>
        <v>0</v>
      </c>
      <c r="BY19" s="10">
        <f t="shared" si="71"/>
        <v>5000</v>
      </c>
      <c r="BZ19" s="10">
        <f t="shared" si="29"/>
        <v>0.92891317973935883</v>
      </c>
      <c r="CA19" s="10"/>
      <c r="CB19" s="10">
        <f t="shared" si="72"/>
        <v>0</v>
      </c>
      <c r="CC19" s="10">
        <f t="shared" si="101"/>
        <v>0</v>
      </c>
      <c r="CD19" s="10">
        <f t="shared" si="73"/>
        <v>0</v>
      </c>
      <c r="CE19" s="10"/>
      <c r="CF19" s="10">
        <f t="shared" si="102"/>
        <v>0</v>
      </c>
      <c r="CG19" s="10">
        <f t="shared" si="103"/>
        <v>0</v>
      </c>
      <c r="CH19" s="10">
        <f t="shared" si="104"/>
        <v>0</v>
      </c>
      <c r="CI19" s="10">
        <f t="shared" si="74"/>
        <v>0</v>
      </c>
      <c r="CJ19" s="10">
        <f t="shared" si="105"/>
        <v>0</v>
      </c>
      <c r="CK19" s="10">
        <f t="shared" si="106"/>
        <v>0</v>
      </c>
      <c r="CL19" s="10">
        <f t="shared" si="107"/>
        <v>0</v>
      </c>
      <c r="CM19" s="97">
        <v>3842.1843895772049</v>
      </c>
      <c r="CN19" s="10">
        <f t="shared" si="75"/>
        <v>7.3028002127968286</v>
      </c>
      <c r="CO19" s="10">
        <f t="shared" si="76"/>
        <v>3842.1843895772049</v>
      </c>
      <c r="CP19" s="10">
        <f t="shared" si="77"/>
        <v>0.71381114369341769</v>
      </c>
      <c r="CQ19" s="98">
        <v>16620.628101137951</v>
      </c>
      <c r="CR19" s="10">
        <f t="shared" si="30"/>
        <v>31.590656284760854</v>
      </c>
      <c r="CS19" s="10">
        <f t="shared" si="78"/>
        <v>161356.80073646634</v>
      </c>
      <c r="CT19" s="10">
        <f t="shared" si="31"/>
        <v>29.977291768936208</v>
      </c>
      <c r="CU19" s="97">
        <v>16119.362985411652</v>
      </c>
      <c r="CV19" s="10">
        <f t="shared" si="32"/>
        <v>30.637906853025104</v>
      </c>
      <c r="CW19" s="10">
        <f t="shared" si="79"/>
        <v>147877.04089938736</v>
      </c>
      <c r="CX19" s="10">
        <f t="shared" si="33"/>
        <v>27.47298645445942</v>
      </c>
      <c r="CY19" s="97">
        <v>8831.9351100811109</v>
      </c>
      <c r="CZ19" s="10">
        <f t="shared" si="34"/>
        <v>16.786767906369395</v>
      </c>
      <c r="DA19" s="10">
        <f t="shared" si="80"/>
        <v>64749.17365030475</v>
      </c>
      <c r="DB19" s="10">
        <f t="shared" si="35"/>
        <v>12.029272156200097</v>
      </c>
      <c r="DC19" s="97">
        <v>7198.3706212674915</v>
      </c>
      <c r="DD19" s="10">
        <f t="shared" si="36"/>
        <v>13.681868743047831</v>
      </c>
      <c r="DE19" s="10">
        <f t="shared" si="81"/>
        <v>96367.371210260128</v>
      </c>
      <c r="DF19" s="10">
        <f t="shared" si="37"/>
        <v>17.903384242809175</v>
      </c>
      <c r="DG19" s="97"/>
      <c r="DH19" s="10">
        <f t="shared" si="38"/>
        <v>0</v>
      </c>
      <c r="DI19" s="10">
        <f t="shared" si="82"/>
        <v>0</v>
      </c>
      <c r="DJ19" s="10">
        <f t="shared" si="39"/>
        <v>0</v>
      </c>
      <c r="DK19" s="97"/>
      <c r="DL19" s="10">
        <f t="shared" si="83"/>
        <v>0</v>
      </c>
      <c r="DM19" s="10">
        <f t="shared" si="84"/>
        <v>0</v>
      </c>
      <c r="DN19" s="10">
        <f t="shared" si="85"/>
        <v>0</v>
      </c>
      <c r="DO19" s="492"/>
      <c r="DP19" s="10">
        <f t="shared" si="86"/>
        <v>0</v>
      </c>
      <c r="DQ19" s="10">
        <f t="shared" si="87"/>
        <v>0</v>
      </c>
      <c r="DR19" s="10">
        <f t="shared" si="88"/>
        <v>0</v>
      </c>
      <c r="DS19" s="97"/>
      <c r="DT19" s="10">
        <f t="shared" si="108"/>
        <v>0</v>
      </c>
      <c r="DU19" s="10">
        <f t="shared" si="89"/>
        <v>0</v>
      </c>
      <c r="DV19" s="10">
        <f t="shared" si="109"/>
        <v>0</v>
      </c>
      <c r="DW19" s="10">
        <f t="shared" si="40"/>
        <v>52612.481207475401</v>
      </c>
      <c r="DX19" s="10">
        <f t="shared" si="41"/>
        <v>100</v>
      </c>
      <c r="DY19" s="10">
        <f t="shared" si="90"/>
        <v>533263.43613758788</v>
      </c>
      <c r="DZ19" s="10">
        <f t="shared" si="42"/>
        <v>99.071086820260646</v>
      </c>
      <c r="EA19" s="97"/>
      <c r="EB19" s="10">
        <f t="shared" si="43"/>
        <v>0</v>
      </c>
      <c r="EC19" s="10">
        <f t="shared" si="91"/>
        <v>0</v>
      </c>
      <c r="ED19" s="10">
        <f t="shared" si="44"/>
        <v>0</v>
      </c>
      <c r="EE19" s="97"/>
      <c r="EF19" s="10">
        <f t="shared" si="45"/>
        <v>0</v>
      </c>
      <c r="EG19" s="10">
        <f t="shared" si="92"/>
        <v>0</v>
      </c>
      <c r="EH19" s="10">
        <f t="shared" si="46"/>
        <v>0</v>
      </c>
      <c r="EI19" s="97"/>
      <c r="EJ19" s="16">
        <f t="shared" si="47"/>
        <v>0</v>
      </c>
      <c r="EK19" s="10">
        <f t="shared" si="93"/>
        <v>0</v>
      </c>
      <c r="EL19" s="10">
        <f t="shared" si="48"/>
        <v>0</v>
      </c>
      <c r="EM19" s="10">
        <f t="shared" si="94"/>
        <v>0</v>
      </c>
      <c r="EN19" s="10">
        <f t="shared" si="49"/>
        <v>0</v>
      </c>
      <c r="EO19" s="10">
        <f t="shared" si="95"/>
        <v>0</v>
      </c>
      <c r="EP19" s="10">
        <f t="shared" si="50"/>
        <v>0</v>
      </c>
      <c r="EQ19" s="97"/>
      <c r="ER19" s="10">
        <f t="shared" si="51"/>
        <v>0</v>
      </c>
      <c r="ES19" s="10">
        <f t="shared" si="96"/>
        <v>0</v>
      </c>
      <c r="ET19" s="10">
        <f t="shared" si="52"/>
        <v>0</v>
      </c>
      <c r="EU19" s="10">
        <f t="shared" si="97"/>
        <v>52612.481207475401</v>
      </c>
      <c r="EV19" s="10">
        <f t="shared" si="98"/>
        <v>538263.43613758788</v>
      </c>
      <c r="EW19" s="10">
        <f t="shared" si="53"/>
        <v>1.0279489118728342</v>
      </c>
      <c r="EX19" s="10">
        <f t="shared" si="54"/>
        <v>1.1157707614986045</v>
      </c>
      <c r="EY19" s="489">
        <f t="shared" si="99"/>
        <v>0.97281099133427384</v>
      </c>
      <c r="EZ19" s="490">
        <f t="shared" si="100"/>
        <v>0.90464481025384214</v>
      </c>
      <c r="FA19" s="5" t="s">
        <v>434</v>
      </c>
    </row>
    <row r="20" spans="1:163">
      <c r="A20" s="17">
        <f>+Chem!A19</f>
        <v>45972</v>
      </c>
      <c r="B20" s="5" t="str">
        <f>+Chem!B19</f>
        <v>Toilet</v>
      </c>
      <c r="C20" s="5" t="str">
        <f>+Chem!C19</f>
        <v>13,5</v>
      </c>
      <c r="D20" s="8">
        <f>+Chem!D19</f>
        <v>52.558000000000007</v>
      </c>
      <c r="E20" s="6">
        <f>+Chem!E19</f>
        <v>50.652999999999999</v>
      </c>
      <c r="F20" s="6">
        <f t="shared" si="55"/>
        <v>533.06700000000001</v>
      </c>
      <c r="G20" s="97"/>
      <c r="H20" s="10">
        <f t="shared" si="0"/>
        <v>0</v>
      </c>
      <c r="I20" s="8">
        <f t="shared" si="56"/>
        <v>0</v>
      </c>
      <c r="J20" s="10">
        <f t="shared" si="1"/>
        <v>0</v>
      </c>
      <c r="K20" s="97"/>
      <c r="L20" s="10">
        <f t="shared" si="2"/>
        <v>0</v>
      </c>
      <c r="M20" s="10">
        <f t="shared" si="57"/>
        <v>0</v>
      </c>
      <c r="N20" s="10">
        <f t="shared" si="3"/>
        <v>0</v>
      </c>
      <c r="O20" s="97"/>
      <c r="P20" s="10">
        <f t="shared" si="4"/>
        <v>0</v>
      </c>
      <c r="Q20" s="10">
        <f t="shared" si="58"/>
        <v>0</v>
      </c>
      <c r="R20" s="10">
        <f t="shared" si="5"/>
        <v>0</v>
      </c>
      <c r="S20" s="97"/>
      <c r="T20" s="10">
        <f t="shared" si="6"/>
        <v>0</v>
      </c>
      <c r="U20" s="10">
        <f t="shared" si="59"/>
        <v>5000</v>
      </c>
      <c r="V20" s="10">
        <f t="shared" si="7"/>
        <v>0.84193772802642464</v>
      </c>
      <c r="W20" s="10"/>
      <c r="X20" s="10">
        <f t="shared" si="8"/>
        <v>0</v>
      </c>
      <c r="Y20" s="10">
        <f t="shared" si="60"/>
        <v>0</v>
      </c>
      <c r="Z20" s="10">
        <f t="shared" si="9"/>
        <v>0</v>
      </c>
      <c r="AA20" s="97"/>
      <c r="AB20" s="10">
        <f t="shared" si="10"/>
        <v>0</v>
      </c>
      <c r="AC20" s="10">
        <f t="shared" si="61"/>
        <v>0</v>
      </c>
      <c r="AD20" s="10">
        <f t="shared" si="11"/>
        <v>0</v>
      </c>
      <c r="AE20" s="97"/>
      <c r="AF20" s="10">
        <f t="shared" si="12"/>
        <v>0</v>
      </c>
      <c r="AG20" s="10">
        <f t="shared" si="62"/>
        <v>0</v>
      </c>
      <c r="AH20" s="10">
        <f t="shared" si="13"/>
        <v>0</v>
      </c>
      <c r="AI20" s="97"/>
      <c r="AJ20" s="10">
        <f t="shared" si="14"/>
        <v>0</v>
      </c>
      <c r="AK20" s="10">
        <f t="shared" si="63"/>
        <v>0</v>
      </c>
      <c r="AL20" s="10">
        <f t="shared" si="15"/>
        <v>0</v>
      </c>
      <c r="AM20" s="97"/>
      <c r="AN20" s="10">
        <f t="shared" si="16"/>
        <v>0</v>
      </c>
      <c r="AO20" s="10">
        <f t="shared" si="64"/>
        <v>0</v>
      </c>
      <c r="AP20" s="10">
        <f t="shared" si="17"/>
        <v>0</v>
      </c>
      <c r="AQ20" s="97"/>
      <c r="AR20" s="10">
        <f t="shared" si="18"/>
        <v>0</v>
      </c>
      <c r="AS20" s="10">
        <f t="shared" si="65"/>
        <v>0</v>
      </c>
      <c r="AT20" s="10">
        <f t="shared" si="19"/>
        <v>0</v>
      </c>
      <c r="AU20" s="252"/>
      <c r="AV20" s="10">
        <f t="shared" si="20"/>
        <v>0</v>
      </c>
      <c r="AW20" s="8">
        <f t="shared" si="66"/>
        <v>0</v>
      </c>
      <c r="AX20" s="10">
        <f t="shared" si="21"/>
        <v>0</v>
      </c>
      <c r="AY20" s="97"/>
      <c r="AZ20" s="10">
        <f t="shared" si="22"/>
        <v>0</v>
      </c>
      <c r="BA20" s="10">
        <f t="shared" si="67"/>
        <v>0</v>
      </c>
      <c r="BB20" s="10">
        <f t="shared" si="23"/>
        <v>0</v>
      </c>
      <c r="BC20" s="97"/>
      <c r="BD20" s="10">
        <f t="shared" si="24"/>
        <v>0</v>
      </c>
      <c r="BE20" s="10">
        <f t="shared" si="68"/>
        <v>0</v>
      </c>
      <c r="BF20" s="10">
        <f t="shared" si="25"/>
        <v>0</v>
      </c>
      <c r="BG20" s="97"/>
      <c r="BH20" s="10">
        <f t="shared" si="26"/>
        <v>0</v>
      </c>
      <c r="BI20" s="10">
        <f t="shared" si="69"/>
        <v>0</v>
      </c>
      <c r="BJ20" s="10">
        <f t="shared" si="27"/>
        <v>0</v>
      </c>
      <c r="BK20" s="97"/>
      <c r="BL20" s="10"/>
      <c r="BM20" s="10"/>
      <c r="BN20" s="10"/>
      <c r="BO20" s="97"/>
      <c r="BP20" s="10"/>
      <c r="BQ20" s="10"/>
      <c r="BR20" s="10"/>
      <c r="BS20" s="97"/>
      <c r="BT20" s="10"/>
      <c r="BU20" s="10"/>
      <c r="BV20" s="10"/>
      <c r="BW20" s="10">
        <f t="shared" si="70"/>
        <v>0</v>
      </c>
      <c r="BX20" s="10">
        <f t="shared" si="28"/>
        <v>0</v>
      </c>
      <c r="BY20" s="10">
        <f t="shared" si="71"/>
        <v>5000</v>
      </c>
      <c r="BZ20" s="10">
        <f t="shared" si="29"/>
        <v>0.84193772802642464</v>
      </c>
      <c r="CA20" s="10"/>
      <c r="CB20" s="10">
        <f t="shared" si="72"/>
        <v>0</v>
      </c>
      <c r="CC20" s="10">
        <f t="shared" si="101"/>
        <v>0</v>
      </c>
      <c r="CD20" s="10">
        <f t="shared" si="73"/>
        <v>0</v>
      </c>
      <c r="CE20" s="10"/>
      <c r="CF20" s="10">
        <f t="shared" si="102"/>
        <v>0</v>
      </c>
      <c r="CG20" s="10">
        <f t="shared" si="103"/>
        <v>0</v>
      </c>
      <c r="CH20" s="10">
        <f t="shared" si="104"/>
        <v>0</v>
      </c>
      <c r="CI20" s="10">
        <f t="shared" si="74"/>
        <v>0</v>
      </c>
      <c r="CJ20" s="10">
        <f t="shared" si="105"/>
        <v>0</v>
      </c>
      <c r="CK20" s="10">
        <f t="shared" si="106"/>
        <v>0</v>
      </c>
      <c r="CL20" s="10">
        <f t="shared" si="107"/>
        <v>0</v>
      </c>
      <c r="CM20" s="97">
        <v>3453.5638187580839</v>
      </c>
      <c r="CN20" s="10">
        <f t="shared" si="75"/>
        <v>6.21091927204853</v>
      </c>
      <c r="CO20" s="10">
        <f t="shared" si="76"/>
        <v>3453.5638187580839</v>
      </c>
      <c r="CP20" s="10">
        <f t="shared" si="77"/>
        <v>0.58153713503188875</v>
      </c>
      <c r="CQ20" s="98">
        <v>16863.043770179404</v>
      </c>
      <c r="CR20" s="10">
        <f t="shared" si="30"/>
        <v>30.326644890340642</v>
      </c>
      <c r="CS20" s="10">
        <f t="shared" si="78"/>
        <v>178219.84450664575</v>
      </c>
      <c r="CT20" s="10">
        <f t="shared" si="31"/>
        <v>30.0100021946296</v>
      </c>
      <c r="CU20" s="97">
        <v>16333.722193149615</v>
      </c>
      <c r="CV20" s="10">
        <f t="shared" si="32"/>
        <v>29.37470835277648</v>
      </c>
      <c r="CW20" s="10">
        <f t="shared" si="79"/>
        <v>164210.76309253697</v>
      </c>
      <c r="CX20" s="10">
        <f t="shared" si="33"/>
        <v>27.651047359123204</v>
      </c>
      <c r="CY20" s="97">
        <v>7945.0130826726172</v>
      </c>
      <c r="CZ20" s="10">
        <f t="shared" si="34"/>
        <v>14.288380774615028</v>
      </c>
      <c r="DA20" s="10">
        <f t="shared" si="80"/>
        <v>72694.186732977367</v>
      </c>
      <c r="DB20" s="10">
        <f t="shared" si="35"/>
        <v>12.240795683738325</v>
      </c>
      <c r="DC20" s="97">
        <v>11009.369859497032</v>
      </c>
      <c r="DD20" s="10">
        <f t="shared" si="36"/>
        <v>19.799346710219318</v>
      </c>
      <c r="DE20" s="10">
        <f t="shared" si="81"/>
        <v>107376.74106975716</v>
      </c>
      <c r="DF20" s="10">
        <f t="shared" si="37"/>
        <v>18.080905883830603</v>
      </c>
      <c r="DG20" s="97"/>
      <c r="DH20" s="10">
        <f t="shared" si="38"/>
        <v>0</v>
      </c>
      <c r="DI20" s="10">
        <f t="shared" si="82"/>
        <v>0</v>
      </c>
      <c r="DJ20" s="10">
        <f t="shared" si="39"/>
        <v>0</v>
      </c>
      <c r="DK20" s="97"/>
      <c r="DL20" s="10">
        <f t="shared" si="83"/>
        <v>0</v>
      </c>
      <c r="DM20" s="10">
        <f t="shared" si="84"/>
        <v>0</v>
      </c>
      <c r="DN20" s="10">
        <f t="shared" si="85"/>
        <v>0</v>
      </c>
      <c r="DO20" s="492"/>
      <c r="DP20" s="10">
        <f t="shared" si="86"/>
        <v>0</v>
      </c>
      <c r="DQ20" s="10">
        <f t="shared" si="87"/>
        <v>0</v>
      </c>
      <c r="DR20" s="10">
        <f t="shared" si="88"/>
        <v>0</v>
      </c>
      <c r="DS20" s="97"/>
      <c r="DT20" s="10">
        <f t="shared" si="108"/>
        <v>0</v>
      </c>
      <c r="DU20" s="10">
        <f t="shared" si="89"/>
        <v>0</v>
      </c>
      <c r="DV20" s="10">
        <f t="shared" si="109"/>
        <v>0</v>
      </c>
      <c r="DW20" s="10">
        <f t="shared" si="40"/>
        <v>55604.712724256751</v>
      </c>
      <c r="DX20" s="10">
        <f t="shared" si="41"/>
        <v>100</v>
      </c>
      <c r="DY20" s="10">
        <f t="shared" si="90"/>
        <v>588868.14886184467</v>
      </c>
      <c r="DZ20" s="10">
        <f t="shared" si="42"/>
        <v>99.158062271973577</v>
      </c>
      <c r="EA20" s="97"/>
      <c r="EB20" s="10">
        <f t="shared" si="43"/>
        <v>0</v>
      </c>
      <c r="EC20" s="10">
        <f t="shared" si="91"/>
        <v>0</v>
      </c>
      <c r="ED20" s="10">
        <f t="shared" si="44"/>
        <v>0</v>
      </c>
      <c r="EE20" s="97"/>
      <c r="EF20" s="10">
        <f t="shared" si="45"/>
        <v>0</v>
      </c>
      <c r="EG20" s="10">
        <f t="shared" si="92"/>
        <v>0</v>
      </c>
      <c r="EH20" s="10">
        <f t="shared" si="46"/>
        <v>0</v>
      </c>
      <c r="EI20" s="97"/>
      <c r="EJ20" s="16">
        <f t="shared" si="47"/>
        <v>0</v>
      </c>
      <c r="EK20" s="10">
        <f t="shared" si="93"/>
        <v>0</v>
      </c>
      <c r="EL20" s="10">
        <f t="shared" si="48"/>
        <v>0</v>
      </c>
      <c r="EM20" s="10">
        <f t="shared" si="94"/>
        <v>0</v>
      </c>
      <c r="EN20" s="10">
        <f t="shared" si="49"/>
        <v>0</v>
      </c>
      <c r="EO20" s="10">
        <f t="shared" si="95"/>
        <v>0</v>
      </c>
      <c r="EP20" s="10">
        <f t="shared" si="50"/>
        <v>0</v>
      </c>
      <c r="EQ20" s="97"/>
      <c r="ER20" s="10">
        <f t="shared" si="51"/>
        <v>0</v>
      </c>
      <c r="ES20" s="10">
        <f t="shared" si="96"/>
        <v>0</v>
      </c>
      <c r="ET20" s="10">
        <f t="shared" si="52"/>
        <v>0</v>
      </c>
      <c r="EU20" s="10">
        <f t="shared" si="97"/>
        <v>55604.712724256751</v>
      </c>
      <c r="EV20" s="10">
        <f t="shared" si="98"/>
        <v>593868.14886184467</v>
      </c>
      <c r="EW20" s="10">
        <f t="shared" si="53"/>
        <v>1.0977575409996791</v>
      </c>
      <c r="EX20" s="10">
        <f t="shared" si="54"/>
        <v>1.1140591123852062</v>
      </c>
      <c r="EY20" s="489">
        <f t="shared" si="99"/>
        <v>0.9109479667881345</v>
      </c>
      <c r="EZ20" s="490">
        <f t="shared" si="100"/>
        <v>0.90523999477693562</v>
      </c>
      <c r="FA20" s="5" t="s">
        <v>434</v>
      </c>
    </row>
    <row r="21" spans="1:163">
      <c r="A21" s="17">
        <f>+Chem!A20</f>
        <v>45973</v>
      </c>
      <c r="B21" s="5" t="str">
        <f>+Chem!B20</f>
        <v>Toilet</v>
      </c>
      <c r="C21" s="5" t="str">
        <f>+Chem!C20</f>
        <v>13,5</v>
      </c>
      <c r="D21" s="8">
        <f>+Chem!D20</f>
        <v>50.789000000000001</v>
      </c>
      <c r="E21" s="6">
        <f>+Chem!E20</f>
        <v>49.13</v>
      </c>
      <c r="F21" s="6">
        <f t="shared" si="55"/>
        <v>582.197</v>
      </c>
      <c r="G21" s="97"/>
      <c r="H21" s="10">
        <f t="shared" si="0"/>
        <v>0</v>
      </c>
      <c r="I21" s="8">
        <f t="shared" si="56"/>
        <v>0</v>
      </c>
      <c r="J21" s="10">
        <f t="shared" si="1"/>
        <v>0</v>
      </c>
      <c r="K21" s="97"/>
      <c r="L21" s="10">
        <f t="shared" si="2"/>
        <v>0</v>
      </c>
      <c r="M21" s="10">
        <f t="shared" si="57"/>
        <v>0</v>
      </c>
      <c r="N21" s="10">
        <f t="shared" si="3"/>
        <v>0</v>
      </c>
      <c r="O21" s="97"/>
      <c r="P21" s="10">
        <f t="shared" si="4"/>
        <v>0</v>
      </c>
      <c r="Q21" s="10">
        <f t="shared" si="58"/>
        <v>0</v>
      </c>
      <c r="R21" s="10">
        <f t="shared" si="5"/>
        <v>0</v>
      </c>
      <c r="S21" s="97"/>
      <c r="T21" s="10">
        <f t="shared" si="6"/>
        <v>0</v>
      </c>
      <c r="U21" s="10">
        <f t="shared" si="59"/>
        <v>5000</v>
      </c>
      <c r="V21" s="10">
        <f t="shared" si="7"/>
        <v>0.77815760056833194</v>
      </c>
      <c r="W21" s="10"/>
      <c r="X21" s="10">
        <f t="shared" si="8"/>
        <v>0</v>
      </c>
      <c r="Y21" s="10">
        <f t="shared" si="60"/>
        <v>0</v>
      </c>
      <c r="Z21" s="10">
        <f t="shared" si="9"/>
        <v>0</v>
      </c>
      <c r="AA21" s="97"/>
      <c r="AB21" s="10">
        <f t="shared" si="10"/>
        <v>0</v>
      </c>
      <c r="AC21" s="10">
        <f t="shared" si="61"/>
        <v>0</v>
      </c>
      <c r="AD21" s="10">
        <f t="shared" si="11"/>
        <v>0</v>
      </c>
      <c r="AE21" s="97"/>
      <c r="AF21" s="10">
        <f t="shared" si="12"/>
        <v>0</v>
      </c>
      <c r="AG21" s="10">
        <f t="shared" si="62"/>
        <v>0</v>
      </c>
      <c r="AH21" s="10">
        <f t="shared" si="13"/>
        <v>0</v>
      </c>
      <c r="AI21" s="97"/>
      <c r="AJ21" s="10">
        <f t="shared" si="14"/>
        <v>0</v>
      </c>
      <c r="AK21" s="10">
        <f t="shared" si="63"/>
        <v>0</v>
      </c>
      <c r="AL21" s="10">
        <f t="shared" si="15"/>
        <v>0</v>
      </c>
      <c r="AM21" s="97"/>
      <c r="AN21" s="10">
        <f t="shared" si="16"/>
        <v>0</v>
      </c>
      <c r="AO21" s="10">
        <f t="shared" si="64"/>
        <v>0</v>
      </c>
      <c r="AP21" s="10">
        <f t="shared" si="17"/>
        <v>0</v>
      </c>
      <c r="AQ21" s="97"/>
      <c r="AR21" s="10">
        <f t="shared" si="18"/>
        <v>0</v>
      </c>
      <c r="AS21" s="10">
        <f t="shared" si="65"/>
        <v>0</v>
      </c>
      <c r="AT21" s="10">
        <f t="shared" si="19"/>
        <v>0</v>
      </c>
      <c r="AU21" s="252"/>
      <c r="AV21" s="10">
        <f t="shared" si="20"/>
        <v>0</v>
      </c>
      <c r="AW21" s="8">
        <f t="shared" si="66"/>
        <v>0</v>
      </c>
      <c r="AX21" s="10">
        <f t="shared" si="21"/>
        <v>0</v>
      </c>
      <c r="AY21" s="97"/>
      <c r="AZ21" s="10">
        <f t="shared" si="22"/>
        <v>0</v>
      </c>
      <c r="BA21" s="10">
        <f t="shared" si="67"/>
        <v>0</v>
      </c>
      <c r="BB21" s="10">
        <f t="shared" si="23"/>
        <v>0</v>
      </c>
      <c r="BC21" s="97"/>
      <c r="BD21" s="10">
        <f t="shared" si="24"/>
        <v>0</v>
      </c>
      <c r="BE21" s="10">
        <f t="shared" si="68"/>
        <v>0</v>
      </c>
      <c r="BF21" s="10">
        <f t="shared" si="25"/>
        <v>0</v>
      </c>
      <c r="BG21" s="97"/>
      <c r="BH21" s="10">
        <f t="shared" si="26"/>
        <v>0</v>
      </c>
      <c r="BI21" s="10">
        <f t="shared" si="69"/>
        <v>0</v>
      </c>
      <c r="BJ21" s="10">
        <f t="shared" si="27"/>
        <v>0</v>
      </c>
      <c r="BK21" s="97"/>
      <c r="BL21" s="10"/>
      <c r="BM21" s="10"/>
      <c r="BN21" s="10"/>
      <c r="BO21" s="97"/>
      <c r="BP21" s="10"/>
      <c r="BQ21" s="10"/>
      <c r="BR21" s="10"/>
      <c r="BS21" s="97"/>
      <c r="BT21" s="10"/>
      <c r="BU21" s="10"/>
      <c r="BV21" s="10"/>
      <c r="BW21" s="10">
        <f t="shared" si="70"/>
        <v>0</v>
      </c>
      <c r="BX21" s="10">
        <f t="shared" si="28"/>
        <v>0</v>
      </c>
      <c r="BY21" s="10">
        <f t="shared" si="71"/>
        <v>5000</v>
      </c>
      <c r="BZ21" s="10">
        <f t="shared" si="29"/>
        <v>0.77815760056833194</v>
      </c>
      <c r="CA21" s="10"/>
      <c r="CB21" s="10">
        <f t="shared" si="72"/>
        <v>0</v>
      </c>
      <c r="CC21" s="10">
        <f t="shared" si="101"/>
        <v>0</v>
      </c>
      <c r="CD21" s="10">
        <f t="shared" si="73"/>
        <v>0</v>
      </c>
      <c r="CE21" s="10"/>
      <c r="CF21" s="10">
        <f t="shared" si="102"/>
        <v>0</v>
      </c>
      <c r="CG21" s="10">
        <f t="shared" si="103"/>
        <v>0</v>
      </c>
      <c r="CH21" s="10">
        <f t="shared" si="104"/>
        <v>0</v>
      </c>
      <c r="CI21" s="10">
        <f t="shared" si="74"/>
        <v>0</v>
      </c>
      <c r="CJ21" s="10">
        <f t="shared" si="105"/>
        <v>0</v>
      </c>
      <c r="CK21" s="10">
        <f t="shared" si="106"/>
        <v>0</v>
      </c>
      <c r="CL21" s="10">
        <f t="shared" si="107"/>
        <v>0</v>
      </c>
      <c r="CM21" s="97">
        <v>3146.9179907933417</v>
      </c>
      <c r="CN21" s="10">
        <f t="shared" si="75"/>
        <v>6.4651346286616036</v>
      </c>
      <c r="CO21" s="10">
        <f t="shared" si="76"/>
        <v>3146.9179907933417</v>
      </c>
      <c r="CP21" s="10">
        <f t="shared" si="77"/>
        <v>0.48975963058021255</v>
      </c>
      <c r="CQ21" s="98">
        <v>15602.568222850283</v>
      </c>
      <c r="CR21" s="10">
        <f t="shared" si="30"/>
        <v>32.054443238978202</v>
      </c>
      <c r="CS21" s="10">
        <f t="shared" si="78"/>
        <v>193822.41272949602</v>
      </c>
      <c r="CT21" s="10">
        <f t="shared" si="31"/>
        <v>30.164876725189909</v>
      </c>
      <c r="CU21" s="97">
        <v>15096.08485438545</v>
      </c>
      <c r="CV21" s="10">
        <f t="shared" si="32"/>
        <v>31.013906696912908</v>
      </c>
      <c r="CW21" s="10">
        <f t="shared" si="79"/>
        <v>179306.84794692241</v>
      </c>
      <c r="CX21" s="10">
        <f t="shared" si="33"/>
        <v>27.905797312769575</v>
      </c>
      <c r="CY21" s="97">
        <v>6356.2462544780838</v>
      </c>
      <c r="CZ21" s="10">
        <f t="shared" si="34"/>
        <v>13.058487030279121</v>
      </c>
      <c r="DA21" s="10">
        <f t="shared" si="80"/>
        <v>79050.432987455453</v>
      </c>
      <c r="DB21" s="10">
        <f t="shared" si="35"/>
        <v>12.302739051481209</v>
      </c>
      <c r="DC21" s="97">
        <v>7321.2050891835943</v>
      </c>
      <c r="DD21" s="10">
        <f t="shared" si="36"/>
        <v>15.040931058289772</v>
      </c>
      <c r="DE21" s="10">
        <f t="shared" si="81"/>
        <v>114697.94615894076</v>
      </c>
      <c r="DF21" s="10">
        <f t="shared" si="37"/>
        <v>17.850615714631413</v>
      </c>
      <c r="DG21" s="97">
        <v>1152.189653379713</v>
      </c>
      <c r="DH21" s="10">
        <f t="shared" si="38"/>
        <v>2.3670973468783902</v>
      </c>
      <c r="DI21" s="10">
        <f t="shared" si="82"/>
        <v>1152.189653379713</v>
      </c>
      <c r="DJ21" s="10">
        <f t="shared" si="39"/>
        <v>0.17931702721472312</v>
      </c>
      <c r="DK21" s="97"/>
      <c r="DL21" s="10">
        <f t="shared" si="83"/>
        <v>0</v>
      </c>
      <c r="DM21" s="10">
        <f t="shared" si="84"/>
        <v>0</v>
      </c>
      <c r="DN21" s="10">
        <f t="shared" si="85"/>
        <v>0</v>
      </c>
      <c r="DO21" s="492"/>
      <c r="DP21" s="10">
        <f t="shared" si="86"/>
        <v>0</v>
      </c>
      <c r="DQ21" s="10">
        <f t="shared" si="87"/>
        <v>0</v>
      </c>
      <c r="DR21" s="10">
        <f t="shared" si="88"/>
        <v>0</v>
      </c>
      <c r="DS21" s="97"/>
      <c r="DT21" s="10">
        <f t="shared" si="108"/>
        <v>0</v>
      </c>
      <c r="DU21" s="10">
        <f t="shared" si="89"/>
        <v>0</v>
      </c>
      <c r="DV21" s="10">
        <f t="shared" si="109"/>
        <v>0</v>
      </c>
      <c r="DW21" s="10">
        <f>CQ21+CU21+CY21+DC21+DG21+DK21+DO21+DS21+CM21</f>
        <v>48675.212065070467</v>
      </c>
      <c r="DX21" s="10">
        <f t="shared" si="41"/>
        <v>100</v>
      </c>
      <c r="DY21" s="10">
        <f t="shared" si="90"/>
        <v>637543.36092691519</v>
      </c>
      <c r="DZ21" s="10">
        <f t="shared" si="42"/>
        <v>99.221842399431665</v>
      </c>
      <c r="EA21" s="97"/>
      <c r="EB21" s="10">
        <f t="shared" si="43"/>
        <v>0</v>
      </c>
      <c r="EC21" s="10">
        <f t="shared" si="91"/>
        <v>0</v>
      </c>
      <c r="ED21" s="10">
        <f t="shared" si="44"/>
        <v>0</v>
      </c>
      <c r="EE21" s="97"/>
      <c r="EF21" s="10">
        <f t="shared" si="45"/>
        <v>0</v>
      </c>
      <c r="EG21" s="10">
        <f t="shared" si="92"/>
        <v>0</v>
      </c>
      <c r="EH21" s="10">
        <f t="shared" si="46"/>
        <v>0</v>
      </c>
      <c r="EI21" s="97"/>
      <c r="EJ21" s="16">
        <f t="shared" si="47"/>
        <v>0</v>
      </c>
      <c r="EK21" s="10">
        <f t="shared" si="93"/>
        <v>0</v>
      </c>
      <c r="EL21" s="10">
        <f t="shared" si="48"/>
        <v>0</v>
      </c>
      <c r="EM21" s="10">
        <f t="shared" si="94"/>
        <v>0</v>
      </c>
      <c r="EN21" s="10">
        <f t="shared" si="49"/>
        <v>0</v>
      </c>
      <c r="EO21" s="10">
        <f t="shared" si="95"/>
        <v>0</v>
      </c>
      <c r="EP21" s="10">
        <f t="shared" si="50"/>
        <v>0</v>
      </c>
      <c r="EQ21" s="97"/>
      <c r="ER21" s="10">
        <f t="shared" si="51"/>
        <v>0</v>
      </c>
      <c r="ES21" s="10">
        <f t="shared" si="96"/>
        <v>0</v>
      </c>
      <c r="ET21" s="10">
        <f t="shared" si="52"/>
        <v>0</v>
      </c>
      <c r="EU21" s="10">
        <f t="shared" si="97"/>
        <v>48675.212065070467</v>
      </c>
      <c r="EV21" s="10">
        <f t="shared" si="98"/>
        <v>642543.36092691519</v>
      </c>
      <c r="EW21" s="10">
        <f t="shared" si="53"/>
        <v>0.99074317250296084</v>
      </c>
      <c r="EX21" s="10">
        <f t="shared" si="54"/>
        <v>1.1036528201397726</v>
      </c>
      <c r="EY21" s="489">
        <f t="shared" si="99"/>
        <v>1.0093433169704851</v>
      </c>
      <c r="EZ21" s="490">
        <f t="shared" si="100"/>
        <v>0.91318808363646375</v>
      </c>
      <c r="FA21" s="5" t="s">
        <v>434</v>
      </c>
      <c r="FF21" s="14"/>
      <c r="FG21" s="14"/>
    </row>
    <row r="22" spans="1:163">
      <c r="A22" s="17">
        <f>+Chem!A21</f>
        <v>45974</v>
      </c>
      <c r="B22" s="5" t="str">
        <f>+Chem!B21</f>
        <v>Toilet</v>
      </c>
      <c r="C22" s="5" t="str">
        <f>+Chem!C21</f>
        <v>13,5</v>
      </c>
      <c r="D22" s="8">
        <f>+Chem!D21</f>
        <v>38.309000000000005</v>
      </c>
      <c r="E22" s="6">
        <f>+Chem!E21</f>
        <v>29.459</v>
      </c>
      <c r="F22" s="6">
        <f t="shared" si="55"/>
        <v>611.65599999999995</v>
      </c>
      <c r="G22" s="97"/>
      <c r="H22" s="10">
        <f t="shared" si="0"/>
        <v>0</v>
      </c>
      <c r="I22" s="8">
        <f t="shared" si="56"/>
        <v>0</v>
      </c>
      <c r="J22" s="10">
        <f t="shared" si="1"/>
        <v>0</v>
      </c>
      <c r="K22" s="97"/>
      <c r="L22" s="10">
        <f t="shared" si="2"/>
        <v>0</v>
      </c>
      <c r="M22" s="10">
        <f t="shared" si="57"/>
        <v>0</v>
      </c>
      <c r="N22" s="10">
        <f t="shared" si="3"/>
        <v>0</v>
      </c>
      <c r="O22" s="97"/>
      <c r="P22" s="10">
        <f t="shared" si="4"/>
        <v>0</v>
      </c>
      <c r="Q22" s="10">
        <f t="shared" si="58"/>
        <v>0</v>
      </c>
      <c r="R22" s="10">
        <f t="shared" si="5"/>
        <v>0</v>
      </c>
      <c r="S22" s="97"/>
      <c r="T22" s="10">
        <f t="shared" si="6"/>
        <v>0</v>
      </c>
      <c r="U22" s="10">
        <f t="shared" si="59"/>
        <v>5000</v>
      </c>
      <c r="V22" s="10">
        <f t="shared" si="7"/>
        <v>0.73221150280143832</v>
      </c>
      <c r="W22" s="10"/>
      <c r="X22" s="10">
        <f t="shared" si="8"/>
        <v>0</v>
      </c>
      <c r="Y22" s="10">
        <f t="shared" si="60"/>
        <v>0</v>
      </c>
      <c r="Z22" s="10">
        <f t="shared" si="9"/>
        <v>0</v>
      </c>
      <c r="AA22" s="97"/>
      <c r="AB22" s="10">
        <f t="shared" si="10"/>
        <v>0</v>
      </c>
      <c r="AC22" s="10">
        <f t="shared" si="61"/>
        <v>0</v>
      </c>
      <c r="AD22" s="10">
        <f t="shared" si="11"/>
        <v>0</v>
      </c>
      <c r="AE22" s="97"/>
      <c r="AF22" s="10">
        <f t="shared" si="12"/>
        <v>0</v>
      </c>
      <c r="AG22" s="10">
        <f t="shared" si="62"/>
        <v>0</v>
      </c>
      <c r="AH22" s="10">
        <f t="shared" si="13"/>
        <v>0</v>
      </c>
      <c r="AI22" s="97"/>
      <c r="AJ22" s="10">
        <f t="shared" si="14"/>
        <v>0</v>
      </c>
      <c r="AK22" s="10">
        <f t="shared" si="63"/>
        <v>0</v>
      </c>
      <c r="AL22" s="10">
        <f t="shared" si="15"/>
        <v>0</v>
      </c>
      <c r="AM22" s="97"/>
      <c r="AN22" s="10">
        <f t="shared" si="16"/>
        <v>0</v>
      </c>
      <c r="AO22" s="10">
        <f t="shared" si="64"/>
        <v>0</v>
      </c>
      <c r="AP22" s="10">
        <f t="shared" si="17"/>
        <v>0</v>
      </c>
      <c r="AQ22" s="97"/>
      <c r="AR22" s="10">
        <f t="shared" si="18"/>
        <v>0</v>
      </c>
      <c r="AS22" s="10">
        <f t="shared" si="65"/>
        <v>0</v>
      </c>
      <c r="AT22" s="10">
        <f t="shared" si="19"/>
        <v>0</v>
      </c>
      <c r="AU22" s="252"/>
      <c r="AV22" s="10">
        <f t="shared" si="20"/>
        <v>0</v>
      </c>
      <c r="AW22" s="8">
        <f t="shared" si="66"/>
        <v>0</v>
      </c>
      <c r="AX22" s="10">
        <f t="shared" si="21"/>
        <v>0</v>
      </c>
      <c r="AY22" s="97"/>
      <c r="AZ22" s="10">
        <f t="shared" si="22"/>
        <v>0</v>
      </c>
      <c r="BA22" s="10">
        <f t="shared" si="67"/>
        <v>0</v>
      </c>
      <c r="BB22" s="10">
        <f t="shared" si="23"/>
        <v>0</v>
      </c>
      <c r="BC22" s="97"/>
      <c r="BD22" s="10">
        <f t="shared" si="24"/>
        <v>0</v>
      </c>
      <c r="BE22" s="10">
        <f t="shared" si="68"/>
        <v>0</v>
      </c>
      <c r="BF22" s="10">
        <f t="shared" si="25"/>
        <v>0</v>
      </c>
      <c r="BG22" s="97"/>
      <c r="BH22" s="10">
        <f t="shared" si="26"/>
        <v>0</v>
      </c>
      <c r="BI22" s="10">
        <f t="shared" si="69"/>
        <v>0</v>
      </c>
      <c r="BJ22" s="10">
        <f t="shared" si="27"/>
        <v>0</v>
      </c>
      <c r="BK22" s="97"/>
      <c r="BL22" s="10"/>
      <c r="BM22" s="10"/>
      <c r="BN22" s="10"/>
      <c r="BO22" s="97"/>
      <c r="BP22" s="10"/>
      <c r="BQ22" s="10"/>
      <c r="BR22" s="10"/>
      <c r="BS22" s="97"/>
      <c r="BT22" s="10"/>
      <c r="BU22" s="10"/>
      <c r="BV22" s="10"/>
      <c r="BW22" s="10">
        <f t="shared" si="70"/>
        <v>0</v>
      </c>
      <c r="BX22" s="10">
        <f t="shared" si="28"/>
        <v>0</v>
      </c>
      <c r="BY22" s="10">
        <f t="shared" si="71"/>
        <v>5000</v>
      </c>
      <c r="BZ22" s="10">
        <f t="shared" si="29"/>
        <v>0.73221150280143832</v>
      </c>
      <c r="CA22" s="10"/>
      <c r="CB22" s="10">
        <f t="shared" si="72"/>
        <v>0</v>
      </c>
      <c r="CC22" s="10">
        <f t="shared" si="101"/>
        <v>0</v>
      </c>
      <c r="CD22" s="10">
        <f t="shared" si="73"/>
        <v>0</v>
      </c>
      <c r="CE22" s="10"/>
      <c r="CF22" s="10">
        <f t="shared" si="102"/>
        <v>0</v>
      </c>
      <c r="CG22" s="10">
        <f t="shared" si="103"/>
        <v>0</v>
      </c>
      <c r="CH22" s="10">
        <f t="shared" si="104"/>
        <v>0</v>
      </c>
      <c r="CI22" s="10">
        <f t="shared" si="74"/>
        <v>0</v>
      </c>
      <c r="CJ22" s="10">
        <f t="shared" si="105"/>
        <v>0</v>
      </c>
      <c r="CK22" s="10">
        <f t="shared" si="106"/>
        <v>0</v>
      </c>
      <c r="CL22" s="10">
        <f t="shared" si="107"/>
        <v>0</v>
      </c>
      <c r="CM22" s="97">
        <v>2482.7762123378052</v>
      </c>
      <c r="CN22" s="10">
        <f t="shared" si="75"/>
        <v>6.1577641373906236</v>
      </c>
      <c r="CO22" s="10">
        <f t="shared" si="76"/>
        <v>2482.7762123378052</v>
      </c>
      <c r="CP22" s="10">
        <f t="shared" si="77"/>
        <v>0.36358346031110544</v>
      </c>
      <c r="CQ22" s="98">
        <v>12342.794149989004</v>
      </c>
      <c r="CR22" s="10">
        <f t="shared" si="30"/>
        <v>30.612511427452009</v>
      </c>
      <c r="CS22" s="10">
        <f t="shared" si="78"/>
        <v>206165.20687948502</v>
      </c>
      <c r="CT22" s="10">
        <f t="shared" si="31"/>
        <v>30.191307190919431</v>
      </c>
      <c r="CU22" s="97">
        <v>11984.726742907411</v>
      </c>
      <c r="CV22" s="10">
        <f t="shared" si="32"/>
        <v>29.724435157372341</v>
      </c>
      <c r="CW22" s="10">
        <f t="shared" si="79"/>
        <v>191291.57468982981</v>
      </c>
      <c r="CX22" s="10">
        <f t="shared" si="33"/>
        <v>28.013178275378774</v>
      </c>
      <c r="CY22" s="97">
        <v>5763.3055448647465</v>
      </c>
      <c r="CZ22" s="10">
        <f t="shared" si="34"/>
        <v>14.29410996473815</v>
      </c>
      <c r="DA22" s="10">
        <f t="shared" si="80"/>
        <v>84813.738532320203</v>
      </c>
      <c r="DB22" s="10">
        <f t="shared" si="35"/>
        <v>12.420318989791685</v>
      </c>
      <c r="DC22" s="97">
        <v>7745.8405267209146</v>
      </c>
      <c r="DD22" s="10">
        <f t="shared" si="36"/>
        <v>19.211179313046888</v>
      </c>
      <c r="DE22" s="10">
        <f t="shared" si="81"/>
        <v>122443.78668566167</v>
      </c>
      <c r="DF22" s="10">
        <f t="shared" si="37"/>
        <v>17.930949811561415</v>
      </c>
      <c r="DG22" s="97"/>
      <c r="DH22" s="10">
        <f t="shared" si="38"/>
        <v>0</v>
      </c>
      <c r="DI22" s="10">
        <f t="shared" si="82"/>
        <v>1152.189653379713</v>
      </c>
      <c r="DJ22" s="10">
        <f t="shared" si="39"/>
        <v>0.16872930352268561</v>
      </c>
      <c r="DK22" s="97"/>
      <c r="DL22" s="10">
        <f t="shared" si="83"/>
        <v>0</v>
      </c>
      <c r="DM22" s="10">
        <f t="shared" si="84"/>
        <v>0</v>
      </c>
      <c r="DN22" s="10">
        <f t="shared" si="85"/>
        <v>0</v>
      </c>
      <c r="DO22" s="492"/>
      <c r="DP22" s="10">
        <f t="shared" si="86"/>
        <v>0</v>
      </c>
      <c r="DQ22" s="10">
        <f t="shared" si="87"/>
        <v>0</v>
      </c>
      <c r="DR22" s="10">
        <f t="shared" si="88"/>
        <v>0</v>
      </c>
      <c r="DS22" s="97"/>
      <c r="DT22" s="10">
        <f t="shared" si="108"/>
        <v>0</v>
      </c>
      <c r="DU22" s="10">
        <f t="shared" si="89"/>
        <v>0</v>
      </c>
      <c r="DV22" s="10">
        <f t="shared" si="109"/>
        <v>0</v>
      </c>
      <c r="DW22" s="10">
        <f t="shared" si="40"/>
        <v>40319.443176819877</v>
      </c>
      <c r="DX22" s="10">
        <f t="shared" si="41"/>
        <v>100</v>
      </c>
      <c r="DY22" s="10">
        <f t="shared" si="90"/>
        <v>677862.80410373502</v>
      </c>
      <c r="DZ22" s="10">
        <f t="shared" si="42"/>
        <v>99.267788497198566</v>
      </c>
      <c r="EA22" s="97"/>
      <c r="EB22" s="10">
        <f t="shared" si="43"/>
        <v>0</v>
      </c>
      <c r="EC22" s="10">
        <f t="shared" si="91"/>
        <v>0</v>
      </c>
      <c r="ED22" s="10">
        <f t="shared" si="44"/>
        <v>0</v>
      </c>
      <c r="EE22" s="97"/>
      <c r="EF22" s="10">
        <f t="shared" si="45"/>
        <v>0</v>
      </c>
      <c r="EG22" s="10">
        <f t="shared" si="92"/>
        <v>0</v>
      </c>
      <c r="EH22" s="10">
        <f t="shared" si="46"/>
        <v>0</v>
      </c>
      <c r="EI22" s="97"/>
      <c r="EJ22" s="16">
        <f t="shared" si="47"/>
        <v>0</v>
      </c>
      <c r="EK22" s="10">
        <f t="shared" si="93"/>
        <v>0</v>
      </c>
      <c r="EL22" s="10">
        <f t="shared" si="48"/>
        <v>0</v>
      </c>
      <c r="EM22" s="10">
        <f t="shared" si="94"/>
        <v>0</v>
      </c>
      <c r="EN22" s="10">
        <f t="shared" si="49"/>
        <v>0</v>
      </c>
      <c r="EO22" s="10">
        <f t="shared" si="95"/>
        <v>0</v>
      </c>
      <c r="EP22" s="10">
        <f t="shared" si="50"/>
        <v>0</v>
      </c>
      <c r="EQ22" s="97"/>
      <c r="ER22" s="10">
        <f t="shared" si="51"/>
        <v>0</v>
      </c>
      <c r="ES22" s="10">
        <f t="shared" si="96"/>
        <v>0</v>
      </c>
      <c r="ET22" s="10">
        <f t="shared" si="52"/>
        <v>0</v>
      </c>
      <c r="EU22" s="10">
        <f t="shared" si="97"/>
        <v>40319.443176819877</v>
      </c>
      <c r="EV22" s="10">
        <f t="shared" si="98"/>
        <v>682862.80410373502</v>
      </c>
      <c r="EW22" s="10">
        <f t="shared" si="53"/>
        <v>1.3686629952415179</v>
      </c>
      <c r="EX22" s="10">
        <f t="shared" si="54"/>
        <v>1.1164164237802541</v>
      </c>
      <c r="EY22" s="489">
        <f t="shared" si="99"/>
        <v>0.73064005052868208</v>
      </c>
      <c r="EZ22" s="490">
        <f t="shared" si="100"/>
        <v>0.9023300825728694</v>
      </c>
      <c r="FA22" s="5" t="s">
        <v>434</v>
      </c>
      <c r="FF22" s="14"/>
      <c r="FG22" s="14"/>
    </row>
    <row r="23" spans="1:163">
      <c r="A23" s="17">
        <f>+Chem!A22</f>
        <v>45975</v>
      </c>
      <c r="B23" s="5" t="str">
        <f>+Chem!B22</f>
        <v>Toilet</v>
      </c>
      <c r="C23" s="5" t="str">
        <f>+Chem!C22</f>
        <v>13,5/15,5</v>
      </c>
      <c r="D23" s="8">
        <f>+Chem!D22</f>
        <v>48.929000000000002</v>
      </c>
      <c r="E23" s="6">
        <f>+Chem!E22</f>
        <v>53.488999999999997</v>
      </c>
      <c r="F23" s="6">
        <f t="shared" si="55"/>
        <v>665.14499999999998</v>
      </c>
      <c r="G23" s="97"/>
      <c r="H23" s="10">
        <f t="shared" si="0"/>
        <v>0</v>
      </c>
      <c r="I23" s="8">
        <f t="shared" si="56"/>
        <v>0</v>
      </c>
      <c r="J23" s="10">
        <f t="shared" si="1"/>
        <v>0</v>
      </c>
      <c r="K23" s="97"/>
      <c r="L23" s="10">
        <f t="shared" si="2"/>
        <v>0</v>
      </c>
      <c r="M23" s="10">
        <f t="shared" si="57"/>
        <v>0</v>
      </c>
      <c r="N23" s="10">
        <f t="shared" si="3"/>
        <v>0</v>
      </c>
      <c r="O23" s="97"/>
      <c r="P23" s="10">
        <f t="shared" si="4"/>
        <v>0</v>
      </c>
      <c r="Q23" s="10">
        <f t="shared" si="58"/>
        <v>0</v>
      </c>
      <c r="R23" s="10">
        <f t="shared" si="5"/>
        <v>0</v>
      </c>
      <c r="S23" s="97"/>
      <c r="T23" s="10">
        <f t="shared" si="6"/>
        <v>0</v>
      </c>
      <c r="U23" s="10">
        <f t="shared" si="59"/>
        <v>5000</v>
      </c>
      <c r="V23" s="10">
        <f t="shared" si="7"/>
        <v>0.68385511196002025</v>
      </c>
      <c r="W23" s="10"/>
      <c r="X23" s="10">
        <f t="shared" si="8"/>
        <v>0</v>
      </c>
      <c r="Y23" s="10">
        <f t="shared" si="60"/>
        <v>0</v>
      </c>
      <c r="Z23" s="10">
        <f t="shared" si="9"/>
        <v>0</v>
      </c>
      <c r="AA23" s="97"/>
      <c r="AB23" s="10">
        <f t="shared" si="10"/>
        <v>0</v>
      </c>
      <c r="AC23" s="10">
        <f t="shared" si="61"/>
        <v>0</v>
      </c>
      <c r="AD23" s="10">
        <f t="shared" si="11"/>
        <v>0</v>
      </c>
      <c r="AE23" s="97"/>
      <c r="AF23" s="10">
        <f t="shared" si="12"/>
        <v>0</v>
      </c>
      <c r="AG23" s="10">
        <f t="shared" si="62"/>
        <v>0</v>
      </c>
      <c r="AH23" s="10">
        <f t="shared" si="13"/>
        <v>0</v>
      </c>
      <c r="AI23" s="97"/>
      <c r="AJ23" s="10">
        <f t="shared" si="14"/>
        <v>0</v>
      </c>
      <c r="AK23" s="10">
        <f t="shared" si="63"/>
        <v>0</v>
      </c>
      <c r="AL23" s="10">
        <f t="shared" si="15"/>
        <v>0</v>
      </c>
      <c r="AM23" s="97"/>
      <c r="AN23" s="10">
        <f t="shared" si="16"/>
        <v>0</v>
      </c>
      <c r="AO23" s="10">
        <f t="shared" si="64"/>
        <v>0</v>
      </c>
      <c r="AP23" s="10">
        <f t="shared" si="17"/>
        <v>0</v>
      </c>
      <c r="AQ23" s="97"/>
      <c r="AR23" s="10">
        <f t="shared" si="18"/>
        <v>0</v>
      </c>
      <c r="AS23" s="10">
        <f t="shared" si="65"/>
        <v>0</v>
      </c>
      <c r="AT23" s="10">
        <f t="shared" si="19"/>
        <v>0</v>
      </c>
      <c r="AU23" s="252"/>
      <c r="AV23" s="10">
        <f t="shared" si="20"/>
        <v>0</v>
      </c>
      <c r="AW23" s="8">
        <f t="shared" si="66"/>
        <v>0</v>
      </c>
      <c r="AX23" s="10">
        <f t="shared" si="21"/>
        <v>0</v>
      </c>
      <c r="AY23" s="97"/>
      <c r="AZ23" s="10">
        <f t="shared" si="22"/>
        <v>0</v>
      </c>
      <c r="BA23" s="10">
        <f t="shared" si="67"/>
        <v>0</v>
      </c>
      <c r="BB23" s="10">
        <f t="shared" si="23"/>
        <v>0</v>
      </c>
      <c r="BC23" s="97"/>
      <c r="BD23" s="10">
        <f t="shared" si="24"/>
        <v>0</v>
      </c>
      <c r="BE23" s="10">
        <f t="shared" si="68"/>
        <v>0</v>
      </c>
      <c r="BF23" s="10">
        <f t="shared" si="25"/>
        <v>0</v>
      </c>
      <c r="BG23" s="97"/>
      <c r="BH23" s="10">
        <f t="shared" si="26"/>
        <v>0</v>
      </c>
      <c r="BI23" s="10">
        <f t="shared" si="69"/>
        <v>0</v>
      </c>
      <c r="BJ23" s="10">
        <f t="shared" si="27"/>
        <v>0</v>
      </c>
      <c r="BK23" s="97"/>
      <c r="BL23" s="10"/>
      <c r="BM23" s="10"/>
      <c r="BN23" s="10"/>
      <c r="BO23" s="97"/>
      <c r="BP23" s="10"/>
      <c r="BQ23" s="10"/>
      <c r="BR23" s="10"/>
      <c r="BS23" s="97"/>
      <c r="BT23" s="10"/>
      <c r="BU23" s="10"/>
      <c r="BV23" s="10"/>
      <c r="BW23" s="10">
        <f t="shared" si="70"/>
        <v>0</v>
      </c>
      <c r="BX23" s="10">
        <f t="shared" si="28"/>
        <v>0</v>
      </c>
      <c r="BY23" s="10">
        <f t="shared" si="71"/>
        <v>5000</v>
      </c>
      <c r="BZ23" s="10">
        <f t="shared" si="29"/>
        <v>0.68385511196002025</v>
      </c>
      <c r="CA23" s="10"/>
      <c r="CB23" s="10">
        <f t="shared" si="72"/>
        <v>0</v>
      </c>
      <c r="CC23" s="10">
        <f t="shared" si="101"/>
        <v>0</v>
      </c>
      <c r="CD23" s="10">
        <f t="shared" si="73"/>
        <v>0</v>
      </c>
      <c r="CE23" s="10"/>
      <c r="CF23" s="10">
        <f t="shared" si="102"/>
        <v>0</v>
      </c>
      <c r="CG23" s="10">
        <f t="shared" si="103"/>
        <v>0</v>
      </c>
      <c r="CH23" s="10">
        <f t="shared" si="104"/>
        <v>0</v>
      </c>
      <c r="CI23" s="10">
        <f t="shared" si="74"/>
        <v>0</v>
      </c>
      <c r="CJ23" s="10">
        <f t="shared" si="105"/>
        <v>0</v>
      </c>
      <c r="CK23" s="10">
        <f t="shared" si="106"/>
        <v>0</v>
      </c>
      <c r="CL23" s="10">
        <f t="shared" si="107"/>
        <v>0</v>
      </c>
      <c r="CM23" s="97">
        <v>2953.1666069080916</v>
      </c>
      <c r="CN23" s="10">
        <f t="shared" si="75"/>
        <v>6.1159610435484684</v>
      </c>
      <c r="CO23" s="10">
        <f t="shared" si="76"/>
        <v>2953.1666069080916</v>
      </c>
      <c r="CP23" s="10">
        <f t="shared" si="77"/>
        <v>0.40390761612074516</v>
      </c>
      <c r="CQ23" s="98">
        <v>14887.663340105973</v>
      </c>
      <c r="CR23" s="10">
        <f t="shared" si="30"/>
        <v>30.832113841651111</v>
      </c>
      <c r="CS23" s="10">
        <f t="shared" si="78"/>
        <v>221052.87021959099</v>
      </c>
      <c r="CT23" s="10">
        <f t="shared" si="31"/>
        <v>30.233627062620442</v>
      </c>
      <c r="CU23" s="97">
        <v>14293.131448946258</v>
      </c>
      <c r="CV23" s="10">
        <f t="shared" si="32"/>
        <v>29.600847756976336</v>
      </c>
      <c r="CW23" s="10">
        <f t="shared" si="79"/>
        <v>205584.70613877606</v>
      </c>
      <c r="CX23" s="10">
        <f t="shared" si="33"/>
        <v>28.118030446760113</v>
      </c>
      <c r="CY23" s="97">
        <v>8052.9831978805632</v>
      </c>
      <c r="CZ23" s="10">
        <f t="shared" si="34"/>
        <v>16.677600040369381</v>
      </c>
      <c r="DA23" s="10">
        <f t="shared" si="80"/>
        <v>92866.721730200763</v>
      </c>
      <c r="DB23" s="10">
        <f t="shared" si="35"/>
        <v>12.701476477233298</v>
      </c>
      <c r="DC23" s="97">
        <v>8099.2787139954589</v>
      </c>
      <c r="DD23" s="10">
        <f t="shared" si="36"/>
        <v>16.773477317454709</v>
      </c>
      <c r="DE23" s="10">
        <f t="shared" si="81"/>
        <v>130543.06539965713</v>
      </c>
      <c r="DF23" s="10">
        <f t="shared" si="37"/>
        <v>17.854508520897351</v>
      </c>
      <c r="DG23" s="97"/>
      <c r="DH23" s="10">
        <f t="shared" si="38"/>
        <v>0</v>
      </c>
      <c r="DI23" s="10">
        <f t="shared" si="82"/>
        <v>1152.189653379713</v>
      </c>
      <c r="DJ23" s="10">
        <f t="shared" si="39"/>
        <v>0.1575861568822321</v>
      </c>
      <c r="DK23" s="97"/>
      <c r="DL23" s="10">
        <f t="shared" si="83"/>
        <v>0</v>
      </c>
      <c r="DM23" s="10">
        <f t="shared" si="84"/>
        <v>0</v>
      </c>
      <c r="DN23" s="10">
        <f t="shared" si="85"/>
        <v>0</v>
      </c>
      <c r="DO23" s="492"/>
      <c r="DP23" s="10">
        <f t="shared" si="86"/>
        <v>0</v>
      </c>
      <c r="DQ23" s="10">
        <f t="shared" si="87"/>
        <v>0</v>
      </c>
      <c r="DR23" s="10">
        <f t="shared" si="88"/>
        <v>0</v>
      </c>
      <c r="DS23" s="97"/>
      <c r="DT23" s="10">
        <f t="shared" si="108"/>
        <v>0</v>
      </c>
      <c r="DU23" s="10">
        <f t="shared" si="89"/>
        <v>0</v>
      </c>
      <c r="DV23" s="10">
        <f t="shared" si="109"/>
        <v>0</v>
      </c>
      <c r="DW23" s="10">
        <f t="shared" si="40"/>
        <v>48286.223307836342</v>
      </c>
      <c r="DX23" s="10">
        <f t="shared" si="41"/>
        <v>100</v>
      </c>
      <c r="DY23" s="10">
        <f t="shared" si="90"/>
        <v>726149.02741157135</v>
      </c>
      <c r="DZ23" s="10">
        <f t="shared" si="42"/>
        <v>99.316144888039986</v>
      </c>
      <c r="EA23" s="97"/>
      <c r="EB23" s="10">
        <f t="shared" si="43"/>
        <v>0</v>
      </c>
      <c r="EC23" s="10">
        <f t="shared" si="91"/>
        <v>0</v>
      </c>
      <c r="ED23" s="10">
        <f t="shared" si="44"/>
        <v>0</v>
      </c>
      <c r="EE23" s="97"/>
      <c r="EF23" s="10">
        <f t="shared" si="45"/>
        <v>0</v>
      </c>
      <c r="EG23" s="10">
        <f t="shared" si="92"/>
        <v>0</v>
      </c>
      <c r="EH23" s="10">
        <f t="shared" si="46"/>
        <v>0</v>
      </c>
      <c r="EI23" s="97"/>
      <c r="EJ23" s="16">
        <f t="shared" si="47"/>
        <v>0</v>
      </c>
      <c r="EK23" s="10">
        <f t="shared" si="93"/>
        <v>0</v>
      </c>
      <c r="EL23" s="10">
        <f t="shared" si="48"/>
        <v>0</v>
      </c>
      <c r="EM23" s="10">
        <f t="shared" si="94"/>
        <v>0</v>
      </c>
      <c r="EN23" s="10">
        <f t="shared" si="49"/>
        <v>0</v>
      </c>
      <c r="EO23" s="10">
        <f t="shared" si="95"/>
        <v>0</v>
      </c>
      <c r="EP23" s="10">
        <f t="shared" si="50"/>
        <v>0</v>
      </c>
      <c r="EQ23" s="97"/>
      <c r="ER23" s="10">
        <f t="shared" si="51"/>
        <v>0</v>
      </c>
      <c r="ES23" s="10">
        <f t="shared" si="96"/>
        <v>0</v>
      </c>
      <c r="ET23" s="10">
        <f t="shared" si="52"/>
        <v>0</v>
      </c>
      <c r="EU23" s="10">
        <f t="shared" si="97"/>
        <v>48286.223307836342</v>
      </c>
      <c r="EV23" s="10">
        <f t="shared" si="98"/>
        <v>731149.02741157135</v>
      </c>
      <c r="EW23" s="10">
        <f t="shared" si="53"/>
        <v>0.90273183846840188</v>
      </c>
      <c r="EX23" s="10">
        <f t="shared" si="54"/>
        <v>1.0992325393885114</v>
      </c>
      <c r="EY23" s="489">
        <f t="shared" si="99"/>
        <v>1.1077486772778791</v>
      </c>
      <c r="EZ23" s="490">
        <f t="shared" si="100"/>
        <v>0.91598965899737395</v>
      </c>
      <c r="FA23" s="5" t="s">
        <v>434</v>
      </c>
      <c r="FF23" s="14"/>
      <c r="FG23" s="14"/>
    </row>
    <row r="24" spans="1:163">
      <c r="A24" s="17">
        <f>+Chem!A23</f>
        <v>45976</v>
      </c>
      <c r="B24" s="5" t="str">
        <f>+Chem!B23</f>
        <v>Toilet</v>
      </c>
      <c r="C24" s="5" t="str">
        <f>+Chem!C23</f>
        <v>15,5</v>
      </c>
      <c r="D24" s="8">
        <f>+Chem!D23</f>
        <v>51.454999999999998</v>
      </c>
      <c r="E24" s="6">
        <f>+Chem!E23</f>
        <v>50.347999999999999</v>
      </c>
      <c r="F24" s="6">
        <f t="shared" si="55"/>
        <v>715.49299999999994</v>
      </c>
      <c r="G24" s="97"/>
      <c r="H24" s="10">
        <f t="shared" si="0"/>
        <v>0</v>
      </c>
      <c r="I24" s="8">
        <f t="shared" si="56"/>
        <v>0</v>
      </c>
      <c r="J24" s="10">
        <f t="shared" si="1"/>
        <v>0</v>
      </c>
      <c r="K24" s="97"/>
      <c r="L24" s="10">
        <f t="shared" si="2"/>
        <v>0</v>
      </c>
      <c r="M24" s="10">
        <f t="shared" si="57"/>
        <v>0</v>
      </c>
      <c r="N24" s="10">
        <f t="shared" si="3"/>
        <v>0</v>
      </c>
      <c r="O24" s="97"/>
      <c r="P24" s="10">
        <f t="shared" si="4"/>
        <v>0</v>
      </c>
      <c r="Q24" s="10">
        <f t="shared" si="58"/>
        <v>0</v>
      </c>
      <c r="R24" s="10">
        <f t="shared" si="5"/>
        <v>0</v>
      </c>
      <c r="S24" s="97"/>
      <c r="T24" s="10">
        <f t="shared" si="6"/>
        <v>0</v>
      </c>
      <c r="U24" s="10">
        <f t="shared" si="59"/>
        <v>5000</v>
      </c>
      <c r="V24" s="10">
        <f t="shared" si="7"/>
        <v>0.6340344719312232</v>
      </c>
      <c r="W24" s="10"/>
      <c r="X24" s="10">
        <f t="shared" si="8"/>
        <v>0</v>
      </c>
      <c r="Y24" s="10">
        <f t="shared" si="60"/>
        <v>0</v>
      </c>
      <c r="Z24" s="10">
        <f t="shared" si="9"/>
        <v>0</v>
      </c>
      <c r="AA24" s="97"/>
      <c r="AB24" s="10">
        <f t="shared" si="10"/>
        <v>0</v>
      </c>
      <c r="AC24" s="10">
        <f t="shared" si="61"/>
        <v>0</v>
      </c>
      <c r="AD24" s="10">
        <f t="shared" si="11"/>
        <v>0</v>
      </c>
      <c r="AE24" s="97"/>
      <c r="AF24" s="10">
        <f t="shared" si="12"/>
        <v>0</v>
      </c>
      <c r="AG24" s="10">
        <f t="shared" si="62"/>
        <v>0</v>
      </c>
      <c r="AH24" s="10">
        <f t="shared" si="13"/>
        <v>0</v>
      </c>
      <c r="AI24" s="97"/>
      <c r="AJ24" s="10">
        <f t="shared" si="14"/>
        <v>0</v>
      </c>
      <c r="AK24" s="10">
        <f t="shared" si="63"/>
        <v>0</v>
      </c>
      <c r="AL24" s="10">
        <f t="shared" si="15"/>
        <v>0</v>
      </c>
      <c r="AM24" s="97"/>
      <c r="AN24" s="10">
        <f t="shared" si="16"/>
        <v>0</v>
      </c>
      <c r="AO24" s="10">
        <f t="shared" si="64"/>
        <v>0</v>
      </c>
      <c r="AP24" s="10">
        <f t="shared" si="17"/>
        <v>0</v>
      </c>
      <c r="AQ24" s="97"/>
      <c r="AR24" s="10">
        <f t="shared" si="18"/>
        <v>0</v>
      </c>
      <c r="AS24" s="10">
        <f t="shared" si="65"/>
        <v>0</v>
      </c>
      <c r="AT24" s="10">
        <f t="shared" si="19"/>
        <v>0</v>
      </c>
      <c r="AU24" s="252"/>
      <c r="AV24" s="10">
        <f t="shared" si="20"/>
        <v>0</v>
      </c>
      <c r="AW24" s="8">
        <f t="shared" si="66"/>
        <v>0</v>
      </c>
      <c r="AX24" s="10">
        <f t="shared" si="21"/>
        <v>0</v>
      </c>
      <c r="AY24" s="97"/>
      <c r="AZ24" s="10">
        <f t="shared" si="22"/>
        <v>0</v>
      </c>
      <c r="BA24" s="10">
        <f t="shared" si="67"/>
        <v>0</v>
      </c>
      <c r="BB24" s="10">
        <f t="shared" si="23"/>
        <v>0</v>
      </c>
      <c r="BC24" s="97"/>
      <c r="BD24" s="10">
        <f t="shared" si="24"/>
        <v>0</v>
      </c>
      <c r="BE24" s="10">
        <f t="shared" si="68"/>
        <v>0</v>
      </c>
      <c r="BF24" s="10">
        <f t="shared" si="25"/>
        <v>0</v>
      </c>
      <c r="BG24" s="97"/>
      <c r="BH24" s="10">
        <f t="shared" si="26"/>
        <v>0</v>
      </c>
      <c r="BI24" s="10">
        <f t="shared" si="69"/>
        <v>0</v>
      </c>
      <c r="BJ24" s="10">
        <f t="shared" si="27"/>
        <v>0</v>
      </c>
      <c r="BK24" s="97"/>
      <c r="BL24" s="10"/>
      <c r="BM24" s="10"/>
      <c r="BN24" s="10"/>
      <c r="BO24" s="97"/>
      <c r="BP24" s="10"/>
      <c r="BQ24" s="10"/>
      <c r="BR24" s="10"/>
      <c r="BS24" s="97"/>
      <c r="BT24" s="10"/>
      <c r="BU24" s="10"/>
      <c r="BV24" s="10"/>
      <c r="BW24" s="10">
        <f t="shared" si="70"/>
        <v>0</v>
      </c>
      <c r="BX24" s="10">
        <f t="shared" si="28"/>
        <v>0</v>
      </c>
      <c r="BY24" s="10">
        <f t="shared" si="71"/>
        <v>5000</v>
      </c>
      <c r="BZ24" s="10">
        <f t="shared" si="29"/>
        <v>0.6340344719312232</v>
      </c>
      <c r="CA24" s="10"/>
      <c r="CB24" s="10">
        <f t="shared" si="72"/>
        <v>0</v>
      </c>
      <c r="CC24" s="10">
        <f t="shared" si="101"/>
        <v>0</v>
      </c>
      <c r="CD24" s="10">
        <f t="shared" si="73"/>
        <v>0</v>
      </c>
      <c r="CE24" s="10"/>
      <c r="CF24" s="10">
        <f t="shared" si="102"/>
        <v>0</v>
      </c>
      <c r="CG24" s="10">
        <f t="shared" si="103"/>
        <v>0</v>
      </c>
      <c r="CH24" s="10">
        <f t="shared" si="104"/>
        <v>0</v>
      </c>
      <c r="CI24" s="10">
        <f t="shared" si="74"/>
        <v>0</v>
      </c>
      <c r="CJ24" s="10">
        <f t="shared" si="105"/>
        <v>0</v>
      </c>
      <c r="CK24" s="10">
        <f t="shared" si="106"/>
        <v>0</v>
      </c>
      <c r="CL24" s="10">
        <f t="shared" si="107"/>
        <v>0</v>
      </c>
      <c r="CM24" s="97">
        <v>3825.7714788663902</v>
      </c>
      <c r="CN24" s="10">
        <f t="shared" si="75"/>
        <v>6.6591176342493803</v>
      </c>
      <c r="CO24" s="10">
        <f t="shared" si="76"/>
        <v>3825.7714788663902</v>
      </c>
      <c r="CP24" s="10">
        <f t="shared" si="77"/>
        <v>0.48513419986651735</v>
      </c>
      <c r="CQ24" s="98">
        <v>18027.915961564646</v>
      </c>
      <c r="CR24" s="10">
        <f t="shared" si="30"/>
        <v>31.379295326858593</v>
      </c>
      <c r="CS24" s="10">
        <f t="shared" si="78"/>
        <v>239080.78618115562</v>
      </c>
      <c r="CT24" s="10">
        <f t="shared" si="31"/>
        <v>30.317092003054142</v>
      </c>
      <c r="CU24" s="97">
        <v>16691.773404524323</v>
      </c>
      <c r="CV24" s="10">
        <f t="shared" si="32"/>
        <v>29.053612647532777</v>
      </c>
      <c r="CW24" s="10">
        <f t="shared" si="79"/>
        <v>222276.47954330037</v>
      </c>
      <c r="CX24" s="10">
        <f t="shared" si="33"/>
        <v>28.186190065993561</v>
      </c>
      <c r="CY24" s="97">
        <v>8892.6042092159259</v>
      </c>
      <c r="CZ24" s="10">
        <f t="shared" si="34"/>
        <v>15.478419929445582</v>
      </c>
      <c r="DA24" s="10">
        <f t="shared" si="80"/>
        <v>101759.32593941668</v>
      </c>
      <c r="DB24" s="10">
        <f t="shared" si="35"/>
        <v>12.903784097215057</v>
      </c>
      <c r="DC24" s="97">
        <v>10013.562758942639</v>
      </c>
      <c r="DD24" s="10">
        <f t="shared" si="36"/>
        <v>17.429554461913682</v>
      </c>
      <c r="DE24" s="10">
        <f t="shared" si="81"/>
        <v>140556.62815859978</v>
      </c>
      <c r="DF24" s="10">
        <f t="shared" si="37"/>
        <v>17.823549502194222</v>
      </c>
      <c r="DG24" s="97"/>
      <c r="DH24" s="10">
        <f t="shared" si="38"/>
        <v>0</v>
      </c>
      <c r="DI24" s="10">
        <f t="shared" si="82"/>
        <v>1152.189653379713</v>
      </c>
      <c r="DJ24" s="10">
        <f t="shared" si="39"/>
        <v>0.14610559168904508</v>
      </c>
      <c r="DK24" s="97"/>
      <c r="DL24" s="10">
        <f t="shared" si="83"/>
        <v>0</v>
      </c>
      <c r="DM24" s="10">
        <f t="shared" si="84"/>
        <v>0</v>
      </c>
      <c r="DN24" s="10">
        <f t="shared" si="85"/>
        <v>0</v>
      </c>
      <c r="DO24" s="492"/>
      <c r="DP24" s="10">
        <f>DO24/EU24*100</f>
        <v>0</v>
      </c>
      <c r="DQ24" s="10">
        <f t="shared" si="87"/>
        <v>0</v>
      </c>
      <c r="DR24" s="10">
        <f>DQ24/EV24*100</f>
        <v>0</v>
      </c>
      <c r="DS24" s="97"/>
      <c r="DT24" s="10">
        <f t="shared" si="108"/>
        <v>0</v>
      </c>
      <c r="DU24" s="10">
        <f t="shared" si="89"/>
        <v>0</v>
      </c>
      <c r="DV24" s="10">
        <f t="shared" si="109"/>
        <v>0</v>
      </c>
      <c r="DW24" s="10">
        <f t="shared" si="40"/>
        <v>57451.627813113919</v>
      </c>
      <c r="DX24" s="10">
        <f t="shared" si="41"/>
        <v>100</v>
      </c>
      <c r="DY24" s="10">
        <f t="shared" si="90"/>
        <v>783600.65522468532</v>
      </c>
      <c r="DZ24" s="10">
        <f t="shared" si="42"/>
        <v>99.365965528068784</v>
      </c>
      <c r="EA24" s="97"/>
      <c r="EB24" s="10">
        <f t="shared" si="43"/>
        <v>0</v>
      </c>
      <c r="EC24" s="10">
        <f t="shared" si="91"/>
        <v>0</v>
      </c>
      <c r="ED24" s="10">
        <f t="shared" si="44"/>
        <v>0</v>
      </c>
      <c r="EE24" s="97"/>
      <c r="EF24" s="10">
        <f t="shared" si="45"/>
        <v>0</v>
      </c>
      <c r="EG24" s="10">
        <f t="shared" si="92"/>
        <v>0</v>
      </c>
      <c r="EH24" s="10">
        <f t="shared" si="46"/>
        <v>0</v>
      </c>
      <c r="EI24" s="97"/>
      <c r="EJ24" s="16">
        <f t="shared" si="47"/>
        <v>0</v>
      </c>
      <c r="EK24" s="10">
        <f t="shared" si="93"/>
        <v>0</v>
      </c>
      <c r="EL24" s="10">
        <f t="shared" si="48"/>
        <v>0</v>
      </c>
      <c r="EM24" s="10">
        <f t="shared" si="94"/>
        <v>0</v>
      </c>
      <c r="EN24" s="10">
        <f t="shared" si="49"/>
        <v>0</v>
      </c>
      <c r="EO24" s="10">
        <f t="shared" si="95"/>
        <v>0</v>
      </c>
      <c r="EP24" s="10">
        <f t="shared" si="50"/>
        <v>0</v>
      </c>
      <c r="EQ24" s="97"/>
      <c r="ER24" s="10">
        <f t="shared" si="51"/>
        <v>0</v>
      </c>
      <c r="ES24" s="10">
        <f t="shared" si="96"/>
        <v>0</v>
      </c>
      <c r="ET24" s="10">
        <f t="shared" si="52"/>
        <v>0</v>
      </c>
      <c r="EU24" s="10">
        <f t="shared" si="97"/>
        <v>57451.627813113919</v>
      </c>
      <c r="EV24" s="10">
        <f t="shared" si="98"/>
        <v>788600.65522468532</v>
      </c>
      <c r="EW24" s="10">
        <f t="shared" si="53"/>
        <v>1.1410905659234511</v>
      </c>
      <c r="EX24" s="10">
        <f t="shared" si="54"/>
        <v>1.1021780160318624</v>
      </c>
      <c r="EY24" s="489">
        <f t="shared" si="99"/>
        <v>0.87635462938976216</v>
      </c>
      <c r="EZ24" s="490">
        <f t="shared" si="100"/>
        <v>0.91308371838311364</v>
      </c>
      <c r="FA24" s="5" t="s">
        <v>434</v>
      </c>
      <c r="FF24" s="14"/>
      <c r="FG24" s="14"/>
    </row>
    <row r="25" spans="1:163">
      <c r="A25" s="17">
        <f>+Chem!A24</f>
        <v>45977</v>
      </c>
      <c r="B25" s="5" t="str">
        <f>+Chem!B24</f>
        <v>Toilet</v>
      </c>
      <c r="C25" s="5" t="str">
        <f>+Chem!C24</f>
        <v>15,5/16</v>
      </c>
      <c r="D25" s="8">
        <f>+Chem!D24</f>
        <v>54.106999999999999</v>
      </c>
      <c r="E25" s="6">
        <f>+Chem!E24</f>
        <v>52.406999999999996</v>
      </c>
      <c r="F25" s="6">
        <f t="shared" si="55"/>
        <v>767.9</v>
      </c>
      <c r="G25" s="97"/>
      <c r="H25" s="10">
        <f t="shared" si="0"/>
        <v>0</v>
      </c>
      <c r="I25" s="8">
        <f t="shared" si="56"/>
        <v>0</v>
      </c>
      <c r="J25" s="10">
        <f t="shared" si="1"/>
        <v>0</v>
      </c>
      <c r="K25" s="97"/>
      <c r="L25" s="10">
        <f t="shared" si="2"/>
        <v>0</v>
      </c>
      <c r="M25" s="10">
        <f t="shared" si="57"/>
        <v>0</v>
      </c>
      <c r="N25" s="10">
        <f t="shared" si="3"/>
        <v>0</v>
      </c>
      <c r="O25" s="97"/>
      <c r="P25" s="10">
        <f t="shared" si="4"/>
        <v>0</v>
      </c>
      <c r="Q25" s="10">
        <f t="shared" si="58"/>
        <v>0</v>
      </c>
      <c r="R25" s="10">
        <f t="shared" si="5"/>
        <v>0</v>
      </c>
      <c r="S25" s="97"/>
      <c r="T25" s="10">
        <f t="shared" si="6"/>
        <v>0</v>
      </c>
      <c r="U25" s="10">
        <f t="shared" si="59"/>
        <v>5000</v>
      </c>
      <c r="V25" s="10">
        <f t="shared" si="7"/>
        <v>0.59050815922395927</v>
      </c>
      <c r="W25" s="10"/>
      <c r="X25" s="10">
        <f t="shared" si="8"/>
        <v>0</v>
      </c>
      <c r="Y25" s="10">
        <f t="shared" si="60"/>
        <v>0</v>
      </c>
      <c r="Z25" s="10">
        <f t="shared" si="9"/>
        <v>0</v>
      </c>
      <c r="AA25" s="97"/>
      <c r="AB25" s="10">
        <f t="shared" si="10"/>
        <v>0</v>
      </c>
      <c r="AC25" s="10">
        <f t="shared" si="61"/>
        <v>0</v>
      </c>
      <c r="AD25" s="10">
        <f t="shared" si="11"/>
        <v>0</v>
      </c>
      <c r="AE25" s="97"/>
      <c r="AF25" s="10">
        <f t="shared" si="12"/>
        <v>0</v>
      </c>
      <c r="AG25" s="10">
        <f t="shared" si="62"/>
        <v>0</v>
      </c>
      <c r="AH25" s="10">
        <f t="shared" si="13"/>
        <v>0</v>
      </c>
      <c r="AI25" s="97"/>
      <c r="AJ25" s="10">
        <f t="shared" si="14"/>
        <v>0</v>
      </c>
      <c r="AK25" s="10">
        <f t="shared" si="63"/>
        <v>0</v>
      </c>
      <c r="AL25" s="10">
        <f t="shared" si="15"/>
        <v>0</v>
      </c>
      <c r="AM25" s="97"/>
      <c r="AN25" s="10">
        <f t="shared" si="16"/>
        <v>0</v>
      </c>
      <c r="AO25" s="10">
        <f t="shared" si="64"/>
        <v>0</v>
      </c>
      <c r="AP25" s="10">
        <f t="shared" si="17"/>
        <v>0</v>
      </c>
      <c r="AQ25" s="97"/>
      <c r="AR25" s="10">
        <f t="shared" si="18"/>
        <v>0</v>
      </c>
      <c r="AS25" s="10">
        <f t="shared" si="65"/>
        <v>0</v>
      </c>
      <c r="AT25" s="10">
        <f t="shared" si="19"/>
        <v>0</v>
      </c>
      <c r="AU25" s="252"/>
      <c r="AV25" s="10">
        <f t="shared" si="20"/>
        <v>0</v>
      </c>
      <c r="AW25" s="8">
        <f t="shared" si="66"/>
        <v>0</v>
      </c>
      <c r="AX25" s="10">
        <f t="shared" si="21"/>
        <v>0</v>
      </c>
      <c r="AY25" s="97"/>
      <c r="AZ25" s="10">
        <f t="shared" si="22"/>
        <v>0</v>
      </c>
      <c r="BA25" s="10">
        <f t="shared" si="67"/>
        <v>0</v>
      </c>
      <c r="BB25" s="10">
        <f t="shared" si="23"/>
        <v>0</v>
      </c>
      <c r="BC25" s="97"/>
      <c r="BD25" s="10">
        <f t="shared" si="24"/>
        <v>0</v>
      </c>
      <c r="BE25" s="10">
        <f t="shared" si="68"/>
        <v>0</v>
      </c>
      <c r="BF25" s="10">
        <f t="shared" si="25"/>
        <v>0</v>
      </c>
      <c r="BG25" s="97"/>
      <c r="BH25" s="10">
        <f t="shared" si="26"/>
        <v>0</v>
      </c>
      <c r="BI25" s="10">
        <f t="shared" si="69"/>
        <v>0</v>
      </c>
      <c r="BJ25" s="10">
        <f t="shared" si="27"/>
        <v>0</v>
      </c>
      <c r="BK25" s="97"/>
      <c r="BL25" s="10"/>
      <c r="BM25" s="10"/>
      <c r="BN25" s="10"/>
      <c r="BO25" s="97"/>
      <c r="BP25" s="10"/>
      <c r="BQ25" s="10"/>
      <c r="BR25" s="10"/>
      <c r="BS25" s="97"/>
      <c r="BT25" s="10"/>
      <c r="BU25" s="10"/>
      <c r="BV25" s="10"/>
      <c r="BW25" s="10">
        <f t="shared" si="70"/>
        <v>0</v>
      </c>
      <c r="BX25" s="10">
        <f t="shared" si="28"/>
        <v>0</v>
      </c>
      <c r="BY25" s="10">
        <f t="shared" si="71"/>
        <v>5000</v>
      </c>
      <c r="BZ25" s="10">
        <f t="shared" si="29"/>
        <v>0.59050815922395927</v>
      </c>
      <c r="CA25" s="10"/>
      <c r="CB25" s="10">
        <f t="shared" si="72"/>
        <v>0</v>
      </c>
      <c r="CC25" s="10">
        <f t="shared" si="101"/>
        <v>0</v>
      </c>
      <c r="CD25" s="10">
        <f t="shared" si="73"/>
        <v>0</v>
      </c>
      <c r="CE25" s="10"/>
      <c r="CF25" s="10">
        <f t="shared" si="102"/>
        <v>0</v>
      </c>
      <c r="CG25" s="10">
        <f t="shared" si="103"/>
        <v>0</v>
      </c>
      <c r="CH25" s="10">
        <f t="shared" si="104"/>
        <v>0</v>
      </c>
      <c r="CI25" s="10">
        <f t="shared" si="74"/>
        <v>0</v>
      </c>
      <c r="CJ25" s="10">
        <f t="shared" si="105"/>
        <v>0</v>
      </c>
      <c r="CK25" s="10">
        <f t="shared" si="106"/>
        <v>0</v>
      </c>
      <c r="CL25" s="10">
        <f t="shared" si="107"/>
        <v>0</v>
      </c>
      <c r="CM25" s="97">
        <v>3937.2789968652037</v>
      </c>
      <c r="CN25" s="10">
        <f t="shared" si="75"/>
        <v>6.7734991628796939</v>
      </c>
      <c r="CO25" s="10">
        <f t="shared" si="76"/>
        <v>3937.2789968652037</v>
      </c>
      <c r="CP25" s="10">
        <f t="shared" si="77"/>
        <v>0.46499907455800565</v>
      </c>
      <c r="CQ25" s="98">
        <v>17892.931034482757</v>
      </c>
      <c r="CR25" s="10">
        <f t="shared" si="30"/>
        <v>30.782109543171487</v>
      </c>
      <c r="CS25" s="10">
        <f t="shared" si="78"/>
        <v>256973.71721563837</v>
      </c>
      <c r="CT25" s="10">
        <f t="shared" si="31"/>
        <v>30.349015344388974</v>
      </c>
      <c r="CU25" s="97">
        <v>22681.062695924764</v>
      </c>
      <c r="CV25" s="10">
        <f t="shared" si="32"/>
        <v>39.019373355656541</v>
      </c>
      <c r="CW25" s="10">
        <f t="shared" si="79"/>
        <v>244957.54223922515</v>
      </c>
      <c r="CX25" s="10">
        <f t="shared" si="33"/>
        <v>28.929885471142018</v>
      </c>
      <c r="CY25" s="97">
        <v>5622.3009404388713</v>
      </c>
      <c r="CZ25" s="10">
        <f t="shared" si="34"/>
        <v>9.6723271944510874</v>
      </c>
      <c r="DA25" s="10">
        <f t="shared" si="80"/>
        <v>107381.62687985555</v>
      </c>
      <c r="DB25" s="10">
        <f t="shared" si="35"/>
        <v>12.681945364659505</v>
      </c>
      <c r="DC25" s="97">
        <v>7994.1222570532909</v>
      </c>
      <c r="DD25" s="10">
        <f t="shared" si="36"/>
        <v>13.752690743841184</v>
      </c>
      <c r="DE25" s="10">
        <f t="shared" si="81"/>
        <v>148550.75041565308</v>
      </c>
      <c r="DF25" s="10">
        <f t="shared" si="37"/>
        <v>17.544086035857021</v>
      </c>
      <c r="DG25" s="97"/>
      <c r="DH25" s="10">
        <f t="shared" si="38"/>
        <v>0</v>
      </c>
      <c r="DI25" s="10">
        <f t="shared" si="82"/>
        <v>1152.189653379713</v>
      </c>
      <c r="DJ25" s="10">
        <f t="shared" si="39"/>
        <v>0.13607547825882921</v>
      </c>
      <c r="DK25" s="97"/>
      <c r="DL25" s="10">
        <f t="shared" si="83"/>
        <v>0</v>
      </c>
      <c r="DM25" s="10">
        <f t="shared" si="84"/>
        <v>0</v>
      </c>
      <c r="DN25" s="10">
        <f t="shared" si="85"/>
        <v>0</v>
      </c>
      <c r="DO25" s="492"/>
      <c r="DP25" s="10">
        <f t="shared" si="86"/>
        <v>0</v>
      </c>
      <c r="DQ25" s="10">
        <f t="shared" si="87"/>
        <v>0</v>
      </c>
      <c r="DR25" s="10">
        <f t="shared" si="88"/>
        <v>0</v>
      </c>
      <c r="DS25" s="97"/>
      <c r="DT25" s="10">
        <f t="shared" si="108"/>
        <v>0</v>
      </c>
      <c r="DU25" s="10">
        <f t="shared" si="89"/>
        <v>0</v>
      </c>
      <c r="DV25" s="10">
        <f t="shared" si="109"/>
        <v>0</v>
      </c>
      <c r="DW25" s="10">
        <f t="shared" si="40"/>
        <v>58127.695924764892</v>
      </c>
      <c r="DX25" s="10">
        <f t="shared" si="41"/>
        <v>100</v>
      </c>
      <c r="DY25" s="10">
        <f t="shared" si="90"/>
        <v>841728.35114945017</v>
      </c>
      <c r="DZ25" s="10">
        <f t="shared" si="42"/>
        <v>99.409491840776042</v>
      </c>
      <c r="EA25" s="97"/>
      <c r="EB25" s="10">
        <f t="shared" si="43"/>
        <v>0</v>
      </c>
      <c r="EC25" s="10">
        <f t="shared" si="91"/>
        <v>0</v>
      </c>
      <c r="ED25" s="10">
        <f t="shared" si="44"/>
        <v>0</v>
      </c>
      <c r="EE25" s="97"/>
      <c r="EF25" s="10">
        <f t="shared" si="45"/>
        <v>0</v>
      </c>
      <c r="EG25" s="10">
        <f t="shared" si="92"/>
        <v>0</v>
      </c>
      <c r="EH25" s="10">
        <f t="shared" si="46"/>
        <v>0</v>
      </c>
      <c r="EI25" s="97"/>
      <c r="EJ25" s="16">
        <f t="shared" si="47"/>
        <v>0</v>
      </c>
      <c r="EK25" s="10">
        <f t="shared" si="93"/>
        <v>0</v>
      </c>
      <c r="EL25" s="10">
        <f t="shared" si="48"/>
        <v>0</v>
      </c>
      <c r="EM25" s="10">
        <f>EA25+EE25+EI25</f>
        <v>0</v>
      </c>
      <c r="EN25" s="10">
        <f t="shared" si="49"/>
        <v>0</v>
      </c>
      <c r="EO25" s="10">
        <f t="shared" si="95"/>
        <v>0</v>
      </c>
      <c r="EP25" s="10">
        <f t="shared" si="50"/>
        <v>0</v>
      </c>
      <c r="EQ25" s="97"/>
      <c r="ER25" s="10">
        <f t="shared" si="51"/>
        <v>0</v>
      </c>
      <c r="ES25" s="10">
        <f t="shared" si="96"/>
        <v>0</v>
      </c>
      <c r="ET25" s="10">
        <f t="shared" si="52"/>
        <v>0</v>
      </c>
      <c r="EU25" s="10">
        <f t="shared" si="97"/>
        <v>58127.695924764892</v>
      </c>
      <c r="EV25" s="10">
        <f t="shared" si="98"/>
        <v>846728.35114945017</v>
      </c>
      <c r="EW25" s="10">
        <f t="shared" si="53"/>
        <v>1.1091590040407751</v>
      </c>
      <c r="EX25" s="10">
        <f t="shared" si="54"/>
        <v>1.1026544486905199</v>
      </c>
      <c r="EY25" s="489">
        <f t="shared" si="99"/>
        <v>0.90158398963259734</v>
      </c>
      <c r="EZ25" s="490">
        <f t="shared" si="100"/>
        <v>0.91228957531413624</v>
      </c>
      <c r="FA25" s="5" t="s">
        <v>434</v>
      </c>
      <c r="FF25" s="14"/>
      <c r="FG25" s="14"/>
    </row>
    <row r="26" spans="1:163">
      <c r="A26" s="17">
        <f>+Chem!A25</f>
        <v>45978</v>
      </c>
      <c r="B26" s="5" t="str">
        <f>+Chem!B25</f>
        <v>Toilet</v>
      </c>
      <c r="C26" s="5" t="str">
        <f>+Chem!C25</f>
        <v>16/15,5</v>
      </c>
      <c r="D26" s="8">
        <f>+Chem!D25</f>
        <v>53.837000000000003</v>
      </c>
      <c r="E26" s="6">
        <f>+Chem!E25</f>
        <v>52.018000000000001</v>
      </c>
      <c r="F26" s="6">
        <f t="shared" si="55"/>
        <v>819.91800000000001</v>
      </c>
      <c r="G26" s="97"/>
      <c r="H26" s="10">
        <f t="shared" si="0"/>
        <v>0</v>
      </c>
      <c r="I26" s="8">
        <f t="shared" si="56"/>
        <v>0</v>
      </c>
      <c r="J26" s="10">
        <f t="shared" si="1"/>
        <v>0</v>
      </c>
      <c r="K26" s="97"/>
      <c r="L26" s="10">
        <f t="shared" si="2"/>
        <v>0</v>
      </c>
      <c r="M26" s="10">
        <f t="shared" si="57"/>
        <v>0</v>
      </c>
      <c r="N26" s="10">
        <f t="shared" si="3"/>
        <v>0</v>
      </c>
      <c r="O26" s="97"/>
      <c r="P26" s="10">
        <f t="shared" si="4"/>
        <v>0</v>
      </c>
      <c r="Q26" s="10">
        <f t="shared" si="58"/>
        <v>0</v>
      </c>
      <c r="R26" s="10">
        <f t="shared" si="5"/>
        <v>0</v>
      </c>
      <c r="S26" s="97"/>
      <c r="T26" s="10">
        <f t="shared" si="6"/>
        <v>0</v>
      </c>
      <c r="U26" s="10">
        <f t="shared" si="59"/>
        <v>5000</v>
      </c>
      <c r="V26" s="10">
        <f t="shared" si="7"/>
        <v>0.55237840538097238</v>
      </c>
      <c r="W26" s="10"/>
      <c r="X26" s="10">
        <f t="shared" si="8"/>
        <v>0</v>
      </c>
      <c r="Y26" s="10">
        <f t="shared" si="60"/>
        <v>0</v>
      </c>
      <c r="Z26" s="10">
        <f t="shared" si="9"/>
        <v>0</v>
      </c>
      <c r="AA26" s="97"/>
      <c r="AB26" s="10">
        <f t="shared" si="10"/>
        <v>0</v>
      </c>
      <c r="AC26" s="10">
        <f t="shared" si="61"/>
        <v>0</v>
      </c>
      <c r="AD26" s="10">
        <f t="shared" si="11"/>
        <v>0</v>
      </c>
      <c r="AE26" s="97"/>
      <c r="AF26" s="10">
        <f t="shared" si="12"/>
        <v>0</v>
      </c>
      <c r="AG26" s="10">
        <f t="shared" si="62"/>
        <v>0</v>
      </c>
      <c r="AH26" s="10">
        <f t="shared" si="13"/>
        <v>0</v>
      </c>
      <c r="AI26" s="97"/>
      <c r="AJ26" s="10">
        <f t="shared" si="14"/>
        <v>0</v>
      </c>
      <c r="AK26" s="10">
        <f t="shared" si="63"/>
        <v>0</v>
      </c>
      <c r="AL26" s="10">
        <f t="shared" si="15"/>
        <v>0</v>
      </c>
      <c r="AM26" s="97"/>
      <c r="AN26" s="10">
        <f t="shared" si="16"/>
        <v>0</v>
      </c>
      <c r="AO26" s="10">
        <f t="shared" si="64"/>
        <v>0</v>
      </c>
      <c r="AP26" s="10">
        <f t="shared" si="17"/>
        <v>0</v>
      </c>
      <c r="AQ26" s="97"/>
      <c r="AR26" s="10">
        <f t="shared" si="18"/>
        <v>0</v>
      </c>
      <c r="AS26" s="10">
        <f t="shared" si="65"/>
        <v>0</v>
      </c>
      <c r="AT26" s="10">
        <f t="shared" si="19"/>
        <v>0</v>
      </c>
      <c r="AU26" s="252"/>
      <c r="AV26" s="10">
        <f t="shared" si="20"/>
        <v>0</v>
      </c>
      <c r="AW26" s="8">
        <f t="shared" si="66"/>
        <v>0</v>
      </c>
      <c r="AX26" s="10">
        <f t="shared" si="21"/>
        <v>0</v>
      </c>
      <c r="AY26" s="97"/>
      <c r="AZ26" s="10">
        <f t="shared" si="22"/>
        <v>0</v>
      </c>
      <c r="BA26" s="10">
        <f t="shared" si="67"/>
        <v>0</v>
      </c>
      <c r="BB26" s="10">
        <f t="shared" si="23"/>
        <v>0</v>
      </c>
      <c r="BC26" s="97"/>
      <c r="BD26" s="10">
        <f t="shared" si="24"/>
        <v>0</v>
      </c>
      <c r="BE26" s="10">
        <f t="shared" si="68"/>
        <v>0</v>
      </c>
      <c r="BF26" s="10">
        <f t="shared" si="25"/>
        <v>0</v>
      </c>
      <c r="BG26" s="97"/>
      <c r="BH26" s="10">
        <f t="shared" si="26"/>
        <v>0</v>
      </c>
      <c r="BI26" s="10">
        <f t="shared" si="69"/>
        <v>0</v>
      </c>
      <c r="BJ26" s="10">
        <f t="shared" si="27"/>
        <v>0</v>
      </c>
      <c r="BK26" s="97"/>
      <c r="BL26" s="10"/>
      <c r="BM26" s="10"/>
      <c r="BN26" s="10"/>
      <c r="BO26" s="97"/>
      <c r="BP26" s="10"/>
      <c r="BQ26" s="10"/>
      <c r="BR26" s="10"/>
      <c r="BS26" s="97"/>
      <c r="BT26" s="10"/>
      <c r="BU26" s="10"/>
      <c r="BV26" s="10"/>
      <c r="BW26" s="10">
        <f t="shared" si="70"/>
        <v>0</v>
      </c>
      <c r="BX26" s="10">
        <f t="shared" si="28"/>
        <v>0</v>
      </c>
      <c r="BY26" s="10">
        <f t="shared" si="71"/>
        <v>5000</v>
      </c>
      <c r="BZ26" s="10">
        <f t="shared" si="29"/>
        <v>0.55237840538097238</v>
      </c>
      <c r="CA26" s="10"/>
      <c r="CB26" s="10">
        <f t="shared" si="72"/>
        <v>0</v>
      </c>
      <c r="CC26" s="10">
        <f t="shared" si="101"/>
        <v>0</v>
      </c>
      <c r="CD26" s="10">
        <f t="shared" si="73"/>
        <v>0</v>
      </c>
      <c r="CE26" s="10"/>
      <c r="CF26" s="10">
        <f t="shared" si="102"/>
        <v>0</v>
      </c>
      <c r="CG26" s="10">
        <f t="shared" si="103"/>
        <v>0</v>
      </c>
      <c r="CH26" s="10">
        <f t="shared" si="104"/>
        <v>0</v>
      </c>
      <c r="CI26" s="10">
        <f t="shared" si="74"/>
        <v>0</v>
      </c>
      <c r="CJ26" s="10">
        <f t="shared" si="105"/>
        <v>0</v>
      </c>
      <c r="CK26" s="10">
        <f t="shared" si="106"/>
        <v>0</v>
      </c>
      <c r="CL26" s="10">
        <f t="shared" si="107"/>
        <v>0</v>
      </c>
      <c r="CM26" s="97">
        <v>3664.3224438407001</v>
      </c>
      <c r="CN26" s="10">
        <f t="shared" si="75"/>
        <v>6.2693464707677542</v>
      </c>
      <c r="CO26" s="10">
        <f t="shared" si="76"/>
        <v>3664.3224438407001</v>
      </c>
      <c r="CP26" s="10">
        <f t="shared" si="77"/>
        <v>0.40481851766608673</v>
      </c>
      <c r="CQ26" s="97">
        <v>17727.879862169506</v>
      </c>
      <c r="CR26" s="10">
        <f t="shared" si="30"/>
        <v>30.330906395779746</v>
      </c>
      <c r="CS26" s="10">
        <f t="shared" si="78"/>
        <v>274701.59707780788</v>
      </c>
      <c r="CT26" s="10">
        <f t="shared" si="31"/>
        <v>30.34784602988918</v>
      </c>
      <c r="CU26" s="97">
        <v>17432.287787422971</v>
      </c>
      <c r="CV26" s="10">
        <f t="shared" si="32"/>
        <v>29.825173300780399</v>
      </c>
      <c r="CW26" s="10">
        <f t="shared" si="79"/>
        <v>262389.83002664812</v>
      </c>
      <c r="CX26" s="10">
        <f t="shared" si="33"/>
        <v>28.987695179660854</v>
      </c>
      <c r="CY26" s="97">
        <v>2864.1852759923136</v>
      </c>
      <c r="CZ26" s="10">
        <f t="shared" si="34"/>
        <v>4.9003792998212488</v>
      </c>
      <c r="DA26" s="10">
        <f t="shared" si="80"/>
        <v>110245.81215584787</v>
      </c>
      <c r="DB26" s="10">
        <f t="shared" si="35"/>
        <v>12.179481183715495</v>
      </c>
      <c r="DC26" s="97">
        <v>9897.2380889271772</v>
      </c>
      <c r="DD26" s="10">
        <f t="shared" si="36"/>
        <v>16.933339146357415</v>
      </c>
      <c r="DE26" s="10">
        <f t="shared" si="81"/>
        <v>158447.98850458025</v>
      </c>
      <c r="DF26" s="10">
        <f t="shared" si="37"/>
        <v>17.504649445196538</v>
      </c>
      <c r="DG26" s="97"/>
      <c r="DH26" s="10">
        <f t="shared" si="38"/>
        <v>0</v>
      </c>
      <c r="DI26" s="10">
        <f t="shared" si="82"/>
        <v>1152.189653379713</v>
      </c>
      <c r="DJ26" s="10">
        <f t="shared" si="39"/>
        <v>0.12728893668606825</v>
      </c>
      <c r="DK26" s="97">
        <v>6862.3229076933276</v>
      </c>
      <c r="DL26" s="10">
        <f t="shared" si="83"/>
        <v>11.740855386493438</v>
      </c>
      <c r="DM26" s="10">
        <f t="shared" si="84"/>
        <v>6862.3229076933276</v>
      </c>
      <c r="DN26" s="10">
        <f t="shared" si="85"/>
        <v>0.75811979699219167</v>
      </c>
      <c r="DO26" s="492"/>
      <c r="DP26" s="10">
        <f t="shared" si="86"/>
        <v>0</v>
      </c>
      <c r="DQ26" s="10">
        <f t="shared" si="87"/>
        <v>0</v>
      </c>
      <c r="DR26" s="10">
        <f t="shared" si="88"/>
        <v>0</v>
      </c>
      <c r="DS26" s="97"/>
      <c r="DT26" s="10">
        <f t="shared" si="108"/>
        <v>0</v>
      </c>
      <c r="DU26" s="10">
        <f t="shared" si="89"/>
        <v>0</v>
      </c>
      <c r="DV26" s="10">
        <f t="shared" si="109"/>
        <v>0</v>
      </c>
      <c r="DW26" s="10">
        <f>CQ26+CU26+CY26+DC26+DG26+DK26+DO26+DS26+CM26</f>
        <v>58448.236366045996</v>
      </c>
      <c r="DX26" s="10">
        <f t="shared" si="41"/>
        <v>100</v>
      </c>
      <c r="DY26" s="10">
        <f t="shared" si="90"/>
        <v>900176.58751549618</v>
      </c>
      <c r="DZ26" s="10">
        <f t="shared" si="42"/>
        <v>99.447621594619022</v>
      </c>
      <c r="EA26" s="97"/>
      <c r="EB26" s="10">
        <f t="shared" si="43"/>
        <v>0</v>
      </c>
      <c r="EC26" s="10">
        <f t="shared" si="91"/>
        <v>0</v>
      </c>
      <c r="ED26" s="10">
        <f t="shared" si="44"/>
        <v>0</v>
      </c>
      <c r="EE26" s="97"/>
      <c r="EF26" s="10">
        <f t="shared" si="45"/>
        <v>0</v>
      </c>
      <c r="EG26" s="10">
        <f t="shared" si="92"/>
        <v>0</v>
      </c>
      <c r="EH26" s="10">
        <f t="shared" si="46"/>
        <v>0</v>
      </c>
      <c r="EI26" s="97"/>
      <c r="EJ26" s="16">
        <f t="shared" si="47"/>
        <v>0</v>
      </c>
      <c r="EK26" s="10">
        <f t="shared" si="93"/>
        <v>0</v>
      </c>
      <c r="EL26" s="10">
        <f t="shared" si="48"/>
        <v>0</v>
      </c>
      <c r="EM26" s="10">
        <f t="shared" si="94"/>
        <v>0</v>
      </c>
      <c r="EN26" s="10">
        <f t="shared" si="49"/>
        <v>0</v>
      </c>
      <c r="EO26" s="10">
        <f t="shared" si="95"/>
        <v>0</v>
      </c>
      <c r="EP26" s="10">
        <f t="shared" si="50"/>
        <v>0</v>
      </c>
      <c r="EQ26" s="97"/>
      <c r="ER26" s="10">
        <f t="shared" si="51"/>
        <v>0</v>
      </c>
      <c r="ES26" s="10">
        <f t="shared" si="96"/>
        <v>0</v>
      </c>
      <c r="ET26" s="10">
        <f t="shared" si="52"/>
        <v>0</v>
      </c>
      <c r="EU26" s="10">
        <f t="shared" si="97"/>
        <v>58448.236366045996</v>
      </c>
      <c r="EV26" s="10">
        <f t="shared" si="98"/>
        <v>905176.58751549618</v>
      </c>
      <c r="EW26" s="10">
        <f t="shared" si="53"/>
        <v>1.1236156016387788</v>
      </c>
      <c r="EX26" s="10">
        <f t="shared" si="54"/>
        <v>1.1039842856425839</v>
      </c>
      <c r="EY26" s="489">
        <f t="shared" si="99"/>
        <v>0.88998408222661995</v>
      </c>
      <c r="EZ26" s="490">
        <f t="shared" si="100"/>
        <v>0.91084128533379061</v>
      </c>
      <c r="FA26" s="5" t="s">
        <v>434</v>
      </c>
      <c r="FF26" s="14"/>
    </row>
    <row r="27" spans="1:163">
      <c r="A27" s="17">
        <f>+Chem!A26</f>
        <v>45979</v>
      </c>
      <c r="B27" s="5" t="str">
        <f>+Chem!B26</f>
        <v>Toilet</v>
      </c>
      <c r="C27" s="5" t="str">
        <f>+Chem!C26</f>
        <v>15,5/16</v>
      </c>
      <c r="D27" s="8">
        <f>+Chem!D26</f>
        <v>45.822000000000003</v>
      </c>
      <c r="E27" s="6">
        <f>+Chem!E26</f>
        <v>46.14</v>
      </c>
      <c r="F27" s="6">
        <f t="shared" si="55"/>
        <v>866.05799999999999</v>
      </c>
      <c r="G27" s="97"/>
      <c r="H27" s="10">
        <f t="shared" si="0"/>
        <v>0</v>
      </c>
      <c r="I27" s="8">
        <f t="shared" si="56"/>
        <v>0</v>
      </c>
      <c r="J27" s="10">
        <f t="shared" si="1"/>
        <v>0</v>
      </c>
      <c r="K27" s="97"/>
      <c r="L27" s="10">
        <f t="shared" si="2"/>
        <v>0</v>
      </c>
      <c r="M27" s="10">
        <f t="shared" si="57"/>
        <v>0</v>
      </c>
      <c r="N27" s="10">
        <f t="shared" si="3"/>
        <v>0</v>
      </c>
      <c r="O27" s="97"/>
      <c r="P27" s="10">
        <f t="shared" si="4"/>
        <v>0</v>
      </c>
      <c r="Q27" s="10">
        <f t="shared" si="58"/>
        <v>0</v>
      </c>
      <c r="R27" s="10">
        <f t="shared" si="5"/>
        <v>0</v>
      </c>
      <c r="S27" s="97"/>
      <c r="T27" s="10">
        <f t="shared" si="6"/>
        <v>0</v>
      </c>
      <c r="U27" s="10">
        <f t="shared" si="59"/>
        <v>5000</v>
      </c>
      <c r="V27" s="10">
        <f t="shared" si="7"/>
        <v>0.52604625789426407</v>
      </c>
      <c r="W27" s="97"/>
      <c r="X27" s="10">
        <f t="shared" si="8"/>
        <v>0</v>
      </c>
      <c r="Y27" s="10">
        <f t="shared" si="60"/>
        <v>0</v>
      </c>
      <c r="Z27" s="10">
        <f t="shared" si="9"/>
        <v>0</v>
      </c>
      <c r="AA27" s="97"/>
      <c r="AB27" s="10">
        <f t="shared" si="10"/>
        <v>0</v>
      </c>
      <c r="AC27" s="10">
        <f t="shared" si="61"/>
        <v>0</v>
      </c>
      <c r="AD27" s="10">
        <f t="shared" si="11"/>
        <v>0</v>
      </c>
      <c r="AE27" s="97"/>
      <c r="AF27" s="10">
        <f t="shared" si="12"/>
        <v>0</v>
      </c>
      <c r="AG27" s="10">
        <f t="shared" si="62"/>
        <v>0</v>
      </c>
      <c r="AH27" s="10">
        <f t="shared" si="13"/>
        <v>0</v>
      </c>
      <c r="AI27" s="97"/>
      <c r="AJ27" s="10">
        <f t="shared" si="14"/>
        <v>0</v>
      </c>
      <c r="AK27" s="10">
        <f t="shared" si="63"/>
        <v>0</v>
      </c>
      <c r="AL27" s="10">
        <f t="shared" si="15"/>
        <v>0</v>
      </c>
      <c r="AM27" s="97"/>
      <c r="AN27" s="10">
        <f t="shared" si="16"/>
        <v>0</v>
      </c>
      <c r="AO27" s="10">
        <f t="shared" si="64"/>
        <v>0</v>
      </c>
      <c r="AP27" s="10">
        <f t="shared" si="17"/>
        <v>0</v>
      </c>
      <c r="AQ27" s="97"/>
      <c r="AR27" s="10">
        <f t="shared" si="18"/>
        <v>0</v>
      </c>
      <c r="AS27" s="10">
        <f t="shared" si="65"/>
        <v>0</v>
      </c>
      <c r="AT27" s="10">
        <f t="shared" si="19"/>
        <v>0</v>
      </c>
      <c r="AU27" s="252"/>
      <c r="AV27" s="10">
        <f t="shared" si="20"/>
        <v>0</v>
      </c>
      <c r="AW27" s="8">
        <f t="shared" si="66"/>
        <v>0</v>
      </c>
      <c r="AX27" s="10">
        <f t="shared" si="21"/>
        <v>0</v>
      </c>
      <c r="AY27" s="97"/>
      <c r="AZ27" s="10">
        <f t="shared" si="22"/>
        <v>0</v>
      </c>
      <c r="BA27" s="10">
        <f t="shared" si="67"/>
        <v>0</v>
      </c>
      <c r="BB27" s="10">
        <f t="shared" si="23"/>
        <v>0</v>
      </c>
      <c r="BC27" s="97"/>
      <c r="BD27" s="10">
        <f t="shared" si="24"/>
        <v>0</v>
      </c>
      <c r="BE27" s="10">
        <f t="shared" si="68"/>
        <v>0</v>
      </c>
      <c r="BF27" s="10">
        <f t="shared" si="25"/>
        <v>0</v>
      </c>
      <c r="BG27" s="97"/>
      <c r="BH27" s="10">
        <f t="shared" si="26"/>
        <v>0</v>
      </c>
      <c r="BI27" s="10">
        <f t="shared" si="69"/>
        <v>0</v>
      </c>
      <c r="BJ27" s="10">
        <f t="shared" si="27"/>
        <v>0</v>
      </c>
      <c r="BK27" s="97"/>
      <c r="BL27" s="10"/>
      <c r="BM27" s="10"/>
      <c r="BN27" s="10"/>
      <c r="BO27" s="97"/>
      <c r="BP27" s="10"/>
      <c r="BQ27" s="10"/>
      <c r="BR27" s="10"/>
      <c r="BS27" s="97"/>
      <c r="BT27" s="10"/>
      <c r="BU27" s="10"/>
      <c r="BV27" s="10"/>
      <c r="BW27" s="10">
        <f t="shared" si="70"/>
        <v>0</v>
      </c>
      <c r="BX27" s="10">
        <f t="shared" si="28"/>
        <v>0</v>
      </c>
      <c r="BY27" s="10">
        <f t="shared" si="71"/>
        <v>5000</v>
      </c>
      <c r="BZ27" s="10">
        <f t="shared" si="29"/>
        <v>0.52604625789426407</v>
      </c>
      <c r="CA27" s="10"/>
      <c r="CB27" s="10">
        <f t="shared" si="72"/>
        <v>0</v>
      </c>
      <c r="CC27" s="10">
        <f t="shared" si="101"/>
        <v>0</v>
      </c>
      <c r="CD27" s="10">
        <f t="shared" si="73"/>
        <v>0</v>
      </c>
      <c r="CE27" s="10"/>
      <c r="CF27" s="10">
        <f t="shared" si="102"/>
        <v>0</v>
      </c>
      <c r="CG27" s="10">
        <f t="shared" si="103"/>
        <v>0</v>
      </c>
      <c r="CH27" s="10">
        <f t="shared" si="104"/>
        <v>0</v>
      </c>
      <c r="CI27" s="10">
        <f t="shared" si="74"/>
        <v>0</v>
      </c>
      <c r="CJ27" s="10">
        <f t="shared" si="105"/>
        <v>0</v>
      </c>
      <c r="CK27" s="10">
        <f t="shared" si="106"/>
        <v>0</v>
      </c>
      <c r="CL27" s="10">
        <f t="shared" si="107"/>
        <v>0</v>
      </c>
      <c r="CM27" s="97">
        <v>2752.9509094348264</v>
      </c>
      <c r="CN27" s="10">
        <f t="shared" si="75"/>
        <v>6.0757907923582835</v>
      </c>
      <c r="CO27" s="10">
        <f t="shared" si="76"/>
        <v>2752.9509094348264</v>
      </c>
      <c r="CP27" s="10">
        <f t="shared" si="77"/>
        <v>0.28963590481496032</v>
      </c>
      <c r="CQ27" s="97">
        <v>13932.675092337253</v>
      </c>
      <c r="CR27" s="10">
        <f t="shared" si="30"/>
        <v>30.749556321119115</v>
      </c>
      <c r="CS27" s="10">
        <f t="shared" si="78"/>
        <v>288634.27217014512</v>
      </c>
      <c r="CT27" s="10">
        <f t="shared" si="31"/>
        <v>30.366995755027876</v>
      </c>
      <c r="CU27" s="97">
        <v>13277.548458390993</v>
      </c>
      <c r="CV27" s="10">
        <f t="shared" si="32"/>
        <v>29.303685144587117</v>
      </c>
      <c r="CW27" s="10">
        <f t="shared" si="79"/>
        <v>275667.37848503911</v>
      </c>
      <c r="CX27" s="10">
        <f t="shared" si="33"/>
        <v>29.002758575115315</v>
      </c>
      <c r="CY27" s="97">
        <v>7520.948360827103</v>
      </c>
      <c r="CZ27" s="10">
        <f t="shared" si="34"/>
        <v>16.598809896648916</v>
      </c>
      <c r="DA27" s="10">
        <f t="shared" si="80"/>
        <v>117766.76051667497</v>
      </c>
      <c r="DB27" s="10">
        <f t="shared" si="35"/>
        <v>12.390152734825367</v>
      </c>
      <c r="DC27" s="97">
        <v>7826.0434358417879</v>
      </c>
      <c r="DD27" s="10">
        <f t="shared" si="36"/>
        <v>17.272157845286564</v>
      </c>
      <c r="DE27" s="10">
        <f t="shared" si="81"/>
        <v>166274.03194042205</v>
      </c>
      <c r="DF27" s="10">
        <f t="shared" si="37"/>
        <v>17.493566457450072</v>
      </c>
      <c r="DG27" s="97"/>
      <c r="DH27" s="10">
        <f t="shared" si="38"/>
        <v>0</v>
      </c>
      <c r="DI27" s="10">
        <f t="shared" si="82"/>
        <v>1152.189653379713</v>
      </c>
      <c r="DJ27" s="10">
        <f t="shared" si="39"/>
        <v>0.12122101110897746</v>
      </c>
      <c r="DK27" s="97"/>
      <c r="DL27" s="10">
        <f t="shared" si="83"/>
        <v>0</v>
      </c>
      <c r="DM27" s="10">
        <f t="shared" si="84"/>
        <v>6862.3229076933276</v>
      </c>
      <c r="DN27" s="10">
        <f t="shared" si="85"/>
        <v>0.72197985721083202</v>
      </c>
      <c r="DO27" s="492"/>
      <c r="DP27" s="10">
        <f t="shared" si="86"/>
        <v>0</v>
      </c>
      <c r="DQ27" s="10">
        <f t="shared" si="87"/>
        <v>0</v>
      </c>
      <c r="DR27" s="10">
        <f t="shared" si="88"/>
        <v>0</v>
      </c>
      <c r="DS27" s="97"/>
      <c r="DT27" s="10">
        <f t="shared" si="108"/>
        <v>0</v>
      </c>
      <c r="DU27" s="10">
        <f t="shared" si="89"/>
        <v>0</v>
      </c>
      <c r="DV27" s="10">
        <f t="shared" si="109"/>
        <v>0</v>
      </c>
      <c r="DW27" s="10">
        <f t="shared" si="40"/>
        <v>45310.166256831966</v>
      </c>
      <c r="DX27" s="10">
        <f t="shared" si="41"/>
        <v>100</v>
      </c>
      <c r="DY27" s="10">
        <f t="shared" si="90"/>
        <v>945486.75377232814</v>
      </c>
      <c r="DZ27" s="10">
        <f t="shared" si="42"/>
        <v>99.473953742105735</v>
      </c>
      <c r="EA27" s="97"/>
      <c r="EB27" s="10">
        <f t="shared" si="43"/>
        <v>0</v>
      </c>
      <c r="EC27" s="10">
        <f t="shared" si="91"/>
        <v>0</v>
      </c>
      <c r="ED27" s="10">
        <f t="shared" si="44"/>
        <v>0</v>
      </c>
      <c r="EE27" s="97"/>
      <c r="EF27" s="10">
        <f t="shared" si="45"/>
        <v>0</v>
      </c>
      <c r="EG27" s="10">
        <f t="shared" si="92"/>
        <v>0</v>
      </c>
      <c r="EH27" s="10">
        <f t="shared" si="46"/>
        <v>0</v>
      </c>
      <c r="EI27" s="97"/>
      <c r="EJ27" s="16">
        <f t="shared" si="47"/>
        <v>0</v>
      </c>
      <c r="EK27" s="10">
        <f t="shared" si="93"/>
        <v>0</v>
      </c>
      <c r="EL27" s="10">
        <f t="shared" si="48"/>
        <v>0</v>
      </c>
      <c r="EM27" s="10">
        <f t="shared" si="94"/>
        <v>0</v>
      </c>
      <c r="EN27" s="10">
        <f t="shared" si="49"/>
        <v>0</v>
      </c>
      <c r="EO27" s="10">
        <f t="shared" si="95"/>
        <v>0</v>
      </c>
      <c r="EP27" s="10">
        <f t="shared" si="50"/>
        <v>0</v>
      </c>
      <c r="EQ27" s="97"/>
      <c r="ER27" s="10">
        <f t="shared" si="51"/>
        <v>0</v>
      </c>
      <c r="ES27" s="10">
        <f t="shared" si="96"/>
        <v>0</v>
      </c>
      <c r="ET27" s="10">
        <f t="shared" si="52"/>
        <v>0</v>
      </c>
      <c r="EU27" s="10">
        <f t="shared" si="97"/>
        <v>45310.166256831966</v>
      </c>
      <c r="EV27" s="10">
        <f t="shared" si="98"/>
        <v>950486.75377232814</v>
      </c>
      <c r="EW27" s="10">
        <f t="shared" si="53"/>
        <v>0.98201487336003401</v>
      </c>
      <c r="EX27" s="10">
        <f t="shared" si="54"/>
        <v>1.0974862581632272</v>
      </c>
      <c r="EY27" s="489">
        <f t="shared" si="99"/>
        <v>1.0183145155209601</v>
      </c>
      <c r="EZ27" s="490">
        <f t="shared" si="100"/>
        <v>0.91599167999401243</v>
      </c>
      <c r="FA27" s="5" t="s">
        <v>434</v>
      </c>
      <c r="FF27" s="14"/>
    </row>
    <row r="28" spans="1:163">
      <c r="A28" s="17">
        <f>+Chem!A27</f>
        <v>45980</v>
      </c>
      <c r="B28" s="5" t="str">
        <f>+Chem!B27</f>
        <v>Toilet</v>
      </c>
      <c r="C28" s="5" t="str">
        <f>+Chem!C27</f>
        <v>15,5</v>
      </c>
      <c r="D28" s="8">
        <f>+Chem!D27</f>
        <v>51.887</v>
      </c>
      <c r="E28" s="6">
        <f>+Chem!E27</f>
        <v>50.061</v>
      </c>
      <c r="F28" s="6">
        <f t="shared" si="55"/>
        <v>916.11900000000003</v>
      </c>
      <c r="G28" s="97"/>
      <c r="H28" s="10">
        <f t="shared" si="0"/>
        <v>0</v>
      </c>
      <c r="I28" s="8">
        <f t="shared" si="56"/>
        <v>0</v>
      </c>
      <c r="J28" s="10">
        <f t="shared" si="1"/>
        <v>0</v>
      </c>
      <c r="K28" s="97"/>
      <c r="L28" s="10">
        <f t="shared" si="2"/>
        <v>0</v>
      </c>
      <c r="M28" s="10">
        <f t="shared" si="57"/>
        <v>0</v>
      </c>
      <c r="N28" s="10">
        <f t="shared" si="3"/>
        <v>0</v>
      </c>
      <c r="O28" s="97"/>
      <c r="P28" s="10">
        <f t="shared" si="4"/>
        <v>0</v>
      </c>
      <c r="Q28" s="10">
        <f t="shared" si="58"/>
        <v>0</v>
      </c>
      <c r="R28" s="10">
        <f t="shared" si="5"/>
        <v>0</v>
      </c>
      <c r="S28" s="97"/>
      <c r="T28" s="10">
        <f t="shared" si="6"/>
        <v>0</v>
      </c>
      <c r="U28" s="10">
        <f t="shared" si="59"/>
        <v>5000</v>
      </c>
      <c r="V28" s="10">
        <f t="shared" si="7"/>
        <v>0.49541190287162734</v>
      </c>
      <c r="W28" s="97"/>
      <c r="X28" s="10">
        <f t="shared" si="8"/>
        <v>0</v>
      </c>
      <c r="Y28" s="10">
        <f t="shared" si="60"/>
        <v>0</v>
      </c>
      <c r="Z28" s="10">
        <f t="shared" si="9"/>
        <v>0</v>
      </c>
      <c r="AA28" s="97"/>
      <c r="AB28" s="10">
        <f t="shared" si="10"/>
        <v>0</v>
      </c>
      <c r="AC28" s="10">
        <f t="shared" si="61"/>
        <v>0</v>
      </c>
      <c r="AD28" s="10">
        <f t="shared" si="11"/>
        <v>0</v>
      </c>
      <c r="AE28" s="97"/>
      <c r="AF28" s="10">
        <f t="shared" si="12"/>
        <v>0</v>
      </c>
      <c r="AG28" s="10">
        <f t="shared" si="62"/>
        <v>0</v>
      </c>
      <c r="AH28" s="10">
        <f t="shared" si="13"/>
        <v>0</v>
      </c>
      <c r="AI28" s="97"/>
      <c r="AJ28" s="10">
        <f t="shared" si="14"/>
        <v>0</v>
      </c>
      <c r="AK28" s="10">
        <f t="shared" si="63"/>
        <v>0</v>
      </c>
      <c r="AL28" s="10">
        <f t="shared" si="15"/>
        <v>0</v>
      </c>
      <c r="AM28" s="97"/>
      <c r="AN28" s="10">
        <f t="shared" si="16"/>
        <v>0</v>
      </c>
      <c r="AO28" s="10">
        <f t="shared" si="64"/>
        <v>0</v>
      </c>
      <c r="AP28" s="10">
        <f t="shared" si="17"/>
        <v>0</v>
      </c>
      <c r="AQ28" s="97"/>
      <c r="AR28" s="10">
        <f t="shared" si="18"/>
        <v>0</v>
      </c>
      <c r="AS28" s="10">
        <f t="shared" si="65"/>
        <v>0</v>
      </c>
      <c r="AT28" s="10">
        <f t="shared" si="19"/>
        <v>0</v>
      </c>
      <c r="AU28" s="252"/>
      <c r="AV28" s="10">
        <f t="shared" si="20"/>
        <v>0</v>
      </c>
      <c r="AW28" s="8">
        <f t="shared" si="66"/>
        <v>0</v>
      </c>
      <c r="AX28" s="10">
        <f t="shared" si="21"/>
        <v>0</v>
      </c>
      <c r="AY28" s="97"/>
      <c r="AZ28" s="10">
        <f t="shared" si="22"/>
        <v>0</v>
      </c>
      <c r="BA28" s="10">
        <f t="shared" si="67"/>
        <v>0</v>
      </c>
      <c r="BB28" s="10">
        <f t="shared" si="23"/>
        <v>0</v>
      </c>
      <c r="BC28" s="97"/>
      <c r="BD28" s="10">
        <f t="shared" si="24"/>
        <v>0</v>
      </c>
      <c r="BE28" s="10">
        <f t="shared" si="68"/>
        <v>0</v>
      </c>
      <c r="BF28" s="10">
        <f t="shared" si="25"/>
        <v>0</v>
      </c>
      <c r="BG28" s="97"/>
      <c r="BH28" s="10">
        <f t="shared" si="26"/>
        <v>0</v>
      </c>
      <c r="BI28" s="10">
        <f t="shared" si="69"/>
        <v>0</v>
      </c>
      <c r="BJ28" s="10">
        <f t="shared" si="27"/>
        <v>0</v>
      </c>
      <c r="BK28" s="97"/>
      <c r="BL28" s="10"/>
      <c r="BM28" s="10"/>
      <c r="BN28" s="10"/>
      <c r="BO28" s="97"/>
      <c r="BP28" s="10"/>
      <c r="BQ28" s="10"/>
      <c r="BR28" s="10"/>
      <c r="BS28" s="97"/>
      <c r="BT28" s="10"/>
      <c r="BU28" s="10"/>
      <c r="BV28" s="10"/>
      <c r="BW28" s="10">
        <f t="shared" si="70"/>
        <v>0</v>
      </c>
      <c r="BX28" s="10">
        <f t="shared" si="28"/>
        <v>0</v>
      </c>
      <c r="BY28" s="10">
        <f t="shared" si="71"/>
        <v>5000</v>
      </c>
      <c r="BZ28" s="10">
        <f t="shared" si="29"/>
        <v>0.49541190287162734</v>
      </c>
      <c r="CA28" s="10"/>
      <c r="CB28" s="10">
        <f t="shared" si="72"/>
        <v>0</v>
      </c>
      <c r="CC28" s="10">
        <f t="shared" si="101"/>
        <v>0</v>
      </c>
      <c r="CD28" s="10">
        <f t="shared" si="73"/>
        <v>0</v>
      </c>
      <c r="CE28" s="10"/>
      <c r="CF28" s="10">
        <f t="shared" si="102"/>
        <v>0</v>
      </c>
      <c r="CG28" s="10">
        <f t="shared" si="103"/>
        <v>0</v>
      </c>
      <c r="CH28" s="10">
        <f t="shared" si="104"/>
        <v>0</v>
      </c>
      <c r="CI28" s="10">
        <f t="shared" si="74"/>
        <v>0</v>
      </c>
      <c r="CJ28" s="10">
        <f t="shared" si="105"/>
        <v>0</v>
      </c>
      <c r="CK28" s="10">
        <f t="shared" si="106"/>
        <v>0</v>
      </c>
      <c r="CL28" s="10">
        <f t="shared" si="107"/>
        <v>0</v>
      </c>
      <c r="CM28" s="97">
        <v>3465.8337631986192</v>
      </c>
      <c r="CN28" s="10">
        <f t="shared" si="75"/>
        <v>5.8968401486988853</v>
      </c>
      <c r="CO28" s="10">
        <f t="shared" si="76"/>
        <v>3465.8337631986192</v>
      </c>
      <c r="CP28" s="10">
        <f t="shared" si="77"/>
        <v>0.34340305993259218</v>
      </c>
      <c r="CQ28" s="97">
        <v>17676.025307660726</v>
      </c>
      <c r="CR28" s="10">
        <f t="shared" si="30"/>
        <v>30.074349442379184</v>
      </c>
      <c r="CS28" s="10">
        <f t="shared" si="78"/>
        <v>306310.29747780587</v>
      </c>
      <c r="CT28" s="10">
        <f t="shared" si="31"/>
        <v>30.349953468530806</v>
      </c>
      <c r="CU28" s="491">
        <v>17080.633849522586</v>
      </c>
      <c r="CV28" s="10">
        <f t="shared" si="32"/>
        <v>29.061338289962823</v>
      </c>
      <c r="CW28" s="10">
        <f t="shared" si="79"/>
        <v>292748.01233456167</v>
      </c>
      <c r="CX28" s="10">
        <f t="shared" si="33"/>
        <v>29.006169970510363</v>
      </c>
      <c r="CY28" s="97">
        <v>8403.7592508763992</v>
      </c>
      <c r="CZ28" s="10">
        <f t="shared" si="34"/>
        <v>14.298327137546469</v>
      </c>
      <c r="DA28" s="10">
        <f t="shared" si="80"/>
        <v>126170.51976755136</v>
      </c>
      <c r="DB28" s="10">
        <f t="shared" si="35"/>
        <v>12.501275456868976</v>
      </c>
      <c r="DC28" s="97">
        <v>12148.170668800203</v>
      </c>
      <c r="DD28" s="10">
        <f t="shared" si="36"/>
        <v>20.669144981412639</v>
      </c>
      <c r="DE28" s="10">
        <f t="shared" si="81"/>
        <v>178422.20260922227</v>
      </c>
      <c r="DF28" s="10">
        <f t="shared" si="37"/>
        <v>17.678496581836363</v>
      </c>
      <c r="DG28" s="97"/>
      <c r="DH28" s="10">
        <f t="shared" si="38"/>
        <v>0</v>
      </c>
      <c r="DI28" s="10">
        <f t="shared" si="82"/>
        <v>1152.189653379713</v>
      </c>
      <c r="DJ28" s="10">
        <f t="shared" si="39"/>
        <v>0.11416169372996886</v>
      </c>
      <c r="DK28" s="97"/>
      <c r="DL28" s="10">
        <f t="shared" si="83"/>
        <v>0</v>
      </c>
      <c r="DM28" s="10">
        <f t="shared" si="84"/>
        <v>6862.3229076933276</v>
      </c>
      <c r="DN28" s="10">
        <f t="shared" si="85"/>
        <v>0.679935289963982</v>
      </c>
      <c r="DO28" s="492"/>
      <c r="DP28" s="10">
        <f t="shared" si="86"/>
        <v>0</v>
      </c>
      <c r="DQ28" s="10">
        <f t="shared" si="87"/>
        <v>0</v>
      </c>
      <c r="DR28" s="10">
        <f t="shared" si="88"/>
        <v>0</v>
      </c>
      <c r="DS28" s="97"/>
      <c r="DT28" s="10">
        <f t="shared" si="108"/>
        <v>0</v>
      </c>
      <c r="DU28" s="10">
        <f t="shared" si="89"/>
        <v>0</v>
      </c>
      <c r="DV28" s="10">
        <f t="shared" si="109"/>
        <v>0</v>
      </c>
      <c r="DW28" s="10">
        <f t="shared" si="40"/>
        <v>58774.422840058534</v>
      </c>
      <c r="DX28" s="10">
        <f t="shared" si="41"/>
        <v>100</v>
      </c>
      <c r="DY28" s="10">
        <f t="shared" si="90"/>
        <v>1004261.1766123867</v>
      </c>
      <c r="DZ28" s="10">
        <f t="shared" si="42"/>
        <v>99.504588097128376</v>
      </c>
      <c r="EA28" s="97"/>
      <c r="EB28" s="10">
        <f t="shared" si="43"/>
        <v>0</v>
      </c>
      <c r="EC28" s="10">
        <f t="shared" si="91"/>
        <v>0</v>
      </c>
      <c r="ED28" s="10">
        <f t="shared" si="44"/>
        <v>0</v>
      </c>
      <c r="EE28" s="97"/>
      <c r="EF28" s="10">
        <f t="shared" si="45"/>
        <v>0</v>
      </c>
      <c r="EG28" s="10">
        <f t="shared" si="92"/>
        <v>0</v>
      </c>
      <c r="EH28" s="10">
        <f t="shared" si="46"/>
        <v>0</v>
      </c>
      <c r="EI28" s="97"/>
      <c r="EJ28" s="16">
        <f t="shared" si="47"/>
        <v>0</v>
      </c>
      <c r="EK28" s="10">
        <f t="shared" si="93"/>
        <v>0</v>
      </c>
      <c r="EL28" s="10">
        <f t="shared" si="48"/>
        <v>0</v>
      </c>
      <c r="EM28" s="10">
        <f t="shared" si="94"/>
        <v>0</v>
      </c>
      <c r="EN28" s="10">
        <f t="shared" si="49"/>
        <v>0</v>
      </c>
      <c r="EO28" s="10">
        <f t="shared" si="95"/>
        <v>0</v>
      </c>
      <c r="EP28" s="10">
        <f t="shared" si="50"/>
        <v>0</v>
      </c>
      <c r="EQ28" s="97"/>
      <c r="ER28" s="10">
        <f t="shared" si="51"/>
        <v>0</v>
      </c>
      <c r="ES28" s="10">
        <f t="shared" si="96"/>
        <v>0</v>
      </c>
      <c r="ET28" s="10">
        <f t="shared" si="52"/>
        <v>0</v>
      </c>
      <c r="EU28" s="10">
        <f t="shared" si="97"/>
        <v>58774.422840058534</v>
      </c>
      <c r="EV28" s="10">
        <f t="shared" si="98"/>
        <v>1009261.1766123867</v>
      </c>
      <c r="EW28" s="10">
        <f t="shared" si="53"/>
        <v>1.1740561083489849</v>
      </c>
      <c r="EX28" s="10">
        <f t="shared" si="54"/>
        <v>1.1016703906505452</v>
      </c>
      <c r="EY28" s="489">
        <f t="shared" si="99"/>
        <v>0.85174804925315606</v>
      </c>
      <c r="EZ28" s="490">
        <f t="shared" si="100"/>
        <v>0.91223181910734474</v>
      </c>
      <c r="FA28" s="5" t="s">
        <v>434</v>
      </c>
      <c r="FF28" s="14"/>
    </row>
    <row r="29" spans="1:163">
      <c r="A29" s="17">
        <f>+Chem!A28</f>
        <v>45981</v>
      </c>
      <c r="B29" s="5" t="str">
        <f>+Chem!B28</f>
        <v>Toilet</v>
      </c>
      <c r="C29" s="5" t="str">
        <f>+Chem!C28</f>
        <v>15,5/16/19</v>
      </c>
      <c r="D29" s="8">
        <f>+Chem!D28</f>
        <v>55.744999999999997</v>
      </c>
      <c r="E29" s="6">
        <f>+Chem!E28</f>
        <v>53.6</v>
      </c>
      <c r="F29" s="6">
        <f t="shared" si="55"/>
        <v>969.71900000000005</v>
      </c>
      <c r="G29" s="97"/>
      <c r="H29" s="10">
        <f t="shared" si="0"/>
        <v>0</v>
      </c>
      <c r="I29" s="8">
        <f t="shared" si="56"/>
        <v>0</v>
      </c>
      <c r="J29" s="10">
        <f t="shared" si="1"/>
        <v>0</v>
      </c>
      <c r="K29" s="97"/>
      <c r="L29" s="10">
        <f t="shared" si="2"/>
        <v>0</v>
      </c>
      <c r="M29" s="10">
        <f t="shared" si="57"/>
        <v>0</v>
      </c>
      <c r="N29" s="10">
        <f t="shared" si="3"/>
        <v>0</v>
      </c>
      <c r="O29" s="97"/>
      <c r="P29" s="10">
        <f t="shared" si="4"/>
        <v>0</v>
      </c>
      <c r="Q29" s="10">
        <f t="shared" si="58"/>
        <v>0</v>
      </c>
      <c r="R29" s="10">
        <f t="shared" si="5"/>
        <v>0</v>
      </c>
      <c r="S29" s="97"/>
      <c r="T29" s="10">
        <f t="shared" si="6"/>
        <v>0</v>
      </c>
      <c r="U29" s="10">
        <f t="shared" si="59"/>
        <v>5000</v>
      </c>
      <c r="V29" s="10">
        <f t="shared" si="7"/>
        <v>0.46966399446246415</v>
      </c>
      <c r="W29" s="97"/>
      <c r="X29" s="10">
        <f t="shared" si="8"/>
        <v>0</v>
      </c>
      <c r="Y29" s="10">
        <f t="shared" si="60"/>
        <v>0</v>
      </c>
      <c r="Z29" s="10">
        <f t="shared" si="9"/>
        <v>0</v>
      </c>
      <c r="AA29" s="97"/>
      <c r="AB29" s="10">
        <f t="shared" si="10"/>
        <v>0</v>
      </c>
      <c r="AC29" s="10">
        <f t="shared" si="61"/>
        <v>0</v>
      </c>
      <c r="AD29" s="10">
        <f t="shared" si="11"/>
        <v>0</v>
      </c>
      <c r="AE29" s="97"/>
      <c r="AF29" s="10">
        <f t="shared" si="12"/>
        <v>0</v>
      </c>
      <c r="AG29" s="10">
        <f t="shared" si="62"/>
        <v>0</v>
      </c>
      <c r="AH29" s="10">
        <f t="shared" si="13"/>
        <v>0</v>
      </c>
      <c r="AI29" s="97"/>
      <c r="AJ29" s="10">
        <f t="shared" si="14"/>
        <v>0</v>
      </c>
      <c r="AK29" s="10">
        <f t="shared" si="63"/>
        <v>0</v>
      </c>
      <c r="AL29" s="10">
        <f t="shared" si="15"/>
        <v>0</v>
      </c>
      <c r="AM29" s="97"/>
      <c r="AN29" s="10">
        <f t="shared" si="16"/>
        <v>0</v>
      </c>
      <c r="AO29" s="10">
        <f t="shared" si="64"/>
        <v>0</v>
      </c>
      <c r="AP29" s="10">
        <f t="shared" si="17"/>
        <v>0</v>
      </c>
      <c r="AQ29" s="97"/>
      <c r="AR29" s="10">
        <f t="shared" si="18"/>
        <v>0</v>
      </c>
      <c r="AS29" s="10">
        <f t="shared" si="65"/>
        <v>0</v>
      </c>
      <c r="AT29" s="10">
        <f t="shared" si="19"/>
        <v>0</v>
      </c>
      <c r="AU29" s="252"/>
      <c r="AV29" s="10">
        <f t="shared" si="20"/>
        <v>0</v>
      </c>
      <c r="AW29" s="8">
        <f t="shared" si="66"/>
        <v>0</v>
      </c>
      <c r="AX29" s="10">
        <f t="shared" si="21"/>
        <v>0</v>
      </c>
      <c r="AY29" s="97"/>
      <c r="AZ29" s="10">
        <f t="shared" si="22"/>
        <v>0</v>
      </c>
      <c r="BA29" s="10">
        <f t="shared" si="67"/>
        <v>0</v>
      </c>
      <c r="BB29" s="10">
        <f t="shared" si="23"/>
        <v>0</v>
      </c>
      <c r="BC29" s="97"/>
      <c r="BD29" s="10">
        <f t="shared" si="24"/>
        <v>0</v>
      </c>
      <c r="BE29" s="10">
        <f t="shared" si="68"/>
        <v>0</v>
      </c>
      <c r="BF29" s="10">
        <f t="shared" si="25"/>
        <v>0</v>
      </c>
      <c r="BG29" s="97"/>
      <c r="BH29" s="10">
        <f t="shared" si="26"/>
        <v>0</v>
      </c>
      <c r="BI29" s="10">
        <f t="shared" si="69"/>
        <v>0</v>
      </c>
      <c r="BJ29" s="10">
        <f t="shared" si="27"/>
        <v>0</v>
      </c>
      <c r="BK29" s="97"/>
      <c r="BL29" s="10"/>
      <c r="BM29" s="10"/>
      <c r="BN29" s="10"/>
      <c r="BO29" s="97"/>
      <c r="BP29" s="10"/>
      <c r="BQ29" s="10"/>
      <c r="BR29" s="10"/>
      <c r="BS29" s="97"/>
      <c r="BT29" s="10"/>
      <c r="BU29" s="10"/>
      <c r="BV29" s="10"/>
      <c r="BW29" s="10">
        <f t="shared" si="70"/>
        <v>0</v>
      </c>
      <c r="BX29" s="10">
        <f t="shared" si="28"/>
        <v>0</v>
      </c>
      <c r="BY29" s="10">
        <f t="shared" si="71"/>
        <v>5000</v>
      </c>
      <c r="BZ29" s="10">
        <f t="shared" si="29"/>
        <v>0.46966399446246415</v>
      </c>
      <c r="CA29" s="10"/>
      <c r="CB29" s="10">
        <f t="shared" si="72"/>
        <v>0</v>
      </c>
      <c r="CC29" s="10">
        <f t="shared" si="101"/>
        <v>0</v>
      </c>
      <c r="CD29" s="10">
        <f t="shared" si="73"/>
        <v>0</v>
      </c>
      <c r="CE29" s="10"/>
      <c r="CF29" s="10">
        <f t="shared" si="102"/>
        <v>0</v>
      </c>
      <c r="CG29" s="10">
        <f t="shared" si="103"/>
        <v>0</v>
      </c>
      <c r="CH29" s="10">
        <f t="shared" si="104"/>
        <v>0</v>
      </c>
      <c r="CI29" s="10">
        <f t="shared" si="74"/>
        <v>0</v>
      </c>
      <c r="CJ29" s="10">
        <f t="shared" si="105"/>
        <v>0</v>
      </c>
      <c r="CK29" s="10">
        <f t="shared" si="106"/>
        <v>0</v>
      </c>
      <c r="CL29" s="10">
        <f t="shared" si="107"/>
        <v>0</v>
      </c>
      <c r="CM29" s="97">
        <v>3181.7922374429222</v>
      </c>
      <c r="CN29" s="10">
        <f t="shared" si="75"/>
        <v>5.7506053268765136</v>
      </c>
      <c r="CO29" s="10">
        <f t="shared" si="76"/>
        <v>3181.7922374429222</v>
      </c>
      <c r="CP29" s="10">
        <f t="shared" si="77"/>
        <v>0.29887465035742078</v>
      </c>
      <c r="CQ29" s="97">
        <v>16336.635285526776</v>
      </c>
      <c r="CR29" s="10">
        <f t="shared" si="30"/>
        <v>29.525982492084186</v>
      </c>
      <c r="CS29" s="10">
        <f t="shared" si="78"/>
        <v>322646.93276333262</v>
      </c>
      <c r="CT29" s="10">
        <f t="shared" si="31"/>
        <v>30.307129448537779</v>
      </c>
      <c r="CU29" s="97">
        <v>16393.314985303088</v>
      </c>
      <c r="CV29" s="10">
        <f t="shared" si="32"/>
        <v>29.628422425032596</v>
      </c>
      <c r="CW29" s="10">
        <f t="shared" si="79"/>
        <v>309141.32731986477</v>
      </c>
      <c r="CX29" s="10">
        <f t="shared" si="33"/>
        <v>29.038510128495155</v>
      </c>
      <c r="CY29" s="97">
        <v>7481.7203704730737</v>
      </c>
      <c r="CZ29" s="10">
        <f t="shared" si="34"/>
        <v>13.522071149189793</v>
      </c>
      <c r="DA29" s="10">
        <f t="shared" si="80"/>
        <v>133652.24013802444</v>
      </c>
      <c r="DB29" s="10">
        <f t="shared" si="35"/>
        <v>12.554328994416208</v>
      </c>
      <c r="DC29" s="97">
        <v>11936.229502893164</v>
      </c>
      <c r="DD29" s="10">
        <f t="shared" si="36"/>
        <v>21.572918606816909</v>
      </c>
      <c r="DE29" s="10">
        <f t="shared" si="81"/>
        <v>190358.43211211544</v>
      </c>
      <c r="DF29" s="10">
        <f t="shared" si="37"/>
        <v>17.88090032107759</v>
      </c>
      <c r="DG29" s="97"/>
      <c r="DH29" s="10">
        <f t="shared" si="38"/>
        <v>0</v>
      </c>
      <c r="DI29" s="10">
        <f t="shared" si="82"/>
        <v>1152.189653379713</v>
      </c>
      <c r="DJ29" s="10">
        <f t="shared" si="39"/>
        <v>0.10822839899692761</v>
      </c>
      <c r="DK29" s="97"/>
      <c r="DL29" s="10">
        <f t="shared" si="83"/>
        <v>0</v>
      </c>
      <c r="DM29" s="10">
        <f t="shared" si="84"/>
        <v>6862.3229076933276</v>
      </c>
      <c r="DN29" s="10">
        <f t="shared" si="85"/>
        <v>0.64459719762370404</v>
      </c>
      <c r="DO29" s="492"/>
      <c r="DP29" s="10">
        <f t="shared" si="86"/>
        <v>0</v>
      </c>
      <c r="DQ29" s="10">
        <f t="shared" si="87"/>
        <v>0</v>
      </c>
      <c r="DR29" s="10">
        <f t="shared" si="88"/>
        <v>0</v>
      </c>
      <c r="DS29" s="97"/>
      <c r="DT29" s="10">
        <f t="shared" si="108"/>
        <v>0</v>
      </c>
      <c r="DU29" s="10">
        <f t="shared" si="89"/>
        <v>0</v>
      </c>
      <c r="DV29" s="10">
        <f t="shared" si="109"/>
        <v>0</v>
      </c>
      <c r="DW29" s="10">
        <f t="shared" si="40"/>
        <v>55329.692381639026</v>
      </c>
      <c r="DX29" s="10">
        <f t="shared" si="41"/>
        <v>100</v>
      </c>
      <c r="DY29" s="10">
        <f t="shared" si="90"/>
        <v>1059590.8689940257</v>
      </c>
      <c r="DZ29" s="10">
        <f t="shared" si="42"/>
        <v>99.530336005537535</v>
      </c>
      <c r="EA29" s="97"/>
      <c r="EB29" s="10">
        <f t="shared" si="43"/>
        <v>0</v>
      </c>
      <c r="EC29" s="10">
        <f t="shared" si="91"/>
        <v>0</v>
      </c>
      <c r="ED29" s="10">
        <f t="shared" si="44"/>
        <v>0</v>
      </c>
      <c r="EE29" s="97"/>
      <c r="EF29" s="10">
        <f t="shared" si="45"/>
        <v>0</v>
      </c>
      <c r="EG29" s="10">
        <f t="shared" si="92"/>
        <v>0</v>
      </c>
      <c r="EH29" s="10">
        <f t="shared" si="46"/>
        <v>0</v>
      </c>
      <c r="EI29" s="97"/>
      <c r="EJ29" s="16">
        <f t="shared" si="47"/>
        <v>0</v>
      </c>
      <c r="EK29" s="10">
        <f t="shared" si="93"/>
        <v>0</v>
      </c>
      <c r="EL29" s="10">
        <f t="shared" si="48"/>
        <v>0</v>
      </c>
      <c r="EM29" s="10">
        <f t="shared" si="94"/>
        <v>0</v>
      </c>
      <c r="EN29" s="10">
        <f t="shared" si="49"/>
        <v>0</v>
      </c>
      <c r="EO29" s="10">
        <f t="shared" si="95"/>
        <v>0</v>
      </c>
      <c r="EP29" s="10">
        <f t="shared" si="50"/>
        <v>0</v>
      </c>
      <c r="EQ29" s="97"/>
      <c r="ER29" s="10">
        <f t="shared" si="51"/>
        <v>0</v>
      </c>
      <c r="ES29" s="10">
        <f t="shared" si="96"/>
        <v>0</v>
      </c>
      <c r="ET29" s="10">
        <f t="shared" si="52"/>
        <v>0</v>
      </c>
      <c r="EU29" s="10">
        <f t="shared" si="97"/>
        <v>55329.692381639026</v>
      </c>
      <c r="EV29" s="10">
        <f t="shared" si="98"/>
        <v>1064590.8689940257</v>
      </c>
      <c r="EW29" s="10">
        <f t="shared" si="53"/>
        <v>1.0322703802544595</v>
      </c>
      <c r="EX29" s="10">
        <f t="shared" si="54"/>
        <v>1.0978343922249905</v>
      </c>
      <c r="EY29" s="489">
        <f t="shared" si="99"/>
        <v>0.96873844210612281</v>
      </c>
      <c r="EZ29" s="490">
        <f t="shared" si="100"/>
        <v>0.91518248068771113</v>
      </c>
      <c r="FA29" s="5" t="s">
        <v>434</v>
      </c>
      <c r="FF29" s="14"/>
    </row>
    <row r="30" spans="1:163">
      <c r="A30" s="17">
        <f>+Chem!A29</f>
        <v>45982</v>
      </c>
      <c r="B30" s="5" t="str">
        <f>+Chem!B29</f>
        <v>Toilet</v>
      </c>
      <c r="C30" s="5" t="str">
        <f>+Chem!C29</f>
        <v>19/20</v>
      </c>
      <c r="D30" s="8">
        <f>+Chem!D29</f>
        <v>55.605000000000004</v>
      </c>
      <c r="E30" s="6">
        <f>+Chem!E29</f>
        <v>53.741</v>
      </c>
      <c r="F30" s="6">
        <f t="shared" si="55"/>
        <v>1023.46</v>
      </c>
      <c r="G30" s="97"/>
      <c r="H30" s="10">
        <f t="shared" si="0"/>
        <v>0</v>
      </c>
      <c r="I30" s="8">
        <f t="shared" si="56"/>
        <v>0</v>
      </c>
      <c r="J30" s="10">
        <f t="shared" si="1"/>
        <v>0</v>
      </c>
      <c r="K30" s="97"/>
      <c r="L30" s="10">
        <f t="shared" si="2"/>
        <v>0</v>
      </c>
      <c r="M30" s="10">
        <f t="shared" si="57"/>
        <v>0</v>
      </c>
      <c r="N30" s="10">
        <f t="shared" si="3"/>
        <v>0</v>
      </c>
      <c r="O30" s="97"/>
      <c r="P30" s="10">
        <f t="shared" si="4"/>
        <v>0</v>
      </c>
      <c r="Q30" s="10">
        <f t="shared" si="58"/>
        <v>0</v>
      </c>
      <c r="R30" s="10">
        <f t="shared" si="5"/>
        <v>0</v>
      </c>
      <c r="S30" s="97"/>
      <c r="T30" s="10">
        <f t="shared" si="6"/>
        <v>0</v>
      </c>
      <c r="U30" s="10">
        <f t="shared" si="59"/>
        <v>5000</v>
      </c>
      <c r="V30" s="10">
        <f t="shared" si="7"/>
        <v>0.4484925217226241</v>
      </c>
      <c r="W30" s="97"/>
      <c r="X30" s="10">
        <f t="shared" si="8"/>
        <v>0</v>
      </c>
      <c r="Y30" s="10">
        <f t="shared" si="60"/>
        <v>0</v>
      </c>
      <c r="Z30" s="10">
        <f t="shared" si="9"/>
        <v>0</v>
      </c>
      <c r="AA30" s="97"/>
      <c r="AB30" s="10">
        <f t="shared" si="10"/>
        <v>0</v>
      </c>
      <c r="AC30" s="10">
        <f t="shared" si="61"/>
        <v>0</v>
      </c>
      <c r="AD30" s="10">
        <f t="shared" si="11"/>
        <v>0</v>
      </c>
      <c r="AE30" s="97"/>
      <c r="AF30" s="10">
        <f t="shared" si="12"/>
        <v>0</v>
      </c>
      <c r="AG30" s="10">
        <f t="shared" si="62"/>
        <v>0</v>
      </c>
      <c r="AH30" s="10">
        <f t="shared" si="13"/>
        <v>0</v>
      </c>
      <c r="AI30" s="97"/>
      <c r="AJ30" s="10">
        <f t="shared" si="14"/>
        <v>0</v>
      </c>
      <c r="AK30" s="10">
        <f t="shared" si="63"/>
        <v>0</v>
      </c>
      <c r="AL30" s="10">
        <f t="shared" si="15"/>
        <v>0</v>
      </c>
      <c r="AM30" s="97"/>
      <c r="AN30" s="10">
        <f t="shared" si="16"/>
        <v>0</v>
      </c>
      <c r="AO30" s="10">
        <f t="shared" si="64"/>
        <v>0</v>
      </c>
      <c r="AP30" s="10">
        <f t="shared" si="17"/>
        <v>0</v>
      </c>
      <c r="AQ30" s="97"/>
      <c r="AR30" s="10">
        <f t="shared" si="18"/>
        <v>0</v>
      </c>
      <c r="AS30" s="10">
        <f t="shared" si="65"/>
        <v>0</v>
      </c>
      <c r="AT30" s="10">
        <f t="shared" si="19"/>
        <v>0</v>
      </c>
      <c r="AU30" s="252"/>
      <c r="AV30" s="10">
        <f t="shared" si="20"/>
        <v>0</v>
      </c>
      <c r="AW30" s="8">
        <f t="shared" si="66"/>
        <v>0</v>
      </c>
      <c r="AX30" s="10">
        <f t="shared" si="21"/>
        <v>0</v>
      </c>
      <c r="AY30" s="97"/>
      <c r="AZ30" s="10">
        <f t="shared" si="22"/>
        <v>0</v>
      </c>
      <c r="BA30" s="10">
        <f t="shared" si="67"/>
        <v>0</v>
      </c>
      <c r="BB30" s="10">
        <f t="shared" si="23"/>
        <v>0</v>
      </c>
      <c r="BC30" s="97"/>
      <c r="BD30" s="10">
        <f t="shared" si="24"/>
        <v>0</v>
      </c>
      <c r="BE30" s="10">
        <f t="shared" si="68"/>
        <v>0</v>
      </c>
      <c r="BF30" s="10">
        <f t="shared" si="25"/>
        <v>0</v>
      </c>
      <c r="BG30" s="97"/>
      <c r="BH30" s="10">
        <f t="shared" si="26"/>
        <v>0</v>
      </c>
      <c r="BI30" s="10">
        <f t="shared" si="69"/>
        <v>0</v>
      </c>
      <c r="BJ30" s="10">
        <f t="shared" si="27"/>
        <v>0</v>
      </c>
      <c r="BK30" s="97"/>
      <c r="BL30" s="10"/>
      <c r="BM30" s="10"/>
      <c r="BN30" s="10"/>
      <c r="BO30" s="97"/>
      <c r="BP30" s="10"/>
      <c r="BQ30" s="10"/>
      <c r="BR30" s="10"/>
      <c r="BS30" s="97"/>
      <c r="BT30" s="10"/>
      <c r="BU30" s="10"/>
      <c r="BV30" s="10"/>
      <c r="BW30" s="10">
        <f t="shared" si="70"/>
        <v>0</v>
      </c>
      <c r="BX30" s="10">
        <f t="shared" si="28"/>
        <v>0</v>
      </c>
      <c r="BY30" s="10">
        <f t="shared" si="71"/>
        <v>5000</v>
      </c>
      <c r="BZ30" s="10">
        <f t="shared" si="29"/>
        <v>0.4484925217226241</v>
      </c>
      <c r="CA30" s="10"/>
      <c r="CB30" s="10">
        <f t="shared" si="72"/>
        <v>0</v>
      </c>
      <c r="CC30" s="10">
        <f t="shared" si="101"/>
        <v>0</v>
      </c>
      <c r="CD30" s="10">
        <f t="shared" si="73"/>
        <v>0</v>
      </c>
      <c r="CE30" s="10"/>
      <c r="CF30" s="10">
        <f t="shared" si="102"/>
        <v>0</v>
      </c>
      <c r="CG30" s="10">
        <f t="shared" si="103"/>
        <v>0</v>
      </c>
      <c r="CH30" s="10">
        <f t="shared" si="104"/>
        <v>0</v>
      </c>
      <c r="CI30" s="10">
        <f t="shared" si="74"/>
        <v>0</v>
      </c>
      <c r="CJ30" s="10">
        <f t="shared" si="105"/>
        <v>0</v>
      </c>
      <c r="CK30" s="10">
        <f t="shared" si="106"/>
        <v>0</v>
      </c>
      <c r="CL30" s="10">
        <f t="shared" si="107"/>
        <v>0</v>
      </c>
      <c r="CM30" s="97">
        <v>3280.4717874701187</v>
      </c>
      <c r="CN30" s="10">
        <f t="shared" si="75"/>
        <v>6.5276627174639934</v>
      </c>
      <c r="CO30" s="10">
        <f t="shared" si="76"/>
        <v>3280.4717874701187</v>
      </c>
      <c r="CP30" s="10">
        <f t="shared" si="77"/>
        <v>0.29425341288047957</v>
      </c>
      <c r="CQ30" s="97">
        <v>16341.665193270488</v>
      </c>
      <c r="CR30" s="10">
        <f t="shared" si="30"/>
        <v>32.517541845911225</v>
      </c>
      <c r="CS30" s="10">
        <f t="shared" si="78"/>
        <v>338988.5979566031</v>
      </c>
      <c r="CT30" s="10">
        <f t="shared" si="31"/>
        <v>30.406770226554748</v>
      </c>
      <c r="CU30" s="97">
        <v>11421.459113256056</v>
      </c>
      <c r="CV30" s="10">
        <f t="shared" si="32"/>
        <v>22.727045883280599</v>
      </c>
      <c r="CW30" s="10">
        <f t="shared" si="79"/>
        <v>320562.78643312084</v>
      </c>
      <c r="CX30" s="10">
        <f t="shared" si="33"/>
        <v>28.754002491564272</v>
      </c>
      <c r="CY30" s="97">
        <v>7493.9217897253175</v>
      </c>
      <c r="CZ30" s="10">
        <f t="shared" si="34"/>
        <v>14.911816666500313</v>
      </c>
      <c r="DA30" s="10">
        <f t="shared" si="80"/>
        <v>141146.16192774975</v>
      </c>
      <c r="DB30" s="10">
        <f t="shared" si="35"/>
        <v>12.660599618889265</v>
      </c>
      <c r="DC30" s="97">
        <v>11717.403815795409</v>
      </c>
      <c r="DD30" s="10">
        <f t="shared" si="36"/>
        <v>23.315932886843864</v>
      </c>
      <c r="DE30" s="10">
        <f t="shared" si="81"/>
        <v>202075.83592791084</v>
      </c>
      <c r="DF30" s="10">
        <f t="shared" si="37"/>
        <v>18.1259002469032</v>
      </c>
      <c r="DG30" s="97"/>
      <c r="DH30" s="10">
        <f t="shared" si="38"/>
        <v>0</v>
      </c>
      <c r="DI30" s="10">
        <f t="shared" si="82"/>
        <v>1152.189653379713</v>
      </c>
      <c r="DJ30" s="10">
        <f t="shared" si="39"/>
        <v>0.10334968862939675</v>
      </c>
      <c r="DK30" s="97"/>
      <c r="DL30" s="10">
        <f t="shared" si="83"/>
        <v>0</v>
      </c>
      <c r="DM30" s="10">
        <f t="shared" si="84"/>
        <v>6862.3229076933276</v>
      </c>
      <c r="DN30" s="10">
        <f t="shared" si="85"/>
        <v>0.61554010114926228</v>
      </c>
      <c r="DO30" s="492"/>
      <c r="DP30" s="10">
        <f t="shared" si="86"/>
        <v>0</v>
      </c>
      <c r="DQ30" s="10">
        <f t="shared" si="87"/>
        <v>0</v>
      </c>
      <c r="DR30" s="10">
        <f t="shared" si="88"/>
        <v>0</v>
      </c>
      <c r="DS30" s="97"/>
      <c r="DT30" s="10">
        <f t="shared" si="108"/>
        <v>0</v>
      </c>
      <c r="DU30" s="10">
        <f t="shared" si="89"/>
        <v>0</v>
      </c>
      <c r="DV30" s="10">
        <f t="shared" si="109"/>
        <v>0</v>
      </c>
      <c r="DW30" s="10">
        <f t="shared" si="40"/>
        <v>50254.921699517392</v>
      </c>
      <c r="DX30" s="10">
        <f t="shared" si="41"/>
        <v>100</v>
      </c>
      <c r="DY30" s="10">
        <f t="shared" si="90"/>
        <v>1109845.7906935432</v>
      </c>
      <c r="DZ30" s="10">
        <f t="shared" si="42"/>
        <v>99.551507478277372</v>
      </c>
      <c r="EA30" s="97"/>
      <c r="EB30" s="10">
        <f t="shared" si="43"/>
        <v>0</v>
      </c>
      <c r="EC30" s="10">
        <f t="shared" si="91"/>
        <v>0</v>
      </c>
      <c r="ED30" s="10">
        <f t="shared" si="44"/>
        <v>0</v>
      </c>
      <c r="EE30" s="97"/>
      <c r="EF30" s="10">
        <f t="shared" si="45"/>
        <v>0</v>
      </c>
      <c r="EG30" s="10">
        <f t="shared" si="92"/>
        <v>0</v>
      </c>
      <c r="EH30" s="10">
        <f t="shared" si="46"/>
        <v>0</v>
      </c>
      <c r="EI30" s="97"/>
      <c r="EJ30" s="16">
        <f t="shared" si="47"/>
        <v>0</v>
      </c>
      <c r="EK30" s="10">
        <f t="shared" si="93"/>
        <v>0</v>
      </c>
      <c r="EL30" s="10">
        <f t="shared" si="48"/>
        <v>0</v>
      </c>
      <c r="EM30" s="10">
        <f t="shared" si="94"/>
        <v>0</v>
      </c>
      <c r="EN30" s="10">
        <f t="shared" si="49"/>
        <v>0</v>
      </c>
      <c r="EO30" s="10">
        <f t="shared" si="95"/>
        <v>0</v>
      </c>
      <c r="EP30" s="10">
        <f t="shared" si="50"/>
        <v>0</v>
      </c>
      <c r="EQ30" s="97"/>
      <c r="ER30" s="10">
        <f t="shared" si="51"/>
        <v>0</v>
      </c>
      <c r="ES30" s="10">
        <f t="shared" si="96"/>
        <v>0</v>
      </c>
      <c r="ET30" s="10">
        <f t="shared" si="52"/>
        <v>0</v>
      </c>
      <c r="EU30" s="10">
        <f t="shared" si="97"/>
        <v>50254.921699517392</v>
      </c>
      <c r="EV30" s="10">
        <f t="shared" si="98"/>
        <v>1114845.7906935432</v>
      </c>
      <c r="EW30" s="10">
        <f t="shared" si="53"/>
        <v>0.93513186765258161</v>
      </c>
      <c r="EX30" s="10">
        <f t="shared" si="54"/>
        <v>1.0892910232872248</v>
      </c>
      <c r="EY30" s="489">
        <f t="shared" si="99"/>
        <v>1.0693678983588206</v>
      </c>
      <c r="EZ30" s="490">
        <f t="shared" si="100"/>
        <v>0.92216414981439843</v>
      </c>
      <c r="FA30" s="5" t="s">
        <v>434</v>
      </c>
    </row>
    <row r="31" spans="1:163">
      <c r="A31" s="17">
        <f>+Chem!A30</f>
        <v>45983</v>
      </c>
      <c r="B31" s="5" t="str">
        <f>+Chem!B30</f>
        <v>Toilet</v>
      </c>
      <c r="C31" s="5" t="str">
        <f>+Chem!C30</f>
        <v>20/15</v>
      </c>
      <c r="D31" s="8">
        <f>+Chem!D30</f>
        <v>49.744000000000007</v>
      </c>
      <c r="E31" s="6">
        <f>+Chem!E30</f>
        <v>51.213999999999999</v>
      </c>
      <c r="F31" s="6">
        <f t="shared" si="55"/>
        <v>1074.674</v>
      </c>
      <c r="G31" s="97"/>
      <c r="H31" s="10">
        <f t="shared" si="0"/>
        <v>0</v>
      </c>
      <c r="I31" s="8">
        <f t="shared" si="56"/>
        <v>0</v>
      </c>
      <c r="J31" s="10">
        <f t="shared" si="1"/>
        <v>0</v>
      </c>
      <c r="K31" s="97"/>
      <c r="L31" s="10">
        <f t="shared" si="2"/>
        <v>0</v>
      </c>
      <c r="M31" s="10">
        <f t="shared" si="57"/>
        <v>0</v>
      </c>
      <c r="N31" s="10">
        <f t="shared" si="3"/>
        <v>0</v>
      </c>
      <c r="O31" s="97"/>
      <c r="P31" s="10">
        <f t="shared" si="4"/>
        <v>0</v>
      </c>
      <c r="Q31" s="10">
        <f t="shared" si="58"/>
        <v>0</v>
      </c>
      <c r="R31" s="10">
        <f t="shared" si="5"/>
        <v>0</v>
      </c>
      <c r="S31" s="97"/>
      <c r="T31" s="10">
        <f t="shared" si="6"/>
        <v>0</v>
      </c>
      <c r="U31" s="10">
        <f t="shared" si="59"/>
        <v>5000</v>
      </c>
      <c r="V31" s="10">
        <f t="shared" si="7"/>
        <v>0.42845078557250066</v>
      </c>
      <c r="W31" s="97"/>
      <c r="X31" s="10">
        <f t="shared" si="8"/>
        <v>0</v>
      </c>
      <c r="Y31" s="10">
        <f t="shared" si="60"/>
        <v>0</v>
      </c>
      <c r="Z31" s="10">
        <f t="shared" si="9"/>
        <v>0</v>
      </c>
      <c r="AA31" s="97"/>
      <c r="AB31" s="10">
        <f t="shared" si="10"/>
        <v>0</v>
      </c>
      <c r="AC31" s="10">
        <f t="shared" si="61"/>
        <v>0</v>
      </c>
      <c r="AD31" s="10">
        <f t="shared" si="11"/>
        <v>0</v>
      </c>
      <c r="AE31" s="97"/>
      <c r="AF31" s="10">
        <f t="shared" si="12"/>
        <v>0</v>
      </c>
      <c r="AG31" s="10">
        <f t="shared" si="62"/>
        <v>0</v>
      </c>
      <c r="AH31" s="10">
        <f t="shared" si="13"/>
        <v>0</v>
      </c>
      <c r="AI31" s="97"/>
      <c r="AJ31" s="10">
        <f t="shared" si="14"/>
        <v>0</v>
      </c>
      <c r="AK31" s="10">
        <f t="shared" si="63"/>
        <v>0</v>
      </c>
      <c r="AL31" s="10">
        <f t="shared" si="15"/>
        <v>0</v>
      </c>
      <c r="AM31" s="97"/>
      <c r="AN31" s="10">
        <f t="shared" si="16"/>
        <v>0</v>
      </c>
      <c r="AO31" s="10">
        <f t="shared" si="64"/>
        <v>0</v>
      </c>
      <c r="AP31" s="10">
        <f t="shared" si="17"/>
        <v>0</v>
      </c>
      <c r="AQ31" s="97"/>
      <c r="AR31" s="10">
        <f t="shared" si="18"/>
        <v>0</v>
      </c>
      <c r="AS31" s="10">
        <f t="shared" si="65"/>
        <v>0</v>
      </c>
      <c r="AT31" s="10">
        <f t="shared" si="19"/>
        <v>0</v>
      </c>
      <c r="AU31" s="252"/>
      <c r="AV31" s="10">
        <f t="shared" si="20"/>
        <v>0</v>
      </c>
      <c r="AW31" s="8">
        <f t="shared" si="66"/>
        <v>0</v>
      </c>
      <c r="AX31" s="10">
        <f t="shared" si="21"/>
        <v>0</v>
      </c>
      <c r="AY31" s="97"/>
      <c r="AZ31" s="10">
        <f t="shared" si="22"/>
        <v>0</v>
      </c>
      <c r="BA31" s="10">
        <f t="shared" si="67"/>
        <v>0</v>
      </c>
      <c r="BB31" s="10">
        <f t="shared" si="23"/>
        <v>0</v>
      </c>
      <c r="BC31" s="97"/>
      <c r="BD31" s="10">
        <f t="shared" si="24"/>
        <v>0</v>
      </c>
      <c r="BE31" s="10">
        <f t="shared" si="68"/>
        <v>0</v>
      </c>
      <c r="BF31" s="10">
        <f t="shared" si="25"/>
        <v>0</v>
      </c>
      <c r="BG31" s="97"/>
      <c r="BH31" s="10">
        <f t="shared" si="26"/>
        <v>0</v>
      </c>
      <c r="BI31" s="10">
        <f t="shared" si="69"/>
        <v>0</v>
      </c>
      <c r="BJ31" s="10">
        <f t="shared" si="27"/>
        <v>0</v>
      </c>
      <c r="BK31" s="97"/>
      <c r="BL31" s="10"/>
      <c r="BM31" s="10"/>
      <c r="BN31" s="10"/>
      <c r="BO31" s="97"/>
      <c r="BP31" s="10"/>
      <c r="BQ31" s="10"/>
      <c r="BR31" s="10"/>
      <c r="BS31" s="97"/>
      <c r="BT31" s="10"/>
      <c r="BU31" s="10"/>
      <c r="BV31" s="10"/>
      <c r="BW31" s="10">
        <f t="shared" si="70"/>
        <v>0</v>
      </c>
      <c r="BX31" s="10">
        <f t="shared" si="28"/>
        <v>0</v>
      </c>
      <c r="BY31" s="10">
        <f t="shared" si="71"/>
        <v>5000</v>
      </c>
      <c r="BZ31" s="10">
        <f t="shared" si="29"/>
        <v>0.42845078557250066</v>
      </c>
      <c r="CA31" s="10"/>
      <c r="CB31" s="10">
        <f t="shared" si="72"/>
        <v>0</v>
      </c>
      <c r="CC31" s="10">
        <f t="shared" si="101"/>
        <v>0</v>
      </c>
      <c r="CD31" s="10">
        <f t="shared" si="73"/>
        <v>0</v>
      </c>
      <c r="CE31" s="10"/>
      <c r="CF31" s="10">
        <f t="shared" si="102"/>
        <v>0</v>
      </c>
      <c r="CG31" s="10">
        <f t="shared" si="103"/>
        <v>0</v>
      </c>
      <c r="CH31" s="10">
        <f t="shared" si="104"/>
        <v>0</v>
      </c>
      <c r="CI31" s="10">
        <f t="shared" si="74"/>
        <v>0</v>
      </c>
      <c r="CJ31" s="10">
        <f t="shared" si="105"/>
        <v>0</v>
      </c>
      <c r="CK31" s="10">
        <f t="shared" si="106"/>
        <v>0</v>
      </c>
      <c r="CL31" s="10">
        <f t="shared" si="107"/>
        <v>0</v>
      </c>
      <c r="CM31" s="97">
        <v>3117.0931608424712</v>
      </c>
      <c r="CN31" s="10">
        <f t="shared" si="75"/>
        <v>5.9772385252069222</v>
      </c>
      <c r="CO31" s="10">
        <f t="shared" si="76"/>
        <v>3117.0931608424712</v>
      </c>
      <c r="CP31" s="10">
        <f t="shared" si="77"/>
        <v>0.26710420269312518</v>
      </c>
      <c r="CQ31" s="97">
        <v>15381.910546659306</v>
      </c>
      <c r="CR31" s="10">
        <f t="shared" si="30"/>
        <v>29.49586155003762</v>
      </c>
      <c r="CS31" s="10">
        <f t="shared" si="78"/>
        <v>354370.50850326242</v>
      </c>
      <c r="CT31" s="10">
        <f t="shared" si="31"/>
        <v>30.366064550389858</v>
      </c>
      <c r="CU31" s="97">
        <v>15450.579790171178</v>
      </c>
      <c r="CV31" s="10">
        <f t="shared" si="32"/>
        <v>29.627539503386004</v>
      </c>
      <c r="CW31" s="10">
        <f t="shared" si="79"/>
        <v>336013.36622329202</v>
      </c>
      <c r="CX31" s="10">
        <f t="shared" si="33"/>
        <v>28.793038144245962</v>
      </c>
      <c r="CY31" s="97">
        <v>6969.9282164549986</v>
      </c>
      <c r="CZ31" s="10">
        <f t="shared" si="34"/>
        <v>13.365312264860799</v>
      </c>
      <c r="DA31" s="10">
        <f t="shared" si="80"/>
        <v>148116.09014420476</v>
      </c>
      <c r="DB31" s="10">
        <f t="shared" si="35"/>
        <v>12.692091035642369</v>
      </c>
      <c r="DC31" s="97">
        <v>10476.964581525599</v>
      </c>
      <c r="DD31" s="10">
        <f t="shared" si="36"/>
        <v>20.090293453724605</v>
      </c>
      <c r="DE31" s="10">
        <f t="shared" si="81"/>
        <v>212552.80050943643</v>
      </c>
      <c r="DF31" s="10">
        <f t="shared" si="37"/>
        <v>18.213682870780609</v>
      </c>
      <c r="DG31" s="97"/>
      <c r="DH31" s="10">
        <f t="shared" si="38"/>
        <v>0</v>
      </c>
      <c r="DI31" s="10">
        <f t="shared" si="82"/>
        <v>1152.189653379713</v>
      </c>
      <c r="DJ31" s="10">
        <f t="shared" si="39"/>
        <v>9.8731312423809031E-2</v>
      </c>
      <c r="DK31" s="97"/>
      <c r="DL31" s="10">
        <f t="shared" si="83"/>
        <v>0</v>
      </c>
      <c r="DM31" s="10">
        <f t="shared" si="84"/>
        <v>6862.3229076933276</v>
      </c>
      <c r="DN31" s="10">
        <f t="shared" si="85"/>
        <v>0.58803352813067455</v>
      </c>
      <c r="DO31" s="492">
        <v>752.90920564802411</v>
      </c>
      <c r="DP31" s="10">
        <f t="shared" si="86"/>
        <v>1.4437547027840483</v>
      </c>
      <c r="DQ31" s="10">
        <f t="shared" si="87"/>
        <v>752.90920564802411</v>
      </c>
      <c r="DR31" s="10">
        <f t="shared" si="88"/>
        <v>6.4516908124932673E-2</v>
      </c>
      <c r="DS31" s="97"/>
      <c r="DT31" s="10">
        <f t="shared" si="108"/>
        <v>0</v>
      </c>
      <c r="DU31" s="10">
        <f t="shared" si="89"/>
        <v>0</v>
      </c>
      <c r="DV31" s="10">
        <f t="shared" si="109"/>
        <v>0</v>
      </c>
      <c r="DW31" s="10">
        <f>CQ31+CU31+CY31+DC31+DG31+DK31+DO31+DS31+CM31</f>
        <v>52149.385501301578</v>
      </c>
      <c r="DX31" s="10">
        <f t="shared" si="41"/>
        <v>100</v>
      </c>
      <c r="DY31" s="10">
        <f t="shared" si="90"/>
        <v>1161995.1761948448</v>
      </c>
      <c r="DZ31" s="10">
        <f t="shared" si="42"/>
        <v>99.571549214427506</v>
      </c>
      <c r="EA31" s="97"/>
      <c r="EB31" s="10">
        <f t="shared" si="43"/>
        <v>0</v>
      </c>
      <c r="EC31" s="10">
        <f t="shared" si="91"/>
        <v>0</v>
      </c>
      <c r="ED31" s="10">
        <f t="shared" si="44"/>
        <v>0</v>
      </c>
      <c r="EE31" s="97"/>
      <c r="EF31" s="10">
        <f t="shared" si="45"/>
        <v>0</v>
      </c>
      <c r="EG31" s="10">
        <f t="shared" si="92"/>
        <v>0</v>
      </c>
      <c r="EH31" s="10">
        <f t="shared" si="46"/>
        <v>0</v>
      </c>
      <c r="EI31" s="97"/>
      <c r="EJ31" s="16">
        <f t="shared" si="47"/>
        <v>0</v>
      </c>
      <c r="EK31" s="10">
        <f t="shared" si="93"/>
        <v>0</v>
      </c>
      <c r="EL31" s="10">
        <f t="shared" si="48"/>
        <v>0</v>
      </c>
      <c r="EM31" s="10">
        <f t="shared" si="94"/>
        <v>0</v>
      </c>
      <c r="EN31" s="10">
        <f t="shared" si="49"/>
        <v>0</v>
      </c>
      <c r="EO31" s="10">
        <f t="shared" si="95"/>
        <v>0</v>
      </c>
      <c r="EP31" s="10">
        <f t="shared" si="50"/>
        <v>0</v>
      </c>
      <c r="EQ31" s="97"/>
      <c r="ER31" s="10">
        <f t="shared" si="51"/>
        <v>0</v>
      </c>
      <c r="ES31" s="10">
        <f t="shared" si="96"/>
        <v>0</v>
      </c>
      <c r="ET31" s="10">
        <f t="shared" si="52"/>
        <v>0</v>
      </c>
      <c r="EU31" s="10">
        <f t="shared" si="97"/>
        <v>52149.385501301578</v>
      </c>
      <c r="EV31" s="10">
        <f t="shared" si="98"/>
        <v>1166995.1761948448</v>
      </c>
      <c r="EW31" s="10">
        <f t="shared" si="53"/>
        <v>1.0182642539403597</v>
      </c>
      <c r="EX31" s="10">
        <f t="shared" si="54"/>
        <v>1.0859062154614747</v>
      </c>
      <c r="EY31" s="489">
        <f t="shared" si="99"/>
        <v>0.98206334566917897</v>
      </c>
      <c r="EZ31" s="490">
        <f t="shared" si="100"/>
        <v>0.92485237634049988</v>
      </c>
      <c r="FA31" s="5" t="s">
        <v>434</v>
      </c>
    </row>
    <row r="32" spans="1:163">
      <c r="A32" s="17">
        <f>+Chem!A31</f>
        <v>45984</v>
      </c>
      <c r="B32" s="5" t="str">
        <f>+Chem!B31</f>
        <v>Toilet</v>
      </c>
      <c r="C32" s="5" t="str">
        <f>+Chem!C31</f>
        <v>15</v>
      </c>
      <c r="D32" s="8">
        <f>+Chem!D31</f>
        <v>49.149000000000001</v>
      </c>
      <c r="E32" s="6">
        <f>+Chem!E31</f>
        <v>48.63</v>
      </c>
      <c r="F32" s="6">
        <f t="shared" si="55"/>
        <v>1123.3040000000001</v>
      </c>
      <c r="G32" s="97"/>
      <c r="H32" s="10">
        <f t="shared" si="0"/>
        <v>0</v>
      </c>
      <c r="I32" s="8">
        <f t="shared" si="56"/>
        <v>0</v>
      </c>
      <c r="J32" s="10">
        <f t="shared" si="1"/>
        <v>0</v>
      </c>
      <c r="K32" s="97"/>
      <c r="L32" s="10">
        <f t="shared" si="2"/>
        <v>0</v>
      </c>
      <c r="M32" s="10">
        <f t="shared" si="57"/>
        <v>0</v>
      </c>
      <c r="N32" s="10">
        <f t="shared" si="3"/>
        <v>0</v>
      </c>
      <c r="O32" s="97"/>
      <c r="P32" s="10">
        <f t="shared" si="4"/>
        <v>0</v>
      </c>
      <c r="Q32" s="10">
        <f t="shared" si="58"/>
        <v>0</v>
      </c>
      <c r="R32" s="10">
        <f t="shared" si="5"/>
        <v>0</v>
      </c>
      <c r="S32" s="97"/>
      <c r="T32" s="10">
        <f t="shared" si="6"/>
        <v>0</v>
      </c>
      <c r="U32" s="10">
        <f t="shared" si="59"/>
        <v>5000</v>
      </c>
      <c r="V32" s="10">
        <f t="shared" si="7"/>
        <v>0.40826225486032985</v>
      </c>
      <c r="W32" s="97"/>
      <c r="X32" s="10">
        <f t="shared" si="8"/>
        <v>0</v>
      </c>
      <c r="Y32" s="10">
        <f t="shared" si="60"/>
        <v>0</v>
      </c>
      <c r="Z32" s="10">
        <f t="shared" si="9"/>
        <v>0</v>
      </c>
      <c r="AA32" s="97"/>
      <c r="AB32" s="10">
        <f t="shared" si="10"/>
        <v>0</v>
      </c>
      <c r="AC32" s="10">
        <f t="shared" si="61"/>
        <v>0</v>
      </c>
      <c r="AD32" s="10">
        <f t="shared" si="11"/>
        <v>0</v>
      </c>
      <c r="AE32" s="97"/>
      <c r="AF32" s="10">
        <f t="shared" si="12"/>
        <v>0</v>
      </c>
      <c r="AG32" s="10">
        <f t="shared" si="62"/>
        <v>0</v>
      </c>
      <c r="AH32" s="10">
        <f t="shared" si="13"/>
        <v>0</v>
      </c>
      <c r="AI32" s="97"/>
      <c r="AJ32" s="10">
        <f t="shared" si="14"/>
        <v>0</v>
      </c>
      <c r="AK32" s="10">
        <f t="shared" si="63"/>
        <v>0</v>
      </c>
      <c r="AL32" s="10">
        <f t="shared" si="15"/>
        <v>0</v>
      </c>
      <c r="AM32" s="97"/>
      <c r="AN32" s="10">
        <f t="shared" si="16"/>
        <v>0</v>
      </c>
      <c r="AO32" s="10">
        <f t="shared" si="64"/>
        <v>0</v>
      </c>
      <c r="AP32" s="10">
        <f t="shared" si="17"/>
        <v>0</v>
      </c>
      <c r="AQ32" s="97"/>
      <c r="AR32" s="10">
        <f t="shared" si="18"/>
        <v>0</v>
      </c>
      <c r="AS32" s="10">
        <f t="shared" si="65"/>
        <v>0</v>
      </c>
      <c r="AT32" s="10">
        <f t="shared" si="19"/>
        <v>0</v>
      </c>
      <c r="AU32" s="252"/>
      <c r="AV32" s="10">
        <f t="shared" si="20"/>
        <v>0</v>
      </c>
      <c r="AW32" s="8">
        <f t="shared" si="66"/>
        <v>0</v>
      </c>
      <c r="AX32" s="10">
        <f t="shared" si="21"/>
        <v>0</v>
      </c>
      <c r="AY32" s="97"/>
      <c r="AZ32" s="10">
        <f t="shared" si="22"/>
        <v>0</v>
      </c>
      <c r="BA32" s="10">
        <f t="shared" si="67"/>
        <v>0</v>
      </c>
      <c r="BB32" s="10">
        <f t="shared" si="23"/>
        <v>0</v>
      </c>
      <c r="BC32" s="97"/>
      <c r="BD32" s="10">
        <f t="shared" si="24"/>
        <v>0</v>
      </c>
      <c r="BE32" s="10">
        <f t="shared" si="68"/>
        <v>0</v>
      </c>
      <c r="BF32" s="10">
        <f t="shared" si="25"/>
        <v>0</v>
      </c>
      <c r="BG32" s="97"/>
      <c r="BH32" s="10">
        <f t="shared" si="26"/>
        <v>0</v>
      </c>
      <c r="BI32" s="10">
        <f t="shared" si="69"/>
        <v>0</v>
      </c>
      <c r="BJ32" s="10">
        <f t="shared" si="27"/>
        <v>0</v>
      </c>
      <c r="BK32" s="97"/>
      <c r="BL32" s="10"/>
      <c r="BM32" s="10"/>
      <c r="BN32" s="10"/>
      <c r="BO32" s="97"/>
      <c r="BP32" s="10"/>
      <c r="BQ32" s="10"/>
      <c r="BR32" s="10"/>
      <c r="BS32" s="97"/>
      <c r="BT32" s="10"/>
      <c r="BU32" s="10"/>
      <c r="BV32" s="10"/>
      <c r="BW32" s="10">
        <f t="shared" si="70"/>
        <v>0</v>
      </c>
      <c r="BX32" s="10">
        <f t="shared" si="28"/>
        <v>0</v>
      </c>
      <c r="BY32" s="10">
        <f t="shared" si="71"/>
        <v>5000</v>
      </c>
      <c r="BZ32" s="10">
        <f t="shared" si="29"/>
        <v>0.40826225486032985</v>
      </c>
      <c r="CA32" s="10"/>
      <c r="CB32" s="10">
        <f t="shared" si="72"/>
        <v>0</v>
      </c>
      <c r="CC32" s="10">
        <f t="shared" si="101"/>
        <v>0</v>
      </c>
      <c r="CD32" s="10">
        <f t="shared" si="73"/>
        <v>0</v>
      </c>
      <c r="CE32" s="10"/>
      <c r="CF32" s="10">
        <f t="shared" si="102"/>
        <v>0</v>
      </c>
      <c r="CG32" s="10">
        <f t="shared" si="103"/>
        <v>0</v>
      </c>
      <c r="CH32" s="10">
        <f t="shared" si="104"/>
        <v>0</v>
      </c>
      <c r="CI32" s="10">
        <f t="shared" si="74"/>
        <v>0</v>
      </c>
      <c r="CJ32" s="10">
        <f t="shared" si="105"/>
        <v>0</v>
      </c>
      <c r="CK32" s="10">
        <f t="shared" si="106"/>
        <v>0</v>
      </c>
      <c r="CL32" s="10">
        <f t="shared" si="107"/>
        <v>0</v>
      </c>
      <c r="CM32" s="97">
        <v>3311.5360456126791</v>
      </c>
      <c r="CN32" s="10">
        <f t="shared" si="75"/>
        <v>5.7384545038866026</v>
      </c>
      <c r="CO32" s="10">
        <f t="shared" si="76"/>
        <v>3311.5360456126791</v>
      </c>
      <c r="CP32" s="10">
        <f t="shared" si="77"/>
        <v>0.27039503460661851</v>
      </c>
      <c r="CQ32" s="97">
        <v>16312.283533049866</v>
      </c>
      <c r="CR32" s="10">
        <f t="shared" si="30"/>
        <v>28.267032464563325</v>
      </c>
      <c r="CS32" s="10">
        <f t="shared" si="78"/>
        <v>370682.79203631228</v>
      </c>
      <c r="CT32" s="10">
        <f t="shared" si="31"/>
        <v>30.267158502933516</v>
      </c>
      <c r="CU32" s="97">
        <v>17262.206223424819</v>
      </c>
      <c r="CV32" s="10">
        <f t="shared" si="32"/>
        <v>29.91312299954275</v>
      </c>
      <c r="CW32" s="10">
        <f t="shared" si="79"/>
        <v>353275.57244671683</v>
      </c>
      <c r="CX32" s="10">
        <f t="shared" si="33"/>
        <v>28.845816358834085</v>
      </c>
      <c r="CY32" s="97">
        <v>9836.9771936606103</v>
      </c>
      <c r="CZ32" s="10">
        <f t="shared" si="34"/>
        <v>17.046181984453586</v>
      </c>
      <c r="DA32" s="10">
        <f t="shared" si="80"/>
        <v>157953.06733786536</v>
      </c>
      <c r="DB32" s="10">
        <f t="shared" si="35"/>
        <v>12.897255086692486</v>
      </c>
      <c r="DC32" s="97">
        <v>10984.800444530345</v>
      </c>
      <c r="DD32" s="10">
        <f t="shared" si="36"/>
        <v>19.035208047553727</v>
      </c>
      <c r="DE32" s="10">
        <f t="shared" si="81"/>
        <v>223537.60095396679</v>
      </c>
      <c r="DF32" s="10">
        <f t="shared" si="37"/>
        <v>18.25239300230702</v>
      </c>
      <c r="DG32" s="97"/>
      <c r="DH32" s="10">
        <f t="shared" si="38"/>
        <v>0</v>
      </c>
      <c r="DI32" s="10">
        <f t="shared" si="82"/>
        <v>1152.189653379713</v>
      </c>
      <c r="DJ32" s="10">
        <f t="shared" si="39"/>
        <v>9.4079109183108703E-2</v>
      </c>
      <c r="DK32" s="97"/>
      <c r="DL32" s="10">
        <f t="shared" si="83"/>
        <v>0</v>
      </c>
      <c r="DM32" s="10">
        <f t="shared" si="84"/>
        <v>6862.3229076933276</v>
      </c>
      <c r="DN32" s="10">
        <f t="shared" si="85"/>
        <v>0.56032548477491462</v>
      </c>
      <c r="DO32" s="492"/>
      <c r="DP32" s="10">
        <f t="shared" si="86"/>
        <v>0</v>
      </c>
      <c r="DQ32" s="10">
        <f t="shared" si="87"/>
        <v>752.90920564802411</v>
      </c>
      <c r="DR32" s="10">
        <f t="shared" si="88"/>
        <v>6.1476882000592419E-2</v>
      </c>
      <c r="DS32" s="97"/>
      <c r="DT32" s="10">
        <f t="shared" si="108"/>
        <v>0</v>
      </c>
      <c r="DU32" s="10">
        <f t="shared" si="89"/>
        <v>0</v>
      </c>
      <c r="DV32" s="10">
        <f t="shared" si="109"/>
        <v>0</v>
      </c>
      <c r="DW32" s="10">
        <f t="shared" si="40"/>
        <v>57707.803440278323</v>
      </c>
      <c r="DX32" s="10">
        <f t="shared" si="41"/>
        <v>100</v>
      </c>
      <c r="DY32" s="10">
        <f t="shared" si="90"/>
        <v>1219702.9796351232</v>
      </c>
      <c r="DZ32" s="10">
        <f t="shared" si="42"/>
        <v>99.591737745139682</v>
      </c>
      <c r="EA32" s="97"/>
      <c r="EB32" s="10">
        <f t="shared" si="43"/>
        <v>0</v>
      </c>
      <c r="EC32" s="10">
        <f t="shared" si="91"/>
        <v>0</v>
      </c>
      <c r="ED32" s="10">
        <f t="shared" si="44"/>
        <v>0</v>
      </c>
      <c r="EE32" s="97"/>
      <c r="EF32" s="10">
        <f t="shared" si="45"/>
        <v>0</v>
      </c>
      <c r="EG32" s="10">
        <f t="shared" si="92"/>
        <v>0</v>
      </c>
      <c r="EH32" s="10">
        <f t="shared" si="46"/>
        <v>0</v>
      </c>
      <c r="EI32" s="97"/>
      <c r="EJ32" s="16">
        <f t="shared" si="47"/>
        <v>0</v>
      </c>
      <c r="EK32" s="10">
        <f t="shared" si="93"/>
        <v>0</v>
      </c>
      <c r="EL32" s="10">
        <f t="shared" si="48"/>
        <v>0</v>
      </c>
      <c r="EM32" s="10">
        <f t="shared" si="94"/>
        <v>0</v>
      </c>
      <c r="EN32" s="10">
        <f t="shared" si="49"/>
        <v>0</v>
      </c>
      <c r="EO32" s="10">
        <f t="shared" si="95"/>
        <v>0</v>
      </c>
      <c r="EP32" s="10">
        <f t="shared" si="50"/>
        <v>0</v>
      </c>
      <c r="EQ32" s="97"/>
      <c r="ER32" s="10">
        <f t="shared" si="51"/>
        <v>0</v>
      </c>
      <c r="ES32" s="10">
        <f t="shared" si="96"/>
        <v>0</v>
      </c>
      <c r="ET32" s="10">
        <f t="shared" si="52"/>
        <v>0</v>
      </c>
      <c r="EU32" s="10">
        <f t="shared" si="97"/>
        <v>57707.803440278323</v>
      </c>
      <c r="EV32" s="10">
        <f t="shared" si="98"/>
        <v>1224702.9796351232</v>
      </c>
      <c r="EW32" s="10">
        <f t="shared" si="53"/>
        <v>1.1866708500982588</v>
      </c>
      <c r="EX32" s="10">
        <f t="shared" si="54"/>
        <v>1.0902685111377892</v>
      </c>
      <c r="EY32" s="489">
        <f t="shared" si="99"/>
        <v>0.84269365841184851</v>
      </c>
      <c r="EZ32" s="490">
        <f t="shared" si="100"/>
        <v>0.92096520116400704</v>
      </c>
      <c r="FA32" s="5" t="s">
        <v>434</v>
      </c>
    </row>
    <row r="33" spans="1:157">
      <c r="A33" s="17">
        <f>+Chem!A32</f>
        <v>45985</v>
      </c>
      <c r="B33" s="5" t="str">
        <f>+Chem!B32</f>
        <v>Toilet</v>
      </c>
      <c r="C33" s="5" t="str">
        <f>+Chem!C32</f>
        <v>15</v>
      </c>
      <c r="D33" s="8">
        <f>+Chem!D32</f>
        <v>52.41</v>
      </c>
      <c r="E33" s="6">
        <f>+Chem!E32</f>
        <v>51.286999999999999</v>
      </c>
      <c r="F33" s="6">
        <f t="shared" si="55"/>
        <v>1174.5910000000001</v>
      </c>
      <c r="G33" s="97"/>
      <c r="H33" s="10">
        <f t="shared" si="0"/>
        <v>0</v>
      </c>
      <c r="I33" s="8">
        <f t="shared" si="56"/>
        <v>0</v>
      </c>
      <c r="J33" s="10">
        <f t="shared" si="1"/>
        <v>0</v>
      </c>
      <c r="K33" s="97"/>
      <c r="L33" s="10">
        <f t="shared" si="2"/>
        <v>0</v>
      </c>
      <c r="M33" s="10">
        <f t="shared" si="57"/>
        <v>0</v>
      </c>
      <c r="N33" s="10">
        <f t="shared" si="3"/>
        <v>0</v>
      </c>
      <c r="O33" s="97"/>
      <c r="P33" s="10">
        <f t="shared" si="4"/>
        <v>0</v>
      </c>
      <c r="Q33" s="10">
        <f t="shared" si="58"/>
        <v>0</v>
      </c>
      <c r="R33" s="10">
        <f t="shared" si="5"/>
        <v>0</v>
      </c>
      <c r="S33" s="97"/>
      <c r="T33" s="10">
        <f t="shared" si="6"/>
        <v>0</v>
      </c>
      <c r="U33" s="10">
        <f t="shared" si="59"/>
        <v>5000</v>
      </c>
      <c r="V33" s="10">
        <f t="shared" si="7"/>
        <v>0.38866201928460248</v>
      </c>
      <c r="W33" s="97"/>
      <c r="X33" s="10">
        <f t="shared" si="8"/>
        <v>0</v>
      </c>
      <c r="Y33" s="10">
        <f t="shared" si="60"/>
        <v>0</v>
      </c>
      <c r="Z33" s="10">
        <f t="shared" si="9"/>
        <v>0</v>
      </c>
      <c r="AA33" s="97"/>
      <c r="AB33" s="10">
        <f t="shared" si="10"/>
        <v>0</v>
      </c>
      <c r="AC33" s="10">
        <f t="shared" si="61"/>
        <v>0</v>
      </c>
      <c r="AD33" s="10">
        <f t="shared" si="11"/>
        <v>0</v>
      </c>
      <c r="AE33" s="97"/>
      <c r="AF33" s="10">
        <f t="shared" si="12"/>
        <v>0</v>
      </c>
      <c r="AG33" s="10">
        <f t="shared" si="62"/>
        <v>0</v>
      </c>
      <c r="AH33" s="10">
        <f t="shared" si="13"/>
        <v>0</v>
      </c>
      <c r="AI33" s="97"/>
      <c r="AJ33" s="10">
        <f t="shared" si="14"/>
        <v>0</v>
      </c>
      <c r="AK33" s="10">
        <f t="shared" si="63"/>
        <v>0</v>
      </c>
      <c r="AL33" s="10">
        <f t="shared" si="15"/>
        <v>0</v>
      </c>
      <c r="AM33" s="97"/>
      <c r="AN33" s="10">
        <f t="shared" si="16"/>
        <v>0</v>
      </c>
      <c r="AO33" s="10">
        <f t="shared" si="64"/>
        <v>0</v>
      </c>
      <c r="AP33" s="10">
        <f t="shared" si="17"/>
        <v>0</v>
      </c>
      <c r="AQ33" s="97"/>
      <c r="AR33" s="10">
        <f t="shared" si="18"/>
        <v>0</v>
      </c>
      <c r="AS33" s="10">
        <f t="shared" si="65"/>
        <v>0</v>
      </c>
      <c r="AT33" s="10">
        <f t="shared" si="19"/>
        <v>0</v>
      </c>
      <c r="AU33" s="252"/>
      <c r="AV33" s="10">
        <f t="shared" si="20"/>
        <v>0</v>
      </c>
      <c r="AW33" s="8">
        <f t="shared" si="66"/>
        <v>0</v>
      </c>
      <c r="AX33" s="10">
        <f t="shared" si="21"/>
        <v>0</v>
      </c>
      <c r="AY33" s="97"/>
      <c r="AZ33" s="10">
        <f t="shared" si="22"/>
        <v>0</v>
      </c>
      <c r="BA33" s="10">
        <f t="shared" si="67"/>
        <v>0</v>
      </c>
      <c r="BB33" s="10">
        <f t="shared" si="23"/>
        <v>0</v>
      </c>
      <c r="BC33" s="97"/>
      <c r="BD33" s="10">
        <f t="shared" si="24"/>
        <v>0</v>
      </c>
      <c r="BE33" s="10">
        <f t="shared" si="68"/>
        <v>0</v>
      </c>
      <c r="BF33" s="10">
        <f t="shared" si="25"/>
        <v>0</v>
      </c>
      <c r="BG33" s="97"/>
      <c r="BH33" s="10">
        <f t="shared" si="26"/>
        <v>0</v>
      </c>
      <c r="BI33" s="10">
        <f t="shared" si="69"/>
        <v>0</v>
      </c>
      <c r="BJ33" s="10">
        <f t="shared" si="27"/>
        <v>0</v>
      </c>
      <c r="BK33" s="97"/>
      <c r="BL33" s="10"/>
      <c r="BM33" s="10"/>
      <c r="BN33" s="10"/>
      <c r="BO33" s="97"/>
      <c r="BP33" s="10"/>
      <c r="BQ33" s="10"/>
      <c r="BR33" s="10"/>
      <c r="BS33" s="97"/>
      <c r="BT33" s="10"/>
      <c r="BU33" s="10"/>
      <c r="BV33" s="10"/>
      <c r="BW33" s="10">
        <f t="shared" si="70"/>
        <v>0</v>
      </c>
      <c r="BX33" s="10">
        <f t="shared" si="28"/>
        <v>0</v>
      </c>
      <c r="BY33" s="10">
        <f t="shared" si="71"/>
        <v>5000</v>
      </c>
      <c r="BZ33" s="10">
        <f t="shared" si="29"/>
        <v>0.38866201928460248</v>
      </c>
      <c r="CA33" s="10"/>
      <c r="CB33" s="10">
        <f t="shared" si="72"/>
        <v>0</v>
      </c>
      <c r="CC33" s="10">
        <f t="shared" si="101"/>
        <v>0</v>
      </c>
      <c r="CD33" s="10">
        <f t="shared" si="73"/>
        <v>0</v>
      </c>
      <c r="CE33" s="10"/>
      <c r="CF33" s="10">
        <f t="shared" si="102"/>
        <v>0</v>
      </c>
      <c r="CG33" s="10">
        <f t="shared" si="103"/>
        <v>0</v>
      </c>
      <c r="CH33" s="10">
        <f t="shared" si="104"/>
        <v>0</v>
      </c>
      <c r="CI33" s="10">
        <f t="shared" si="74"/>
        <v>0</v>
      </c>
      <c r="CJ33" s="10">
        <f t="shared" si="105"/>
        <v>0</v>
      </c>
      <c r="CK33" s="10">
        <f t="shared" si="106"/>
        <v>0</v>
      </c>
      <c r="CL33" s="10">
        <f t="shared" si="107"/>
        <v>0</v>
      </c>
      <c r="CM33" s="97">
        <v>3517.4661154087194</v>
      </c>
      <c r="CN33" s="10">
        <f t="shared" si="75"/>
        <v>5.6952128461776583</v>
      </c>
      <c r="CO33" s="10">
        <f t="shared" si="76"/>
        <v>3517.4661154087194</v>
      </c>
      <c r="CP33" s="10">
        <f t="shared" si="77"/>
        <v>0.27342109663598391</v>
      </c>
      <c r="CQ33" s="97">
        <v>18452.602729475151</v>
      </c>
      <c r="CR33" s="10">
        <f t="shared" si="30"/>
        <v>29.877046903153598</v>
      </c>
      <c r="CS33" s="10">
        <f t="shared" si="78"/>
        <v>389135.39476578741</v>
      </c>
      <c r="CT33" s="10">
        <f t="shared" si="31"/>
        <v>30.248429660956372</v>
      </c>
      <c r="CU33" s="97">
        <v>18322.689346815456</v>
      </c>
      <c r="CV33" s="10">
        <f t="shared" si="32"/>
        <v>29.66670106284181</v>
      </c>
      <c r="CW33" s="10">
        <f t="shared" si="79"/>
        <v>371598.26179353229</v>
      </c>
      <c r="CX33" s="10">
        <f t="shared" si="33"/>
        <v>28.885226158264523</v>
      </c>
      <c r="CY33" s="97">
        <v>13167.824370714732</v>
      </c>
      <c r="CZ33" s="10">
        <f t="shared" si="34"/>
        <v>21.320336870847651</v>
      </c>
      <c r="DA33" s="10">
        <f t="shared" si="80"/>
        <v>171120.89170858008</v>
      </c>
      <c r="DB33" s="10">
        <f t="shared" si="35"/>
        <v>13.301638262647705</v>
      </c>
      <c r="DC33" s="97">
        <v>8015.4105905132492</v>
      </c>
      <c r="DD33" s="10">
        <f>DC33/EU33*100</f>
        <v>12.977941468293338</v>
      </c>
      <c r="DE33" s="10">
        <f>DC33+DE32</f>
        <v>231553.01154448005</v>
      </c>
      <c r="DF33" s="10">
        <f t="shared" si="37"/>
        <v>17.999172207661694</v>
      </c>
      <c r="DG33" s="97"/>
      <c r="DH33" s="10">
        <f t="shared" si="38"/>
        <v>0</v>
      </c>
      <c r="DI33" s="10">
        <f t="shared" si="82"/>
        <v>1152.189653379713</v>
      </c>
      <c r="DJ33" s="10">
        <f t="shared" si="39"/>
        <v>8.956247145627709E-2</v>
      </c>
      <c r="DK33" s="97"/>
      <c r="DL33" s="10">
        <f t="shared" si="83"/>
        <v>0</v>
      </c>
      <c r="DM33" s="10">
        <f t="shared" si="84"/>
        <v>6862.3229076933276</v>
      </c>
      <c r="DN33" s="10">
        <f t="shared" si="85"/>
        <v>0.53342485565741471</v>
      </c>
      <c r="DO33" s="97">
        <v>285.8094418513287</v>
      </c>
      <c r="DP33" s="10">
        <f t="shared" si="86"/>
        <v>0.46276084868593376</v>
      </c>
      <c r="DQ33" s="10">
        <f t="shared" si="87"/>
        <v>1038.7186474993528</v>
      </c>
      <c r="DR33" s="10">
        <f t="shared" si="88"/>
        <v>8.074209740113393E-2</v>
      </c>
      <c r="DS33" s="97"/>
      <c r="DT33" s="10">
        <f t="shared" si="108"/>
        <v>0</v>
      </c>
      <c r="DU33" s="10">
        <f t="shared" si="89"/>
        <v>0</v>
      </c>
      <c r="DV33" s="10">
        <f t="shared" si="109"/>
        <v>0</v>
      </c>
      <c r="DW33" s="10">
        <f t="shared" si="40"/>
        <v>61761.802594778645</v>
      </c>
      <c r="DX33" s="10">
        <f t="shared" si="41"/>
        <v>100</v>
      </c>
      <c r="DY33" s="10">
        <f t="shared" si="90"/>
        <v>1281464.7822299018</v>
      </c>
      <c r="DZ33" s="10">
        <f t="shared" si="42"/>
        <v>99.611337980715405</v>
      </c>
      <c r="EA33" s="97"/>
      <c r="EB33" s="10">
        <f t="shared" si="43"/>
        <v>0</v>
      </c>
      <c r="EC33" s="10">
        <f t="shared" si="91"/>
        <v>0</v>
      </c>
      <c r="ED33" s="10">
        <f t="shared" si="44"/>
        <v>0</v>
      </c>
      <c r="EE33" s="97"/>
      <c r="EF33" s="10">
        <f t="shared" si="45"/>
        <v>0</v>
      </c>
      <c r="EG33" s="10">
        <f t="shared" si="92"/>
        <v>0</v>
      </c>
      <c r="EH33" s="10">
        <f t="shared" si="46"/>
        <v>0</v>
      </c>
      <c r="EI33" s="97"/>
      <c r="EJ33" s="16">
        <f t="shared" si="47"/>
        <v>0</v>
      </c>
      <c r="EK33" s="10">
        <f t="shared" si="93"/>
        <v>0</v>
      </c>
      <c r="EL33" s="10">
        <f t="shared" si="48"/>
        <v>0</v>
      </c>
      <c r="EM33" s="10">
        <f t="shared" si="94"/>
        <v>0</v>
      </c>
      <c r="EN33" s="10">
        <f t="shared" si="49"/>
        <v>0</v>
      </c>
      <c r="EO33" s="10">
        <f t="shared" si="95"/>
        <v>0</v>
      </c>
      <c r="EP33" s="10">
        <f t="shared" si="50"/>
        <v>0</v>
      </c>
      <c r="EQ33" s="97"/>
      <c r="ER33" s="10">
        <f t="shared" si="51"/>
        <v>0</v>
      </c>
      <c r="ES33" s="10">
        <f t="shared" si="96"/>
        <v>0</v>
      </c>
      <c r="ET33" s="10">
        <f t="shared" si="52"/>
        <v>0</v>
      </c>
      <c r="EU33" s="10">
        <f t="shared" si="97"/>
        <v>61761.802594778645</v>
      </c>
      <c r="EV33" s="10">
        <f t="shared" si="98"/>
        <v>1286464.7822299018</v>
      </c>
      <c r="EW33" s="10">
        <f t="shared" si="53"/>
        <v>1.204238941540325</v>
      </c>
      <c r="EX33" s="10">
        <f t="shared" si="54"/>
        <v>1.0952448828825538</v>
      </c>
      <c r="EY33" s="489">
        <f t="shared" si="99"/>
        <v>0.830399985837457</v>
      </c>
      <c r="EZ33" s="490">
        <f t="shared" si="100"/>
        <v>0.91660029701016954</v>
      </c>
      <c r="FA33" s="5" t="s">
        <v>434</v>
      </c>
    </row>
    <row r="34" spans="1:157">
      <c r="A34" s="17">
        <f>+Chem!A33</f>
        <v>45986</v>
      </c>
      <c r="B34" s="5" t="str">
        <f>+Chem!B33</f>
        <v>Toilet</v>
      </c>
      <c r="C34" s="5" t="str">
        <f>+Chem!C33</f>
        <v>15/13,5</v>
      </c>
      <c r="D34" s="8">
        <f>+Chem!D33</f>
        <v>49.207999999999998</v>
      </c>
      <c r="E34" s="6">
        <f>+Chem!E33</f>
        <v>48.874000000000002</v>
      </c>
      <c r="F34" s="6">
        <f t="shared" si="55"/>
        <v>1223.4650000000001</v>
      </c>
      <c r="G34" s="97"/>
      <c r="H34" s="10">
        <f t="shared" si="0"/>
        <v>0</v>
      </c>
      <c r="I34" s="8">
        <f t="shared" si="56"/>
        <v>0</v>
      </c>
      <c r="J34" s="10">
        <f t="shared" si="1"/>
        <v>0</v>
      </c>
      <c r="K34" s="97"/>
      <c r="L34" s="10">
        <f t="shared" si="2"/>
        <v>0</v>
      </c>
      <c r="M34" s="10">
        <f t="shared" si="57"/>
        <v>0</v>
      </c>
      <c r="N34" s="10">
        <f t="shared" si="3"/>
        <v>0</v>
      </c>
      <c r="O34" s="97"/>
      <c r="P34" s="10">
        <f t="shared" si="4"/>
        <v>0</v>
      </c>
      <c r="Q34" s="10">
        <f t="shared" si="58"/>
        <v>0</v>
      </c>
      <c r="R34" s="10">
        <f t="shared" si="5"/>
        <v>0</v>
      </c>
      <c r="S34" s="97"/>
      <c r="T34" s="10">
        <f t="shared" si="6"/>
        <v>0</v>
      </c>
      <c r="U34" s="10">
        <f t="shared" si="59"/>
        <v>5000</v>
      </c>
      <c r="V34" s="10">
        <f t="shared" si="7"/>
        <v>0.3714064419153581</v>
      </c>
      <c r="W34" s="97"/>
      <c r="X34" s="10">
        <f t="shared" si="8"/>
        <v>0</v>
      </c>
      <c r="Y34" s="10">
        <f t="shared" si="60"/>
        <v>0</v>
      </c>
      <c r="Z34" s="10">
        <f t="shared" si="9"/>
        <v>0</v>
      </c>
      <c r="AA34" s="97"/>
      <c r="AB34" s="10">
        <f t="shared" si="10"/>
        <v>0</v>
      </c>
      <c r="AC34" s="10">
        <f t="shared" si="61"/>
        <v>0</v>
      </c>
      <c r="AD34" s="10">
        <f t="shared" si="11"/>
        <v>0</v>
      </c>
      <c r="AE34" s="97"/>
      <c r="AF34" s="10">
        <f t="shared" si="12"/>
        <v>0</v>
      </c>
      <c r="AG34" s="10">
        <f t="shared" si="62"/>
        <v>0</v>
      </c>
      <c r="AH34" s="10">
        <f t="shared" si="13"/>
        <v>0</v>
      </c>
      <c r="AI34" s="97"/>
      <c r="AJ34" s="10">
        <f t="shared" si="14"/>
        <v>0</v>
      </c>
      <c r="AK34" s="10">
        <f t="shared" si="63"/>
        <v>0</v>
      </c>
      <c r="AL34" s="10">
        <f t="shared" si="15"/>
        <v>0</v>
      </c>
      <c r="AM34" s="97"/>
      <c r="AN34" s="10">
        <f t="shared" si="16"/>
        <v>0</v>
      </c>
      <c r="AO34" s="10">
        <f t="shared" si="64"/>
        <v>0</v>
      </c>
      <c r="AP34" s="10">
        <f t="shared" si="17"/>
        <v>0</v>
      </c>
      <c r="AQ34" s="97"/>
      <c r="AR34" s="10">
        <f t="shared" si="18"/>
        <v>0</v>
      </c>
      <c r="AS34" s="10">
        <f t="shared" si="65"/>
        <v>0</v>
      </c>
      <c r="AT34" s="10">
        <f t="shared" si="19"/>
        <v>0</v>
      </c>
      <c r="AU34" s="252"/>
      <c r="AV34" s="10">
        <f t="shared" si="20"/>
        <v>0</v>
      </c>
      <c r="AW34" s="8">
        <f t="shared" si="66"/>
        <v>0</v>
      </c>
      <c r="AX34" s="10">
        <f t="shared" si="21"/>
        <v>0</v>
      </c>
      <c r="AY34" s="97"/>
      <c r="AZ34" s="10">
        <f t="shared" si="22"/>
        <v>0</v>
      </c>
      <c r="BA34" s="10">
        <f t="shared" si="67"/>
        <v>0</v>
      </c>
      <c r="BB34" s="10">
        <f t="shared" si="23"/>
        <v>0</v>
      </c>
      <c r="BC34" s="97"/>
      <c r="BD34" s="10">
        <f t="shared" si="24"/>
        <v>0</v>
      </c>
      <c r="BE34" s="10">
        <f t="shared" si="68"/>
        <v>0</v>
      </c>
      <c r="BF34" s="10">
        <f t="shared" si="25"/>
        <v>0</v>
      </c>
      <c r="BG34" s="97"/>
      <c r="BH34" s="10">
        <f t="shared" si="26"/>
        <v>0</v>
      </c>
      <c r="BI34" s="10">
        <f t="shared" si="69"/>
        <v>0</v>
      </c>
      <c r="BJ34" s="10">
        <f t="shared" si="27"/>
        <v>0</v>
      </c>
      <c r="BK34" s="97"/>
      <c r="BL34" s="10"/>
      <c r="BM34" s="10"/>
      <c r="BN34" s="10"/>
      <c r="BO34" s="97"/>
      <c r="BP34" s="10"/>
      <c r="BQ34" s="10"/>
      <c r="BR34" s="10"/>
      <c r="BS34" s="97"/>
      <c r="BT34" s="10"/>
      <c r="BU34" s="10"/>
      <c r="BV34" s="10"/>
      <c r="BW34" s="10">
        <f t="shared" si="70"/>
        <v>0</v>
      </c>
      <c r="BX34" s="10">
        <f t="shared" si="28"/>
        <v>0</v>
      </c>
      <c r="BY34" s="10">
        <f t="shared" si="71"/>
        <v>5000</v>
      </c>
      <c r="BZ34" s="10">
        <f t="shared" si="29"/>
        <v>0.3714064419153581</v>
      </c>
      <c r="CA34" s="10"/>
      <c r="CB34" s="10">
        <f t="shared" si="72"/>
        <v>0</v>
      </c>
      <c r="CC34" s="10">
        <f t="shared" si="101"/>
        <v>0</v>
      </c>
      <c r="CD34" s="10">
        <f t="shared" si="73"/>
        <v>0</v>
      </c>
      <c r="CE34" s="10"/>
      <c r="CF34" s="10">
        <f t="shared" si="102"/>
        <v>0</v>
      </c>
      <c r="CG34" s="10">
        <f t="shared" si="103"/>
        <v>0</v>
      </c>
      <c r="CH34" s="10">
        <f t="shared" si="104"/>
        <v>0</v>
      </c>
      <c r="CI34" s="10">
        <f t="shared" si="74"/>
        <v>0</v>
      </c>
      <c r="CJ34" s="10">
        <f t="shared" si="105"/>
        <v>0</v>
      </c>
      <c r="CK34" s="10">
        <f t="shared" si="106"/>
        <v>0</v>
      </c>
      <c r="CL34" s="10">
        <f t="shared" si="107"/>
        <v>0</v>
      </c>
      <c r="CM34" s="97">
        <v>3555.893386765596</v>
      </c>
      <c r="CN34" s="10">
        <f t="shared" si="75"/>
        <v>5.9493670886075956</v>
      </c>
      <c r="CO34" s="10">
        <f t="shared" si="76"/>
        <v>3555.893386765596</v>
      </c>
      <c r="CP34" s="10">
        <f t="shared" si="77"/>
        <v>0.26413634212179243</v>
      </c>
      <c r="CQ34" s="97">
        <v>17454.872685070379</v>
      </c>
      <c r="CR34" s="10">
        <f t="shared" si="30"/>
        <v>29.203756635361376</v>
      </c>
      <c r="CS34" s="10">
        <f t="shared" si="78"/>
        <v>406590.26745085779</v>
      </c>
      <c r="CT34" s="10">
        <f t="shared" si="31"/>
        <v>30.202048910267386</v>
      </c>
      <c r="CU34" s="97">
        <v>17540.292224217115</v>
      </c>
      <c r="CV34" s="10">
        <f t="shared" si="32"/>
        <v>29.346672111065743</v>
      </c>
      <c r="CW34" s="10">
        <f t="shared" si="79"/>
        <v>389138.55401774938</v>
      </c>
      <c r="CX34" s="10">
        <f t="shared" si="33"/>
        <v>28.905713151963937</v>
      </c>
      <c r="CY34" s="97">
        <v>8078.2478450199878</v>
      </c>
      <c r="CZ34" s="10">
        <f t="shared" si="34"/>
        <v>13.515720702327483</v>
      </c>
      <c r="DA34" s="10">
        <f t="shared" si="80"/>
        <v>179199.13955360008</v>
      </c>
      <c r="DB34" s="10">
        <f t="shared" si="35"/>
        <v>13.311142963179265</v>
      </c>
      <c r="DC34" s="97">
        <v>13139.96567902949</v>
      </c>
      <c r="DD34" s="10">
        <f>DC34/EU34*100</f>
        <v>21.984483462637812</v>
      </c>
      <c r="DE34" s="10">
        <f>DC34+DE33</f>
        <v>244692.97722350954</v>
      </c>
      <c r="DF34" s="10">
        <f t="shared" si="37"/>
        <v>18.176109606451888</v>
      </c>
      <c r="DG34" s="97"/>
      <c r="DH34" s="10">
        <f t="shared" si="38"/>
        <v>0</v>
      </c>
      <c r="DI34" s="10">
        <f t="shared" si="82"/>
        <v>1152.189653379713</v>
      </c>
      <c r="DJ34" s="10">
        <f t="shared" si="39"/>
        <v>8.5586131914689806E-2</v>
      </c>
      <c r="DK34" s="97"/>
      <c r="DL34" s="10">
        <f t="shared" si="83"/>
        <v>0</v>
      </c>
      <c r="DM34" s="10">
        <f t="shared" si="84"/>
        <v>6862.3229076933276</v>
      </c>
      <c r="DN34" s="10">
        <f t="shared" si="85"/>
        <v>0.50974218688412665</v>
      </c>
      <c r="DO34" s="97"/>
      <c r="DP34" s="10">
        <f t="shared" si="86"/>
        <v>0</v>
      </c>
      <c r="DQ34" s="10">
        <f t="shared" si="87"/>
        <v>1038.7186474993528</v>
      </c>
      <c r="DR34" s="10">
        <f t="shared" si="88"/>
        <v>7.7157359403773537E-2</v>
      </c>
      <c r="DS34" s="97"/>
      <c r="DT34" s="10">
        <f t="shared" si="108"/>
        <v>0</v>
      </c>
      <c r="DU34" s="10">
        <f t="shared" si="89"/>
        <v>0</v>
      </c>
      <c r="DV34" s="10">
        <f t="shared" si="109"/>
        <v>0</v>
      </c>
      <c r="DW34" s="10">
        <f t="shared" si="40"/>
        <v>59769.271820102564</v>
      </c>
      <c r="DX34" s="10">
        <f t="shared" si="41"/>
        <v>100</v>
      </c>
      <c r="DY34" s="10">
        <f t="shared" si="90"/>
        <v>1341234.0540500043</v>
      </c>
      <c r="DZ34" s="10">
        <f t="shared" si="42"/>
        <v>99.628593558084646</v>
      </c>
      <c r="EA34" s="97"/>
      <c r="EB34" s="10">
        <f t="shared" si="43"/>
        <v>0</v>
      </c>
      <c r="EC34" s="10">
        <f t="shared" si="91"/>
        <v>0</v>
      </c>
      <c r="ED34" s="10">
        <f t="shared" si="44"/>
        <v>0</v>
      </c>
      <c r="EE34" s="97"/>
      <c r="EF34" s="10">
        <f t="shared" si="45"/>
        <v>0</v>
      </c>
      <c r="EG34" s="10">
        <f t="shared" si="92"/>
        <v>0</v>
      </c>
      <c r="EH34" s="10">
        <f t="shared" si="46"/>
        <v>0</v>
      </c>
      <c r="EI34" s="97"/>
      <c r="EJ34" s="16">
        <f t="shared" si="47"/>
        <v>0</v>
      </c>
      <c r="EK34" s="10">
        <f t="shared" si="93"/>
        <v>0</v>
      </c>
      <c r="EL34" s="10">
        <f t="shared" si="48"/>
        <v>0</v>
      </c>
      <c r="EM34" s="10">
        <f t="shared" si="94"/>
        <v>0</v>
      </c>
      <c r="EN34" s="10">
        <f t="shared" si="49"/>
        <v>0</v>
      </c>
      <c r="EO34" s="10">
        <f t="shared" si="95"/>
        <v>0</v>
      </c>
      <c r="EP34" s="10">
        <f t="shared" si="50"/>
        <v>0</v>
      </c>
      <c r="EQ34" s="97"/>
      <c r="ER34" s="10">
        <f t="shared" si="51"/>
        <v>0</v>
      </c>
      <c r="ES34" s="10">
        <f t="shared" si="96"/>
        <v>0</v>
      </c>
      <c r="ET34" s="10">
        <f t="shared" si="52"/>
        <v>0</v>
      </c>
      <c r="EU34" s="10">
        <f t="shared" si="97"/>
        <v>59769.271820102564</v>
      </c>
      <c r="EV34" s="10">
        <f t="shared" si="98"/>
        <v>1346234.0540500043</v>
      </c>
      <c r="EW34" s="10">
        <f t="shared" si="53"/>
        <v>1.2229257236997702</v>
      </c>
      <c r="EX34" s="10">
        <f t="shared" si="54"/>
        <v>1.1003453748574779</v>
      </c>
      <c r="EY34" s="489">
        <f t="shared" si="99"/>
        <v>0.81771115008903139</v>
      </c>
      <c r="EZ34" s="490">
        <f t="shared" si="100"/>
        <v>0.91219351037621854</v>
      </c>
      <c r="FA34" s="5" t="s">
        <v>434</v>
      </c>
    </row>
    <row r="35" spans="1:157">
      <c r="A35" s="17">
        <f>+Chem!A34</f>
        <v>45987</v>
      </c>
      <c r="B35" s="5" t="str">
        <f>+Chem!B34</f>
        <v>Toilet</v>
      </c>
      <c r="C35" s="5" t="str">
        <f>+Chem!C34</f>
        <v>13,5</v>
      </c>
      <c r="D35" s="8">
        <f>+Chem!D34</f>
        <v>49.229000000000006</v>
      </c>
      <c r="E35" s="6">
        <f>+Chem!E34</f>
        <v>48.337000000000003</v>
      </c>
      <c r="F35" s="6">
        <f t="shared" si="55"/>
        <v>1271.8020000000001</v>
      </c>
      <c r="G35" s="97"/>
      <c r="H35" s="10">
        <f t="shared" si="0"/>
        <v>0</v>
      </c>
      <c r="I35" s="8">
        <f t="shared" si="56"/>
        <v>0</v>
      </c>
      <c r="J35" s="10">
        <f t="shared" si="1"/>
        <v>0</v>
      </c>
      <c r="K35" s="97"/>
      <c r="L35" s="10">
        <f t="shared" si="2"/>
        <v>0</v>
      </c>
      <c r="M35" s="10">
        <f t="shared" si="57"/>
        <v>0</v>
      </c>
      <c r="N35" s="10">
        <f t="shared" si="3"/>
        <v>0</v>
      </c>
      <c r="O35" s="97"/>
      <c r="P35" s="10">
        <f t="shared" si="4"/>
        <v>0</v>
      </c>
      <c r="Q35" s="10">
        <f t="shared" si="58"/>
        <v>0</v>
      </c>
      <c r="R35" s="10">
        <f t="shared" si="5"/>
        <v>0</v>
      </c>
      <c r="S35" s="97"/>
      <c r="T35" s="10">
        <f t="shared" si="6"/>
        <v>0</v>
      </c>
      <c r="U35" s="10">
        <f t="shared" si="59"/>
        <v>5000</v>
      </c>
      <c r="V35" s="10">
        <f t="shared" si="7"/>
        <v>0.35817285190580705</v>
      </c>
      <c r="W35" s="97"/>
      <c r="X35" s="10">
        <f t="shared" si="8"/>
        <v>0</v>
      </c>
      <c r="Y35" s="10">
        <f t="shared" si="60"/>
        <v>0</v>
      </c>
      <c r="Z35" s="10">
        <f t="shared" si="9"/>
        <v>0</v>
      </c>
      <c r="AA35" s="97"/>
      <c r="AB35" s="10">
        <f t="shared" si="10"/>
        <v>0</v>
      </c>
      <c r="AC35" s="10">
        <f t="shared" si="61"/>
        <v>0</v>
      </c>
      <c r="AD35" s="10">
        <f t="shared" si="11"/>
        <v>0</v>
      </c>
      <c r="AE35" s="97"/>
      <c r="AF35" s="10">
        <f t="shared" si="12"/>
        <v>0</v>
      </c>
      <c r="AG35" s="10">
        <f t="shared" si="62"/>
        <v>0</v>
      </c>
      <c r="AH35" s="10">
        <f t="shared" si="13"/>
        <v>0</v>
      </c>
      <c r="AI35" s="97"/>
      <c r="AJ35" s="10">
        <f t="shared" si="14"/>
        <v>0</v>
      </c>
      <c r="AK35" s="10">
        <f t="shared" si="63"/>
        <v>0</v>
      </c>
      <c r="AL35" s="10">
        <f t="shared" si="15"/>
        <v>0</v>
      </c>
      <c r="AM35" s="97"/>
      <c r="AN35" s="10">
        <f t="shared" si="16"/>
        <v>0</v>
      </c>
      <c r="AO35" s="10">
        <f t="shared" si="64"/>
        <v>0</v>
      </c>
      <c r="AP35" s="10">
        <f t="shared" si="17"/>
        <v>0</v>
      </c>
      <c r="AQ35" s="97"/>
      <c r="AR35" s="10">
        <f t="shared" si="18"/>
        <v>0</v>
      </c>
      <c r="AS35" s="10">
        <f t="shared" si="65"/>
        <v>0</v>
      </c>
      <c r="AT35" s="10">
        <f t="shared" si="19"/>
        <v>0</v>
      </c>
      <c r="AU35" s="252"/>
      <c r="AV35" s="10">
        <f t="shared" si="20"/>
        <v>0</v>
      </c>
      <c r="AW35" s="8">
        <f t="shared" si="66"/>
        <v>0</v>
      </c>
      <c r="AX35" s="10">
        <f t="shared" si="21"/>
        <v>0</v>
      </c>
      <c r="AY35" s="97"/>
      <c r="AZ35" s="10">
        <f t="shared" si="22"/>
        <v>0</v>
      </c>
      <c r="BA35" s="10">
        <f t="shared" si="67"/>
        <v>0</v>
      </c>
      <c r="BB35" s="10">
        <f t="shared" si="23"/>
        <v>0</v>
      </c>
      <c r="BC35" s="97"/>
      <c r="BD35" s="10">
        <f t="shared" si="24"/>
        <v>0</v>
      </c>
      <c r="BE35" s="10">
        <f t="shared" si="68"/>
        <v>0</v>
      </c>
      <c r="BF35" s="10">
        <f t="shared" si="25"/>
        <v>0</v>
      </c>
      <c r="BG35" s="97"/>
      <c r="BH35" s="10">
        <f t="shared" si="26"/>
        <v>0</v>
      </c>
      <c r="BI35" s="10">
        <f t="shared" si="69"/>
        <v>0</v>
      </c>
      <c r="BJ35" s="10">
        <f t="shared" si="27"/>
        <v>0</v>
      </c>
      <c r="BK35" s="97"/>
      <c r="BL35" s="10"/>
      <c r="BM35" s="10"/>
      <c r="BN35" s="10"/>
      <c r="BO35" s="97"/>
      <c r="BP35" s="10"/>
      <c r="BQ35" s="10"/>
      <c r="BR35" s="10"/>
      <c r="BS35" s="97"/>
      <c r="BT35" s="10"/>
      <c r="BU35" s="10"/>
      <c r="BV35" s="10"/>
      <c r="BW35" s="10">
        <f t="shared" si="70"/>
        <v>0</v>
      </c>
      <c r="BX35" s="10">
        <f t="shared" si="28"/>
        <v>0</v>
      </c>
      <c r="BY35" s="10">
        <f t="shared" si="71"/>
        <v>5000</v>
      </c>
      <c r="BZ35" s="10">
        <f t="shared" si="29"/>
        <v>0.35817285190580705</v>
      </c>
      <c r="CA35" s="10"/>
      <c r="CB35" s="10">
        <f t="shared" si="72"/>
        <v>0</v>
      </c>
      <c r="CC35" s="10">
        <f t="shared" si="101"/>
        <v>0</v>
      </c>
      <c r="CD35" s="10">
        <f t="shared" si="73"/>
        <v>0</v>
      </c>
      <c r="CE35" s="10"/>
      <c r="CF35" s="10">
        <f t="shared" si="102"/>
        <v>0</v>
      </c>
      <c r="CG35" s="10">
        <f t="shared" si="103"/>
        <v>0</v>
      </c>
      <c r="CH35" s="10">
        <f t="shared" si="104"/>
        <v>0</v>
      </c>
      <c r="CI35" s="10">
        <f t="shared" si="74"/>
        <v>0</v>
      </c>
      <c r="CJ35" s="10">
        <f t="shared" si="105"/>
        <v>0</v>
      </c>
      <c r="CK35" s="10">
        <f t="shared" si="106"/>
        <v>0</v>
      </c>
      <c r="CL35" s="10">
        <f t="shared" si="107"/>
        <v>0</v>
      </c>
      <c r="CM35" s="97">
        <v>2918.7947734942959</v>
      </c>
      <c r="CN35" s="10">
        <f t="shared" si="75"/>
        <v>5.8681063625813614</v>
      </c>
      <c r="CO35" s="10">
        <f t="shared" si="76"/>
        <v>2918.7947734942959</v>
      </c>
      <c r="CP35" s="10">
        <f t="shared" si="77"/>
        <v>0.20908660963004322</v>
      </c>
      <c r="CQ35" s="97">
        <v>13002.816613477167</v>
      </c>
      <c r="CR35" s="10">
        <f t="shared" si="30"/>
        <v>26.141581310863309</v>
      </c>
      <c r="CS35" s="10">
        <f t="shared" si="78"/>
        <v>419593.08406433498</v>
      </c>
      <c r="CT35" s="10">
        <f t="shared" si="31"/>
        <v>30.05737031185518</v>
      </c>
      <c r="CU35" s="97">
        <v>15013.095730905312</v>
      </c>
      <c r="CV35" s="10">
        <f t="shared" si="32"/>
        <v>30.183157576063373</v>
      </c>
      <c r="CW35" s="10">
        <f t="shared" si="79"/>
        <v>404151.64974865469</v>
      </c>
      <c r="CX35" s="10">
        <f t="shared" si="33"/>
        <v>28.951229798582499</v>
      </c>
      <c r="CY35" s="97">
        <v>6133.735534325072</v>
      </c>
      <c r="CZ35" s="10">
        <f t="shared" si="34"/>
        <v>12.331600988949996</v>
      </c>
      <c r="DA35" s="10">
        <f t="shared" si="80"/>
        <v>185332.87508792515</v>
      </c>
      <c r="DB35" s="10">
        <f t="shared" si="35"/>
        <v>13.276240884428969</v>
      </c>
      <c r="DC35" s="97">
        <v>12272.490492164321</v>
      </c>
      <c r="DD35" s="10">
        <f>DC35/EU35*100</f>
        <v>24.673293304404861</v>
      </c>
      <c r="DE35" s="10">
        <f>DC35+DE34</f>
        <v>256965.46771567388</v>
      </c>
      <c r="DF35" s="10">
        <f t="shared" si="37"/>
        <v>18.407610882606502</v>
      </c>
      <c r="DG35" s="97"/>
      <c r="DH35" s="10">
        <f t="shared" si="38"/>
        <v>0</v>
      </c>
      <c r="DI35" s="10">
        <f t="shared" si="82"/>
        <v>1152.189653379713</v>
      </c>
      <c r="DJ35" s="10">
        <f t="shared" si="39"/>
        <v>8.2536610817475015E-2</v>
      </c>
      <c r="DK35" s="97"/>
      <c r="DL35" s="10">
        <f t="shared" si="83"/>
        <v>0</v>
      </c>
      <c r="DM35" s="10">
        <f t="shared" si="84"/>
        <v>6862.3229076933276</v>
      </c>
      <c r="DN35" s="10">
        <f t="shared" si="85"/>
        <v>0.49157955330941389</v>
      </c>
      <c r="DO35" s="97">
        <v>399.0441693771221</v>
      </c>
      <c r="DP35" s="10">
        <f t="shared" si="86"/>
        <v>0.8022604571370906</v>
      </c>
      <c r="DQ35" s="10">
        <f t="shared" si="87"/>
        <v>1437.762816876475</v>
      </c>
      <c r="DR35" s="10">
        <f t="shared" si="88"/>
        <v>0.10299352169695475</v>
      </c>
      <c r="DS35" s="97"/>
      <c r="DT35" s="10">
        <f t="shared" si="108"/>
        <v>0</v>
      </c>
      <c r="DU35" s="10">
        <f t="shared" si="89"/>
        <v>0</v>
      </c>
      <c r="DV35" s="10">
        <f t="shared" si="109"/>
        <v>0</v>
      </c>
      <c r="DW35" s="10">
        <f t="shared" si="40"/>
        <v>49739.977313743293</v>
      </c>
      <c r="DX35" s="10">
        <f t="shared" si="41"/>
        <v>100</v>
      </c>
      <c r="DY35" s="10">
        <f t="shared" si="90"/>
        <v>1390974.0313637475</v>
      </c>
      <c r="DZ35" s="10">
        <f t="shared" si="42"/>
        <v>99.641827148094194</v>
      </c>
      <c r="EA35" s="97"/>
      <c r="EB35" s="10">
        <f t="shared" si="43"/>
        <v>0</v>
      </c>
      <c r="EC35" s="10">
        <f t="shared" si="91"/>
        <v>0</v>
      </c>
      <c r="ED35" s="10">
        <f t="shared" si="44"/>
        <v>0</v>
      </c>
      <c r="EE35" s="97"/>
      <c r="EF35" s="10">
        <f t="shared" si="45"/>
        <v>0</v>
      </c>
      <c r="EG35" s="10">
        <f t="shared" si="92"/>
        <v>0</v>
      </c>
      <c r="EH35" s="10">
        <f t="shared" si="46"/>
        <v>0</v>
      </c>
      <c r="EI35" s="97"/>
      <c r="EJ35" s="16">
        <f t="shared" si="47"/>
        <v>0</v>
      </c>
      <c r="EK35" s="10">
        <f t="shared" si="93"/>
        <v>0</v>
      </c>
      <c r="EL35" s="10">
        <f t="shared" si="48"/>
        <v>0</v>
      </c>
      <c r="EM35" s="10">
        <f t="shared" si="94"/>
        <v>0</v>
      </c>
      <c r="EN35" s="10">
        <f t="shared" si="49"/>
        <v>0</v>
      </c>
      <c r="EO35" s="10">
        <f t="shared" si="95"/>
        <v>0</v>
      </c>
      <c r="EP35" s="10">
        <f t="shared" si="50"/>
        <v>0</v>
      </c>
      <c r="EQ35" s="97"/>
      <c r="ER35" s="10">
        <f t="shared" si="51"/>
        <v>0</v>
      </c>
      <c r="ES35" s="10">
        <f t="shared" si="96"/>
        <v>0</v>
      </c>
      <c r="ET35" s="10">
        <f t="shared" si="52"/>
        <v>0</v>
      </c>
      <c r="EU35" s="10">
        <f t="shared" si="97"/>
        <v>49739.977313743293</v>
      </c>
      <c r="EV35" s="10">
        <f t="shared" si="98"/>
        <v>1395974.0313637475</v>
      </c>
      <c r="EW35" s="10">
        <f t="shared" si="53"/>
        <v>1.0290249149459687</v>
      </c>
      <c r="EX35" s="10">
        <f t="shared" si="54"/>
        <v>1.0976347193696405</v>
      </c>
      <c r="EY35" s="489">
        <f t="shared" si="99"/>
        <v>0.97179376852358057</v>
      </c>
      <c r="EZ35" s="490">
        <f t="shared" si="100"/>
        <v>0.91432476187430478</v>
      </c>
      <c r="FA35" s="5" t="s">
        <v>434</v>
      </c>
    </row>
    <row r="36" spans="1:157">
      <c r="A36" s="17">
        <f>+Chem!A35</f>
        <v>45988</v>
      </c>
      <c r="B36" s="5" t="str">
        <f>+Chem!B35</f>
        <v>Toilet</v>
      </c>
      <c r="C36" s="5" t="str">
        <f>+Chem!C35</f>
        <v>13,5</v>
      </c>
      <c r="D36" s="8">
        <f>+Chem!D35</f>
        <v>43.781000000000006</v>
      </c>
      <c r="E36" s="6">
        <f>+Chem!E35</f>
        <v>40.588000000000001</v>
      </c>
      <c r="F36" s="6">
        <f t="shared" si="55"/>
        <v>1312.39</v>
      </c>
      <c r="G36" s="97"/>
      <c r="H36" s="10">
        <f t="shared" si="0"/>
        <v>0</v>
      </c>
      <c r="I36" s="8">
        <f t="shared" si="56"/>
        <v>0</v>
      </c>
      <c r="J36" s="10">
        <f t="shared" si="1"/>
        <v>0</v>
      </c>
      <c r="K36" s="97"/>
      <c r="L36" s="10">
        <f t="shared" si="2"/>
        <v>0</v>
      </c>
      <c r="M36" s="10">
        <f t="shared" si="57"/>
        <v>0</v>
      </c>
      <c r="N36" s="10">
        <f t="shared" si="3"/>
        <v>0</v>
      </c>
      <c r="O36" s="97"/>
      <c r="P36" s="10">
        <f t="shared" si="4"/>
        <v>0</v>
      </c>
      <c r="Q36" s="10">
        <f t="shared" si="58"/>
        <v>0</v>
      </c>
      <c r="R36" s="10">
        <f t="shared" si="5"/>
        <v>0</v>
      </c>
      <c r="S36" s="97"/>
      <c r="T36" s="10">
        <f t="shared" si="6"/>
        <v>0</v>
      </c>
      <c r="U36" s="10">
        <f t="shared" si="59"/>
        <v>5000</v>
      </c>
      <c r="V36" s="10">
        <f t="shared" si="7"/>
        <v>0.34640270935556733</v>
      </c>
      <c r="W36" s="97"/>
      <c r="X36" s="10">
        <f t="shared" si="8"/>
        <v>0</v>
      </c>
      <c r="Y36" s="10">
        <f t="shared" si="60"/>
        <v>0</v>
      </c>
      <c r="Z36" s="10">
        <f t="shared" si="9"/>
        <v>0</v>
      </c>
      <c r="AA36" s="97"/>
      <c r="AB36" s="10">
        <f t="shared" si="10"/>
        <v>0</v>
      </c>
      <c r="AC36" s="10">
        <f t="shared" si="61"/>
        <v>0</v>
      </c>
      <c r="AD36" s="10">
        <f t="shared" si="11"/>
        <v>0</v>
      </c>
      <c r="AE36" s="97"/>
      <c r="AF36" s="10">
        <f t="shared" si="12"/>
        <v>0</v>
      </c>
      <c r="AG36" s="10">
        <f t="shared" si="62"/>
        <v>0</v>
      </c>
      <c r="AH36" s="10">
        <f t="shared" si="13"/>
        <v>0</v>
      </c>
      <c r="AI36" s="97"/>
      <c r="AJ36" s="10">
        <f t="shared" si="14"/>
        <v>0</v>
      </c>
      <c r="AK36" s="10">
        <f t="shared" si="63"/>
        <v>0</v>
      </c>
      <c r="AL36" s="10">
        <f t="shared" si="15"/>
        <v>0</v>
      </c>
      <c r="AM36" s="97"/>
      <c r="AN36" s="10">
        <f t="shared" si="16"/>
        <v>0</v>
      </c>
      <c r="AO36" s="10">
        <f t="shared" si="64"/>
        <v>0</v>
      </c>
      <c r="AP36" s="10">
        <f t="shared" si="17"/>
        <v>0</v>
      </c>
      <c r="AQ36" s="97"/>
      <c r="AR36" s="10">
        <f t="shared" si="18"/>
        <v>0</v>
      </c>
      <c r="AS36" s="10">
        <f t="shared" si="65"/>
        <v>0</v>
      </c>
      <c r="AT36" s="10">
        <f t="shared" si="19"/>
        <v>0</v>
      </c>
      <c r="AU36" s="252"/>
      <c r="AV36" s="10">
        <f t="shared" si="20"/>
        <v>0</v>
      </c>
      <c r="AW36" s="8">
        <f t="shared" si="66"/>
        <v>0</v>
      </c>
      <c r="AX36" s="10">
        <f t="shared" si="21"/>
        <v>0</v>
      </c>
      <c r="AY36" s="97"/>
      <c r="AZ36" s="10">
        <f t="shared" si="22"/>
        <v>0</v>
      </c>
      <c r="BA36" s="10">
        <f t="shared" si="67"/>
        <v>0</v>
      </c>
      <c r="BB36" s="10">
        <f t="shared" si="23"/>
        <v>0</v>
      </c>
      <c r="BC36" s="97"/>
      <c r="BD36" s="10">
        <f t="shared" si="24"/>
        <v>0</v>
      </c>
      <c r="BE36" s="10">
        <f t="shared" si="68"/>
        <v>0</v>
      </c>
      <c r="BF36" s="10">
        <f t="shared" si="25"/>
        <v>0</v>
      </c>
      <c r="BG36" s="97"/>
      <c r="BH36" s="10">
        <f t="shared" si="26"/>
        <v>0</v>
      </c>
      <c r="BI36" s="10">
        <f t="shared" si="69"/>
        <v>0</v>
      </c>
      <c r="BJ36" s="10">
        <f t="shared" si="27"/>
        <v>0</v>
      </c>
      <c r="BK36" s="97"/>
      <c r="BL36" s="10"/>
      <c r="BM36" s="10"/>
      <c r="BN36" s="10"/>
      <c r="BO36" s="97"/>
      <c r="BP36" s="10"/>
      <c r="BQ36" s="10"/>
      <c r="BR36" s="10"/>
      <c r="BS36" s="97"/>
      <c r="BT36" s="10"/>
      <c r="BU36" s="10"/>
      <c r="BV36" s="10"/>
      <c r="BW36" s="10">
        <f t="shared" si="70"/>
        <v>0</v>
      </c>
      <c r="BX36" s="10">
        <f t="shared" si="28"/>
        <v>0</v>
      </c>
      <c r="BY36" s="10">
        <f t="shared" si="71"/>
        <v>5000</v>
      </c>
      <c r="BZ36" s="10">
        <f t="shared" si="29"/>
        <v>0.34640270935556733</v>
      </c>
      <c r="CA36" s="10"/>
      <c r="CB36" s="10">
        <f t="shared" si="72"/>
        <v>0</v>
      </c>
      <c r="CC36" s="10">
        <f t="shared" si="101"/>
        <v>0</v>
      </c>
      <c r="CD36" s="10">
        <f t="shared" si="73"/>
        <v>0</v>
      </c>
      <c r="CE36" s="10"/>
      <c r="CF36" s="10">
        <f t="shared" si="102"/>
        <v>0</v>
      </c>
      <c r="CG36" s="10">
        <f t="shared" si="103"/>
        <v>0</v>
      </c>
      <c r="CH36" s="10">
        <f t="shared" si="104"/>
        <v>0</v>
      </c>
      <c r="CI36" s="10">
        <f t="shared" si="74"/>
        <v>0</v>
      </c>
      <c r="CJ36" s="10">
        <f t="shared" si="105"/>
        <v>0</v>
      </c>
      <c r="CK36" s="10">
        <f t="shared" si="106"/>
        <v>0</v>
      </c>
      <c r="CL36" s="10">
        <f t="shared" si="107"/>
        <v>0</v>
      </c>
      <c r="CM36" s="97">
        <v>2747.4421847762933</v>
      </c>
      <c r="CN36" s="10">
        <f t="shared" si="75"/>
        <v>5.7922964407606052</v>
      </c>
      <c r="CO36" s="10">
        <f t="shared" si="76"/>
        <v>2747.4421847762933</v>
      </c>
      <c r="CP36" s="10">
        <f t="shared" si="77"/>
        <v>0.19034428332085745</v>
      </c>
      <c r="CQ36" s="97">
        <v>13806.590777032383</v>
      </c>
      <c r="CR36" s="10">
        <f t="shared" si="30"/>
        <v>29.107752315943447</v>
      </c>
      <c r="CS36" s="10">
        <f t="shared" si="78"/>
        <v>433399.67484136735</v>
      </c>
      <c r="CT36" s="10">
        <f t="shared" si="31"/>
        <v>30.026164319774313</v>
      </c>
      <c r="CU36" s="97">
        <v>14167.366013417148</v>
      </c>
      <c r="CV36" s="10">
        <f t="shared" si="32"/>
        <v>29.868356899073621</v>
      </c>
      <c r="CW36" s="10">
        <f t="shared" si="79"/>
        <v>418319.01576207182</v>
      </c>
      <c r="CX36" s="10">
        <f t="shared" si="33"/>
        <v>28.981368086987192</v>
      </c>
      <c r="CY36" s="97">
        <v>6359.8198721673452</v>
      </c>
      <c r="CZ36" s="10">
        <f t="shared" si="34"/>
        <v>13.408093612871772</v>
      </c>
      <c r="DA36" s="10">
        <f t="shared" si="80"/>
        <v>191692.69496009249</v>
      </c>
      <c r="DB36" s="10">
        <f t="shared" si="35"/>
        <v>13.280573779569268</v>
      </c>
      <c r="DC36" s="97">
        <v>10351.474090116741</v>
      </c>
      <c r="DD36" s="10">
        <f t="shared" si="36"/>
        <v>21.823500731350563</v>
      </c>
      <c r="DE36" s="10">
        <f t="shared" si="81"/>
        <v>267316.94180579064</v>
      </c>
      <c r="DF36" s="10">
        <f t="shared" si="37"/>
        <v>18.519862579634079</v>
      </c>
      <c r="DG36" s="97"/>
      <c r="DH36" s="10">
        <f t="shared" si="38"/>
        <v>0</v>
      </c>
      <c r="DI36" s="10">
        <f t="shared" si="82"/>
        <v>1152.189653379713</v>
      </c>
      <c r="DJ36" s="10">
        <f t="shared" si="39"/>
        <v>7.9824323524436927E-2</v>
      </c>
      <c r="DK36" s="97"/>
      <c r="DL36" s="10">
        <f t="shared" si="83"/>
        <v>0</v>
      </c>
      <c r="DM36" s="10">
        <f t="shared" si="84"/>
        <v>6862.3229076933276</v>
      </c>
      <c r="DN36" s="10">
        <f t="shared" si="85"/>
        <v>0.47542544953954868</v>
      </c>
      <c r="DO36" s="97"/>
      <c r="DP36" s="10">
        <f t="shared" si="86"/>
        <v>0</v>
      </c>
      <c r="DQ36" s="10">
        <f t="shared" si="87"/>
        <v>1437.762816876475</v>
      </c>
      <c r="DR36" s="10">
        <f t="shared" si="88"/>
        <v>9.9608987035340671E-2</v>
      </c>
      <c r="DS36" s="97"/>
      <c r="DT36" s="10">
        <f t="shared" si="108"/>
        <v>0</v>
      </c>
      <c r="DU36" s="10">
        <f t="shared" si="89"/>
        <v>0</v>
      </c>
      <c r="DV36" s="10">
        <f t="shared" si="109"/>
        <v>0</v>
      </c>
      <c r="DW36" s="10">
        <f t="shared" si="40"/>
        <v>47432.692937509906</v>
      </c>
      <c r="DX36" s="10">
        <f t="shared" si="41"/>
        <v>100</v>
      </c>
      <c r="DY36" s="10">
        <f t="shared" si="90"/>
        <v>1438406.7243012574</v>
      </c>
      <c r="DZ36" s="10">
        <f t="shared" si="42"/>
        <v>99.653597290644441</v>
      </c>
      <c r="EA36" s="97"/>
      <c r="EB36" s="10">
        <f t="shared" si="43"/>
        <v>0</v>
      </c>
      <c r="EC36" s="10">
        <f t="shared" si="91"/>
        <v>0</v>
      </c>
      <c r="ED36" s="10">
        <f t="shared" si="44"/>
        <v>0</v>
      </c>
      <c r="EE36" s="97"/>
      <c r="EF36" s="10">
        <f t="shared" si="45"/>
        <v>0</v>
      </c>
      <c r="EG36" s="10">
        <f t="shared" si="92"/>
        <v>0</v>
      </c>
      <c r="EH36" s="10">
        <f t="shared" si="46"/>
        <v>0</v>
      </c>
      <c r="EI36" s="97"/>
      <c r="EJ36" s="16">
        <f t="shared" si="47"/>
        <v>0</v>
      </c>
      <c r="EK36" s="10">
        <f t="shared" si="93"/>
        <v>0</v>
      </c>
      <c r="EL36" s="10">
        <f t="shared" si="48"/>
        <v>0</v>
      </c>
      <c r="EM36" s="10">
        <f t="shared" si="94"/>
        <v>0</v>
      </c>
      <c r="EN36" s="10">
        <f t="shared" si="49"/>
        <v>0</v>
      </c>
      <c r="EO36" s="10">
        <f t="shared" si="95"/>
        <v>0</v>
      </c>
      <c r="EP36" s="10">
        <f t="shared" si="50"/>
        <v>0</v>
      </c>
      <c r="EQ36" s="97"/>
      <c r="ER36" s="10">
        <f t="shared" si="51"/>
        <v>0</v>
      </c>
      <c r="ES36" s="10">
        <f t="shared" si="96"/>
        <v>0</v>
      </c>
      <c r="ET36" s="10">
        <f t="shared" si="52"/>
        <v>0</v>
      </c>
      <c r="EU36" s="10">
        <f t="shared" si="97"/>
        <v>47432.692937509906</v>
      </c>
      <c r="EV36" s="10">
        <f t="shared" si="98"/>
        <v>1443406.7243012574</v>
      </c>
      <c r="EW36" s="10">
        <f t="shared" si="53"/>
        <v>1.1686383398420692</v>
      </c>
      <c r="EX36" s="10">
        <f t="shared" si="54"/>
        <v>1.0998306328920955</v>
      </c>
      <c r="EY36" s="489">
        <f t="shared" si="99"/>
        <v>0.85569672490390902</v>
      </c>
      <c r="EZ36" s="490">
        <f t="shared" si="100"/>
        <v>0.91239145217256046</v>
      </c>
      <c r="FA36" s="5" t="s">
        <v>434</v>
      </c>
    </row>
    <row r="37" spans="1:157">
      <c r="A37" s="17">
        <f>+Chem!A36</f>
        <v>45989</v>
      </c>
      <c r="B37" s="5" t="str">
        <f>+Chem!B36</f>
        <v>Toilet</v>
      </c>
      <c r="C37" s="5" t="str">
        <f>+Chem!C36</f>
        <v>13,5</v>
      </c>
      <c r="D37" s="8">
        <f>+Chem!D36</f>
        <v>54.042000000000002</v>
      </c>
      <c r="E37" s="6">
        <f>+Chem!E36</f>
        <v>55.177</v>
      </c>
      <c r="F37" s="6">
        <f t="shared" si="55"/>
        <v>1367.567</v>
      </c>
      <c r="G37" s="97"/>
      <c r="H37" s="10">
        <f t="shared" si="0"/>
        <v>0</v>
      </c>
      <c r="I37" s="8">
        <f t="shared" si="56"/>
        <v>0</v>
      </c>
      <c r="J37" s="10">
        <f t="shared" si="1"/>
        <v>0</v>
      </c>
      <c r="K37" s="97"/>
      <c r="L37" s="10">
        <f t="shared" si="2"/>
        <v>0</v>
      </c>
      <c r="M37" s="10">
        <f t="shared" si="57"/>
        <v>0</v>
      </c>
      <c r="N37" s="10">
        <f t="shared" si="3"/>
        <v>0</v>
      </c>
      <c r="O37" s="97"/>
      <c r="P37" s="10">
        <f t="shared" si="4"/>
        <v>0</v>
      </c>
      <c r="Q37" s="10">
        <f t="shared" si="58"/>
        <v>0</v>
      </c>
      <c r="R37" s="10">
        <f t="shared" si="5"/>
        <v>0</v>
      </c>
      <c r="S37" s="97"/>
      <c r="T37" s="10">
        <f t="shared" si="6"/>
        <v>0</v>
      </c>
      <c r="U37" s="10">
        <f t="shared" si="59"/>
        <v>5000</v>
      </c>
      <c r="V37" s="10">
        <f t="shared" si="7"/>
        <v>0.33379294103698876</v>
      </c>
      <c r="W37" s="97"/>
      <c r="X37" s="10">
        <f t="shared" si="8"/>
        <v>0</v>
      </c>
      <c r="Y37" s="10">
        <f t="shared" si="60"/>
        <v>0</v>
      </c>
      <c r="Z37" s="10">
        <f t="shared" si="9"/>
        <v>0</v>
      </c>
      <c r="AA37" s="97"/>
      <c r="AB37" s="10">
        <f t="shared" si="10"/>
        <v>0</v>
      </c>
      <c r="AC37" s="10">
        <f t="shared" si="61"/>
        <v>0</v>
      </c>
      <c r="AD37" s="10">
        <f t="shared" si="11"/>
        <v>0</v>
      </c>
      <c r="AE37" s="97"/>
      <c r="AF37" s="10">
        <f t="shared" si="12"/>
        <v>0</v>
      </c>
      <c r="AG37" s="10">
        <f t="shared" si="62"/>
        <v>0</v>
      </c>
      <c r="AH37" s="10">
        <f t="shared" si="13"/>
        <v>0</v>
      </c>
      <c r="AI37" s="97"/>
      <c r="AJ37" s="10">
        <f t="shared" si="14"/>
        <v>0</v>
      </c>
      <c r="AK37" s="10">
        <f t="shared" si="63"/>
        <v>0</v>
      </c>
      <c r="AL37" s="10">
        <f t="shared" si="15"/>
        <v>0</v>
      </c>
      <c r="AM37" s="97"/>
      <c r="AN37" s="10">
        <f t="shared" si="16"/>
        <v>0</v>
      </c>
      <c r="AO37" s="10">
        <f t="shared" si="64"/>
        <v>0</v>
      </c>
      <c r="AP37" s="10">
        <f t="shared" si="17"/>
        <v>0</v>
      </c>
      <c r="AQ37" s="97"/>
      <c r="AR37" s="10">
        <f t="shared" si="18"/>
        <v>0</v>
      </c>
      <c r="AS37" s="10">
        <f t="shared" si="65"/>
        <v>0</v>
      </c>
      <c r="AT37" s="10">
        <f t="shared" si="19"/>
        <v>0</v>
      </c>
      <c r="AU37" s="252"/>
      <c r="AV37" s="10">
        <f t="shared" si="20"/>
        <v>0</v>
      </c>
      <c r="AW37" s="8">
        <f t="shared" si="66"/>
        <v>0</v>
      </c>
      <c r="AX37" s="10">
        <f t="shared" si="21"/>
        <v>0</v>
      </c>
      <c r="AY37" s="97"/>
      <c r="AZ37" s="10">
        <f t="shared" si="22"/>
        <v>0</v>
      </c>
      <c r="BA37" s="10">
        <f t="shared" si="67"/>
        <v>0</v>
      </c>
      <c r="BB37" s="10">
        <f t="shared" si="23"/>
        <v>0</v>
      </c>
      <c r="BC37" s="97"/>
      <c r="BD37" s="10">
        <f t="shared" si="24"/>
        <v>0</v>
      </c>
      <c r="BE37" s="10">
        <f t="shared" si="68"/>
        <v>0</v>
      </c>
      <c r="BF37" s="10">
        <f t="shared" si="25"/>
        <v>0</v>
      </c>
      <c r="BG37" s="97"/>
      <c r="BH37" s="10">
        <f t="shared" si="26"/>
        <v>0</v>
      </c>
      <c r="BI37" s="10">
        <f t="shared" si="69"/>
        <v>0</v>
      </c>
      <c r="BJ37" s="10">
        <f t="shared" si="27"/>
        <v>0</v>
      </c>
      <c r="BK37" s="97"/>
      <c r="BL37" s="10"/>
      <c r="BM37" s="10"/>
      <c r="BN37" s="10"/>
      <c r="BO37" s="97"/>
      <c r="BP37" s="10"/>
      <c r="BQ37" s="10"/>
      <c r="BR37" s="10"/>
      <c r="BS37" s="97"/>
      <c r="BT37" s="10"/>
      <c r="BU37" s="10"/>
      <c r="BV37" s="10"/>
      <c r="BW37" s="10">
        <f t="shared" si="70"/>
        <v>0</v>
      </c>
      <c r="BX37" s="10">
        <f t="shared" si="28"/>
        <v>0</v>
      </c>
      <c r="BY37" s="10">
        <f t="shared" si="71"/>
        <v>5000</v>
      </c>
      <c r="BZ37" s="10">
        <f t="shared" si="29"/>
        <v>0.33379294103698876</v>
      </c>
      <c r="CA37" s="10"/>
      <c r="CB37" s="10">
        <f t="shared" si="72"/>
        <v>0</v>
      </c>
      <c r="CC37" s="10">
        <f t="shared" si="101"/>
        <v>0</v>
      </c>
      <c r="CD37" s="10">
        <f t="shared" si="73"/>
        <v>0</v>
      </c>
      <c r="CE37" s="10"/>
      <c r="CF37" s="10">
        <f t="shared" si="102"/>
        <v>0</v>
      </c>
      <c r="CG37" s="10">
        <f t="shared" si="103"/>
        <v>0</v>
      </c>
      <c r="CH37" s="10">
        <f t="shared" si="104"/>
        <v>0</v>
      </c>
      <c r="CI37" s="10">
        <f t="shared" si="74"/>
        <v>0</v>
      </c>
      <c r="CJ37" s="10">
        <f t="shared" si="105"/>
        <v>0</v>
      </c>
      <c r="CK37" s="10">
        <f t="shared" si="106"/>
        <v>0</v>
      </c>
      <c r="CL37" s="10">
        <f t="shared" si="107"/>
        <v>0</v>
      </c>
      <c r="CM37" s="97">
        <v>3179.2608477577724</v>
      </c>
      <c r="CN37" s="10">
        <f t="shared" si="75"/>
        <v>5.8305225374722669</v>
      </c>
      <c r="CO37" s="10">
        <f t="shared" si="76"/>
        <v>3179.2608477577724</v>
      </c>
      <c r="CP37" s="10">
        <f t="shared" si="77"/>
        <v>0.21224296573936338</v>
      </c>
      <c r="CQ37" s="97">
        <v>16016.786668440935</v>
      </c>
      <c r="CR37" s="10">
        <f t="shared" si="30"/>
        <v>29.373568297830122</v>
      </c>
      <c r="CS37" s="10">
        <f t="shared" si="78"/>
        <v>449416.46150980826</v>
      </c>
      <c r="CT37" s="10">
        <f t="shared" si="31"/>
        <v>30.002408487559112</v>
      </c>
      <c r="CU37" s="97">
        <v>16161.85734904241</v>
      </c>
      <c r="CV37" s="10">
        <f t="shared" si="32"/>
        <v>29.639616890027231</v>
      </c>
      <c r="CW37" s="10">
        <f t="shared" si="79"/>
        <v>434480.87311111426</v>
      </c>
      <c r="CX37" s="10">
        <f t="shared" si="33"/>
        <v>29.005329692015515</v>
      </c>
      <c r="CY37" s="97">
        <v>6979.1291494784691</v>
      </c>
      <c r="CZ37" s="10">
        <f t="shared" si="34"/>
        <v>12.799191933767426</v>
      </c>
      <c r="DA37" s="10">
        <f t="shared" si="80"/>
        <v>198671.82410957097</v>
      </c>
      <c r="DB37" s="10">
        <f t="shared" si="35"/>
        <v>13.263050494143405</v>
      </c>
      <c r="DC37" s="97">
        <v>12026.113539352871</v>
      </c>
      <c r="DD37" s="10">
        <f t="shared" si="36"/>
        <v>22.054977363323168</v>
      </c>
      <c r="DE37" s="10">
        <f t="shared" si="81"/>
        <v>279343.05534514354</v>
      </c>
      <c r="DF37" s="10">
        <f t="shared" si="37"/>
        <v>18.648548000382757</v>
      </c>
      <c r="DG37" s="97"/>
      <c r="DH37" s="10">
        <f t="shared" si="38"/>
        <v>0</v>
      </c>
      <c r="DI37" s="10">
        <f t="shared" si="82"/>
        <v>1152.189653379713</v>
      </c>
      <c r="DJ37" s="10">
        <f t="shared" si="39"/>
        <v>7.691855460680061E-2</v>
      </c>
      <c r="DK37" s="97"/>
      <c r="DL37" s="10">
        <f t="shared" si="83"/>
        <v>0</v>
      </c>
      <c r="DM37" s="10">
        <f t="shared" si="84"/>
        <v>6862.3229076933276</v>
      </c>
      <c r="DN37" s="10">
        <f t="shared" si="85"/>
        <v>0.45811898914089122</v>
      </c>
      <c r="DO37" s="97">
        <v>164.74128136099824</v>
      </c>
      <c r="DP37" s="10">
        <f t="shared" si="86"/>
        <v>0.30212297757976941</v>
      </c>
      <c r="DQ37" s="10">
        <f t="shared" si="87"/>
        <v>1602.5040982374733</v>
      </c>
      <c r="DR37" s="10">
        <f t="shared" si="88"/>
        <v>0.10698091119490274</v>
      </c>
      <c r="DS37" s="97"/>
      <c r="DT37" s="10">
        <f t="shared" si="108"/>
        <v>0</v>
      </c>
      <c r="DU37" s="10">
        <f t="shared" si="89"/>
        <v>0</v>
      </c>
      <c r="DV37" s="10">
        <f t="shared" si="109"/>
        <v>0</v>
      </c>
      <c r="DW37" s="10">
        <f t="shared" si="40"/>
        <v>54527.888835433463</v>
      </c>
      <c r="DX37" s="10">
        <f t="shared" si="41"/>
        <v>100</v>
      </c>
      <c r="DY37" s="10">
        <f t="shared" si="90"/>
        <v>1492934.6131366908</v>
      </c>
      <c r="DZ37" s="10">
        <f t="shared" si="42"/>
        <v>99.66620705896301</v>
      </c>
      <c r="EA37" s="97"/>
      <c r="EB37" s="10">
        <f t="shared" si="43"/>
        <v>0</v>
      </c>
      <c r="EC37" s="10">
        <f t="shared" si="91"/>
        <v>0</v>
      </c>
      <c r="ED37" s="10">
        <f t="shared" si="44"/>
        <v>0</v>
      </c>
      <c r="EE37" s="97"/>
      <c r="EF37" s="10">
        <f t="shared" si="45"/>
        <v>0</v>
      </c>
      <c r="EG37" s="10">
        <f t="shared" si="92"/>
        <v>0</v>
      </c>
      <c r="EH37" s="10">
        <f t="shared" si="46"/>
        <v>0</v>
      </c>
      <c r="EI37" s="97"/>
      <c r="EJ37" s="16">
        <f t="shared" si="47"/>
        <v>0</v>
      </c>
      <c r="EK37" s="10">
        <f t="shared" si="93"/>
        <v>0</v>
      </c>
      <c r="EL37" s="10">
        <f t="shared" si="48"/>
        <v>0</v>
      </c>
      <c r="EM37" s="10">
        <f t="shared" si="94"/>
        <v>0</v>
      </c>
      <c r="EN37" s="10">
        <f t="shared" si="49"/>
        <v>0</v>
      </c>
      <c r="EO37" s="10">
        <f t="shared" si="95"/>
        <v>0</v>
      </c>
      <c r="EP37" s="10">
        <f t="shared" si="50"/>
        <v>0</v>
      </c>
      <c r="EQ37" s="97"/>
      <c r="ER37" s="10">
        <f t="shared" si="51"/>
        <v>0</v>
      </c>
      <c r="ES37" s="10">
        <f t="shared" si="96"/>
        <v>0</v>
      </c>
      <c r="ET37" s="10">
        <f t="shared" si="52"/>
        <v>0</v>
      </c>
      <c r="EU37" s="10">
        <f t="shared" si="97"/>
        <v>54527.888835433463</v>
      </c>
      <c r="EV37" s="10">
        <f t="shared" si="98"/>
        <v>1497934.6131366908</v>
      </c>
      <c r="EW37" s="10">
        <f t="shared" si="53"/>
        <v>0.98823583803819459</v>
      </c>
      <c r="EX37" s="10">
        <f t="shared" si="54"/>
        <v>1.0953281361254628</v>
      </c>
      <c r="EY37" s="489">
        <f t="shared" si="99"/>
        <v>1.0119042049569453</v>
      </c>
      <c r="EZ37" s="490">
        <f t="shared" si="100"/>
        <v>0.91602605229086997</v>
      </c>
      <c r="FA37" s="5" t="s">
        <v>434</v>
      </c>
    </row>
    <row r="38" spans="1:157">
      <c r="A38" s="17">
        <f>+Chem!A37</f>
        <v>45990</v>
      </c>
      <c r="B38" s="5" t="str">
        <f>+Chem!B37</f>
        <v>Toilet</v>
      </c>
      <c r="C38" s="5" t="str">
        <f>+Chem!C37</f>
        <v>13,5</v>
      </c>
      <c r="D38" s="8">
        <f>+Chem!D37</f>
        <v>53.959000000000003</v>
      </c>
      <c r="E38" s="6">
        <f>+Chem!E37</f>
        <v>50.954999999999998</v>
      </c>
      <c r="F38" s="6">
        <f t="shared" si="55"/>
        <v>1418.5219999999999</v>
      </c>
      <c r="G38" s="97"/>
      <c r="H38" s="10">
        <f t="shared" si="0"/>
        <v>0</v>
      </c>
      <c r="I38" s="8">
        <f t="shared" si="56"/>
        <v>0</v>
      </c>
      <c r="J38" s="10">
        <f t="shared" si="1"/>
        <v>0</v>
      </c>
      <c r="K38" s="97"/>
      <c r="L38" s="10">
        <f t="shared" si="2"/>
        <v>0</v>
      </c>
      <c r="M38" s="10">
        <f t="shared" si="57"/>
        <v>0</v>
      </c>
      <c r="N38" s="10">
        <f t="shared" si="3"/>
        <v>0</v>
      </c>
      <c r="O38" s="97"/>
      <c r="P38" s="10">
        <f t="shared" si="4"/>
        <v>0</v>
      </c>
      <c r="Q38" s="10">
        <f t="shared" si="58"/>
        <v>0</v>
      </c>
      <c r="R38" s="10">
        <f t="shared" si="5"/>
        <v>0</v>
      </c>
      <c r="S38" s="97"/>
      <c r="T38" s="10">
        <f t="shared" si="6"/>
        <v>0</v>
      </c>
      <c r="U38" s="10">
        <f t="shared" si="59"/>
        <v>5000</v>
      </c>
      <c r="V38" s="10">
        <f t="shared" si="7"/>
        <v>0.32315968994892208</v>
      </c>
      <c r="W38" s="97"/>
      <c r="X38" s="10">
        <f t="shared" si="8"/>
        <v>0</v>
      </c>
      <c r="Y38" s="10">
        <f t="shared" si="60"/>
        <v>0</v>
      </c>
      <c r="Z38" s="10">
        <f t="shared" si="9"/>
        <v>0</v>
      </c>
      <c r="AA38" s="97"/>
      <c r="AB38" s="10">
        <f t="shared" si="10"/>
        <v>0</v>
      </c>
      <c r="AC38" s="10">
        <f t="shared" si="61"/>
        <v>0</v>
      </c>
      <c r="AD38" s="10">
        <f t="shared" si="11"/>
        <v>0</v>
      </c>
      <c r="AE38" s="97"/>
      <c r="AF38" s="10">
        <f t="shared" si="12"/>
        <v>0</v>
      </c>
      <c r="AG38" s="10">
        <f t="shared" si="62"/>
        <v>0</v>
      </c>
      <c r="AH38" s="10">
        <f t="shared" si="13"/>
        <v>0</v>
      </c>
      <c r="AI38" s="97"/>
      <c r="AJ38" s="10">
        <f t="shared" si="14"/>
        <v>0</v>
      </c>
      <c r="AK38" s="10">
        <f t="shared" si="63"/>
        <v>0</v>
      </c>
      <c r="AL38" s="10">
        <f t="shared" si="15"/>
        <v>0</v>
      </c>
      <c r="AM38" s="97"/>
      <c r="AN38" s="10">
        <f t="shared" si="16"/>
        <v>0</v>
      </c>
      <c r="AO38" s="10">
        <f t="shared" si="64"/>
        <v>0</v>
      </c>
      <c r="AP38" s="10">
        <f t="shared" si="17"/>
        <v>0</v>
      </c>
      <c r="AQ38" s="97"/>
      <c r="AR38" s="10">
        <f t="shared" si="18"/>
        <v>0</v>
      </c>
      <c r="AS38" s="10">
        <f t="shared" si="65"/>
        <v>0</v>
      </c>
      <c r="AT38" s="10">
        <f t="shared" si="19"/>
        <v>0</v>
      </c>
      <c r="AU38" s="252"/>
      <c r="AV38" s="10">
        <f t="shared" si="20"/>
        <v>0</v>
      </c>
      <c r="AW38" s="8">
        <f t="shared" si="66"/>
        <v>0</v>
      </c>
      <c r="AX38" s="10">
        <f t="shared" si="21"/>
        <v>0</v>
      </c>
      <c r="AY38" s="97"/>
      <c r="AZ38" s="10">
        <f t="shared" si="22"/>
        <v>0</v>
      </c>
      <c r="BA38" s="10">
        <f t="shared" si="67"/>
        <v>0</v>
      </c>
      <c r="BB38" s="10">
        <f t="shared" si="23"/>
        <v>0</v>
      </c>
      <c r="BC38" s="97"/>
      <c r="BD38" s="10">
        <f t="shared" si="24"/>
        <v>0</v>
      </c>
      <c r="BE38" s="10">
        <f t="shared" si="68"/>
        <v>0</v>
      </c>
      <c r="BF38" s="10">
        <f t="shared" si="25"/>
        <v>0</v>
      </c>
      <c r="BG38" s="97"/>
      <c r="BH38" s="10">
        <f t="shared" si="26"/>
        <v>0</v>
      </c>
      <c r="BI38" s="10">
        <f t="shared" si="69"/>
        <v>0</v>
      </c>
      <c r="BJ38" s="10">
        <f t="shared" si="27"/>
        <v>0</v>
      </c>
      <c r="BK38" s="97"/>
      <c r="BL38" s="10"/>
      <c r="BM38" s="10"/>
      <c r="BN38" s="10"/>
      <c r="BO38" s="97"/>
      <c r="BP38" s="10"/>
      <c r="BQ38" s="10"/>
      <c r="BR38" s="10"/>
      <c r="BS38" s="97"/>
      <c r="BT38" s="10"/>
      <c r="BU38" s="10"/>
      <c r="BV38" s="10"/>
      <c r="BW38" s="10">
        <f t="shared" si="70"/>
        <v>0</v>
      </c>
      <c r="BX38" s="10">
        <f t="shared" si="28"/>
        <v>0</v>
      </c>
      <c r="BY38" s="10">
        <f t="shared" si="71"/>
        <v>5000</v>
      </c>
      <c r="BZ38" s="10">
        <f t="shared" si="29"/>
        <v>0.32315968994892208</v>
      </c>
      <c r="CA38" s="10"/>
      <c r="CB38" s="10">
        <f t="shared" si="72"/>
        <v>0</v>
      </c>
      <c r="CC38" s="10">
        <f t="shared" si="101"/>
        <v>0</v>
      </c>
      <c r="CD38" s="10">
        <f t="shared" si="73"/>
        <v>0</v>
      </c>
      <c r="CE38" s="10"/>
      <c r="CF38" s="10">
        <f t="shared" si="102"/>
        <v>0</v>
      </c>
      <c r="CG38" s="10">
        <f t="shared" si="103"/>
        <v>0</v>
      </c>
      <c r="CH38" s="10">
        <f t="shared" si="104"/>
        <v>0</v>
      </c>
      <c r="CI38" s="10">
        <f t="shared" si="74"/>
        <v>0</v>
      </c>
      <c r="CJ38" s="10">
        <f t="shared" si="105"/>
        <v>0</v>
      </c>
      <c r="CK38" s="10">
        <f t="shared" si="106"/>
        <v>0</v>
      </c>
      <c r="CL38" s="10">
        <f t="shared" si="107"/>
        <v>0</v>
      </c>
      <c r="CM38" s="97">
        <v>2876.9152078826746</v>
      </c>
      <c r="CN38" s="10">
        <f t="shared" si="75"/>
        <v>5.836941213290908</v>
      </c>
      <c r="CO38" s="10">
        <f t="shared" si="76"/>
        <v>2876.9152078826746</v>
      </c>
      <c r="CP38" s="10">
        <f t="shared" si="77"/>
        <v>0.18594060531774076</v>
      </c>
      <c r="CQ38" s="97">
        <v>14700.805324998333</v>
      </c>
      <c r="CR38" s="10">
        <f t="shared" si="30"/>
        <v>29.826300140837724</v>
      </c>
      <c r="CS38" s="10">
        <f t="shared" si="78"/>
        <v>464117.26683480659</v>
      </c>
      <c r="CT38" s="10">
        <f t="shared" si="31"/>
        <v>29.996798410055447</v>
      </c>
      <c r="CU38" s="97">
        <v>14492.55677107653</v>
      </c>
      <c r="CV38" s="10">
        <f t="shared" si="32"/>
        <v>29.403786969902455</v>
      </c>
      <c r="CW38" s="10">
        <f t="shared" si="79"/>
        <v>448973.42988219077</v>
      </c>
      <c r="CX38" s="10">
        <f t="shared" si="33"/>
        <v>29.018022879206573</v>
      </c>
      <c r="CY38" s="97">
        <v>6666.5246952991738</v>
      </c>
      <c r="CZ38" s="10">
        <f t="shared" si="34"/>
        <v>13.525637681915391</v>
      </c>
      <c r="DA38" s="10">
        <f t="shared" si="80"/>
        <v>205338.34880487015</v>
      </c>
      <c r="DB38" s="10">
        <f t="shared" si="35"/>
        <v>13.271415426881092</v>
      </c>
      <c r="DC38" s="97">
        <v>10551.260065371311</v>
      </c>
      <c r="DD38" s="10">
        <f t="shared" si="36"/>
        <v>21.407333994053516</v>
      </c>
      <c r="DE38" s="10">
        <f t="shared" si="81"/>
        <v>289894.31541051483</v>
      </c>
      <c r="DF38" s="10">
        <f t="shared" si="37"/>
        <v>18.736431417203399</v>
      </c>
      <c r="DG38" s="97"/>
      <c r="DH38" s="10">
        <f t="shared" si="38"/>
        <v>0</v>
      </c>
      <c r="DI38" s="10">
        <f t="shared" si="82"/>
        <v>1152.189653379713</v>
      </c>
      <c r="DJ38" s="10">
        <f t="shared" si="39"/>
        <v>7.4468250229708807E-2</v>
      </c>
      <c r="DK38" s="97"/>
      <c r="DL38" s="10">
        <f t="shared" si="83"/>
        <v>0</v>
      </c>
      <c r="DM38" s="10">
        <f t="shared" si="84"/>
        <v>6862.3229076933276</v>
      </c>
      <c r="DN38" s="10">
        <f t="shared" si="85"/>
        <v>0.44352522863591226</v>
      </c>
      <c r="DO38" s="97"/>
      <c r="DP38" s="10">
        <f t="shared" si="86"/>
        <v>0</v>
      </c>
      <c r="DQ38" s="10">
        <f t="shared" si="87"/>
        <v>1602.5040982374733</v>
      </c>
      <c r="DR38" s="10">
        <f t="shared" si="88"/>
        <v>0.10357294550565976</v>
      </c>
      <c r="DS38" s="97"/>
      <c r="DT38" s="10">
        <f t="shared" si="108"/>
        <v>0</v>
      </c>
      <c r="DU38" s="10">
        <f t="shared" si="89"/>
        <v>0</v>
      </c>
      <c r="DV38" s="10">
        <f t="shared" si="109"/>
        <v>0</v>
      </c>
      <c r="DW38" s="10">
        <f t="shared" si="40"/>
        <v>49288.062064628022</v>
      </c>
      <c r="DX38" s="10">
        <f t="shared" si="41"/>
        <v>100</v>
      </c>
      <c r="DY38" s="10">
        <f t="shared" si="90"/>
        <v>1542222.6752013189</v>
      </c>
      <c r="DZ38" s="10">
        <f t="shared" si="42"/>
        <v>99.676840310051077</v>
      </c>
      <c r="EA38" s="97"/>
      <c r="EB38" s="10">
        <f t="shared" si="43"/>
        <v>0</v>
      </c>
      <c r="EC38" s="10">
        <f t="shared" si="91"/>
        <v>0</v>
      </c>
      <c r="ED38" s="10">
        <f t="shared" si="44"/>
        <v>0</v>
      </c>
      <c r="EE38" s="97"/>
      <c r="EF38" s="10">
        <f t="shared" si="45"/>
        <v>0</v>
      </c>
      <c r="EG38" s="10">
        <f t="shared" si="92"/>
        <v>0</v>
      </c>
      <c r="EH38" s="10">
        <f t="shared" si="46"/>
        <v>0</v>
      </c>
      <c r="EI38" s="97"/>
      <c r="EJ38" s="16">
        <f t="shared" si="47"/>
        <v>0</v>
      </c>
      <c r="EK38" s="10">
        <f t="shared" si="93"/>
        <v>0</v>
      </c>
      <c r="EL38" s="10">
        <f t="shared" si="48"/>
        <v>0</v>
      </c>
      <c r="EM38" s="10">
        <f t="shared" si="94"/>
        <v>0</v>
      </c>
      <c r="EN38" s="10">
        <f t="shared" si="49"/>
        <v>0</v>
      </c>
      <c r="EO38" s="10">
        <f t="shared" si="95"/>
        <v>0</v>
      </c>
      <c r="EP38" s="10">
        <f t="shared" si="50"/>
        <v>0</v>
      </c>
      <c r="EQ38" s="97"/>
      <c r="ER38" s="10">
        <f t="shared" si="51"/>
        <v>0</v>
      </c>
      <c r="ES38" s="10">
        <f t="shared" si="96"/>
        <v>0</v>
      </c>
      <c r="ET38" s="10">
        <f t="shared" si="52"/>
        <v>0</v>
      </c>
      <c r="EU38" s="10">
        <f t="shared" si="97"/>
        <v>49288.062064628022</v>
      </c>
      <c r="EV38" s="10">
        <f t="shared" si="98"/>
        <v>1547222.6752013189</v>
      </c>
      <c r="EW38" s="10">
        <f t="shared" si="53"/>
        <v>0.96728607721770232</v>
      </c>
      <c r="EX38" s="10">
        <f t="shared" si="54"/>
        <v>1.0907287128442977</v>
      </c>
      <c r="EY38" s="489">
        <f t="shared" si="99"/>
        <v>1.0338203180556427</v>
      </c>
      <c r="EZ38" s="490">
        <f t="shared" si="100"/>
        <v>0.9197906520307314</v>
      </c>
      <c r="FA38" s="5" t="s">
        <v>434</v>
      </c>
    </row>
    <row r="39" spans="1:157">
      <c r="A39" s="17">
        <f>+Chem!A38</f>
        <v>45991</v>
      </c>
      <c r="B39" s="5" t="str">
        <f>+Chem!B38</f>
        <v>Toilet</v>
      </c>
      <c r="C39" s="5" t="str">
        <f>+Chem!C38</f>
        <v>13,5/14</v>
      </c>
      <c r="D39" s="8">
        <f>+Chem!D38</f>
        <v>50.936999999999998</v>
      </c>
      <c r="E39" s="6">
        <f>+Chem!E38</f>
        <v>49.741</v>
      </c>
      <c r="F39" s="6">
        <f t="shared" si="55"/>
        <v>1468.2629999999999</v>
      </c>
      <c r="G39" s="97"/>
      <c r="H39" s="10">
        <f t="shared" si="0"/>
        <v>0</v>
      </c>
      <c r="I39" s="8">
        <f t="shared" si="56"/>
        <v>0</v>
      </c>
      <c r="J39" s="10">
        <f t="shared" si="1"/>
        <v>0</v>
      </c>
      <c r="K39" s="97"/>
      <c r="L39" s="10">
        <f t="shared" si="2"/>
        <v>0</v>
      </c>
      <c r="M39" s="10">
        <f t="shared" si="57"/>
        <v>0</v>
      </c>
      <c r="N39" s="10">
        <f t="shared" si="3"/>
        <v>0</v>
      </c>
      <c r="O39" s="97"/>
      <c r="P39" s="10">
        <f t="shared" si="4"/>
        <v>0</v>
      </c>
      <c r="Q39" s="10">
        <f t="shared" si="58"/>
        <v>0</v>
      </c>
      <c r="R39" s="10">
        <f t="shared" si="5"/>
        <v>0</v>
      </c>
      <c r="S39" s="97"/>
      <c r="T39" s="10">
        <f t="shared" si="6"/>
        <v>0</v>
      </c>
      <c r="U39" s="10">
        <f t="shared" si="59"/>
        <v>5000</v>
      </c>
      <c r="V39" s="10">
        <f t="shared" si="7"/>
        <v>0.31211161754975042</v>
      </c>
      <c r="W39" s="97"/>
      <c r="X39" s="10">
        <f t="shared" si="8"/>
        <v>0</v>
      </c>
      <c r="Y39" s="10">
        <f t="shared" si="60"/>
        <v>0</v>
      </c>
      <c r="Z39" s="10">
        <f t="shared" si="9"/>
        <v>0</v>
      </c>
      <c r="AA39" s="97"/>
      <c r="AB39" s="10">
        <f t="shared" si="10"/>
        <v>0</v>
      </c>
      <c r="AC39" s="10">
        <f t="shared" si="61"/>
        <v>0</v>
      </c>
      <c r="AD39" s="10">
        <f t="shared" si="11"/>
        <v>0</v>
      </c>
      <c r="AE39" s="97"/>
      <c r="AF39" s="10">
        <f t="shared" si="12"/>
        <v>0</v>
      </c>
      <c r="AG39" s="10">
        <f t="shared" si="62"/>
        <v>0</v>
      </c>
      <c r="AH39" s="10">
        <f t="shared" si="13"/>
        <v>0</v>
      </c>
      <c r="AI39" s="97"/>
      <c r="AJ39" s="10">
        <f t="shared" si="14"/>
        <v>0</v>
      </c>
      <c r="AK39" s="10">
        <f t="shared" si="63"/>
        <v>0</v>
      </c>
      <c r="AL39" s="10">
        <f t="shared" si="15"/>
        <v>0</v>
      </c>
      <c r="AM39" s="97"/>
      <c r="AN39" s="10">
        <f t="shared" si="16"/>
        <v>0</v>
      </c>
      <c r="AO39" s="10">
        <f t="shared" si="64"/>
        <v>0</v>
      </c>
      <c r="AP39" s="10">
        <f t="shared" si="17"/>
        <v>0</v>
      </c>
      <c r="AQ39" s="97"/>
      <c r="AR39" s="10">
        <f t="shared" si="18"/>
        <v>0</v>
      </c>
      <c r="AS39" s="10">
        <f t="shared" si="65"/>
        <v>0</v>
      </c>
      <c r="AT39" s="10">
        <f t="shared" si="19"/>
        <v>0</v>
      </c>
      <c r="AU39" s="252"/>
      <c r="AV39" s="10">
        <f t="shared" si="20"/>
        <v>0</v>
      </c>
      <c r="AW39" s="8">
        <f t="shared" si="66"/>
        <v>0</v>
      </c>
      <c r="AX39" s="10">
        <f t="shared" si="21"/>
        <v>0</v>
      </c>
      <c r="AY39" s="97"/>
      <c r="AZ39" s="10">
        <f t="shared" si="22"/>
        <v>0</v>
      </c>
      <c r="BA39" s="10">
        <f t="shared" si="67"/>
        <v>0</v>
      </c>
      <c r="BB39" s="10">
        <f t="shared" si="23"/>
        <v>0</v>
      </c>
      <c r="BC39" s="97"/>
      <c r="BD39" s="10">
        <f t="shared" si="24"/>
        <v>0</v>
      </c>
      <c r="BE39" s="10">
        <f t="shared" si="68"/>
        <v>0</v>
      </c>
      <c r="BF39" s="10">
        <f t="shared" si="25"/>
        <v>0</v>
      </c>
      <c r="BG39" s="97"/>
      <c r="BH39" s="10">
        <f t="shared" si="26"/>
        <v>0</v>
      </c>
      <c r="BI39" s="10">
        <f t="shared" si="69"/>
        <v>0</v>
      </c>
      <c r="BJ39" s="10">
        <f t="shared" si="27"/>
        <v>0</v>
      </c>
      <c r="BK39" s="97"/>
      <c r="BL39" s="10"/>
      <c r="BM39" s="10"/>
      <c r="BN39" s="10"/>
      <c r="BO39" s="97"/>
      <c r="BP39" s="10"/>
      <c r="BQ39" s="10"/>
      <c r="BR39" s="10"/>
      <c r="BS39" s="97"/>
      <c r="BT39" s="10"/>
      <c r="BU39" s="10"/>
      <c r="BV39" s="10"/>
      <c r="BW39" s="10">
        <f t="shared" si="70"/>
        <v>0</v>
      </c>
      <c r="BX39" s="10">
        <f t="shared" si="28"/>
        <v>0</v>
      </c>
      <c r="BY39" s="10">
        <f t="shared" si="71"/>
        <v>5000</v>
      </c>
      <c r="BZ39" s="10">
        <f t="shared" si="29"/>
        <v>0.31211161754975042</v>
      </c>
      <c r="CA39" s="10"/>
      <c r="CB39" s="10">
        <f t="shared" si="72"/>
        <v>0</v>
      </c>
      <c r="CC39" s="10">
        <f t="shared" si="101"/>
        <v>0</v>
      </c>
      <c r="CD39" s="10">
        <f t="shared" si="73"/>
        <v>0</v>
      </c>
      <c r="CE39" s="10"/>
      <c r="CF39" s="10">
        <f t="shared" si="102"/>
        <v>0</v>
      </c>
      <c r="CG39" s="10">
        <f t="shared" si="103"/>
        <v>0</v>
      </c>
      <c r="CH39" s="10">
        <f t="shared" si="104"/>
        <v>0</v>
      </c>
      <c r="CI39" s="10">
        <f t="shared" si="74"/>
        <v>0</v>
      </c>
      <c r="CJ39" s="10">
        <f t="shared" si="105"/>
        <v>0</v>
      </c>
      <c r="CK39" s="10">
        <f t="shared" si="106"/>
        <v>0</v>
      </c>
      <c r="CL39" s="10">
        <f t="shared" si="107"/>
        <v>0</v>
      </c>
      <c r="CM39" s="97">
        <v>3177.1539660111484</v>
      </c>
      <c r="CN39" s="10">
        <f t="shared" si="75"/>
        <v>5.8010801080108001</v>
      </c>
      <c r="CO39" s="10">
        <f t="shared" si="76"/>
        <v>3177.1539660111484</v>
      </c>
      <c r="CP39" s="10">
        <f t="shared" si="77"/>
        <v>0.19832533270726888</v>
      </c>
      <c r="CQ39" s="97">
        <v>16398.452549163827</v>
      </c>
      <c r="CR39" s="10">
        <f t="shared" si="30"/>
        <v>29.941494149414943</v>
      </c>
      <c r="CS39" s="10">
        <f t="shared" si="78"/>
        <v>480515.71938397043</v>
      </c>
      <c r="CT39" s="10">
        <f t="shared" si="31"/>
        <v>29.994907687002591</v>
      </c>
      <c r="CU39" s="97">
        <v>16122.392623490243</v>
      </c>
      <c r="CV39" s="10">
        <f t="shared" si="32"/>
        <v>29.437443744374438</v>
      </c>
      <c r="CW39" s="10">
        <f t="shared" si="79"/>
        <v>465095.82250568102</v>
      </c>
      <c r="CX39" s="10">
        <f t="shared" si="33"/>
        <v>29.032361895575942</v>
      </c>
      <c r="CY39" s="97">
        <v>6842.3424434809531</v>
      </c>
      <c r="CZ39" s="10">
        <f t="shared" si="34"/>
        <v>12.493249324932492</v>
      </c>
      <c r="DA39" s="10">
        <f t="shared" si="80"/>
        <v>212180.6912483511</v>
      </c>
      <c r="DB39" s="10">
        <f t="shared" si="35"/>
        <v>13.244811751669406</v>
      </c>
      <c r="DC39" s="97">
        <v>12227.975814880767</v>
      </c>
      <c r="DD39" s="10">
        <f t="shared" si="36"/>
        <v>22.326732673267323</v>
      </c>
      <c r="DE39" s="10">
        <f t="shared" si="81"/>
        <v>302122.29122539557</v>
      </c>
      <c r="DF39" s="10">
        <f t="shared" si="37"/>
        <v>18.859175402438996</v>
      </c>
      <c r="DG39" s="97"/>
      <c r="DH39" s="10">
        <f t="shared" si="38"/>
        <v>0</v>
      </c>
      <c r="DI39" s="10">
        <f t="shared" si="82"/>
        <v>1152.189653379713</v>
      </c>
      <c r="DJ39" s="10">
        <f t="shared" si="39"/>
        <v>7.1922355288085688E-2</v>
      </c>
      <c r="DK39" s="97"/>
      <c r="DL39" s="10">
        <f t="shared" si="83"/>
        <v>0</v>
      </c>
      <c r="DM39" s="10">
        <f t="shared" si="84"/>
        <v>6862.3229076933276</v>
      </c>
      <c r="DN39" s="10">
        <f t="shared" si="85"/>
        <v>0.42836214057377425</v>
      </c>
      <c r="DO39" s="97"/>
      <c r="DP39" s="10">
        <f t="shared" si="86"/>
        <v>0</v>
      </c>
      <c r="DQ39" s="10">
        <f t="shared" si="87"/>
        <v>1602.5040982374733</v>
      </c>
      <c r="DR39" s="10">
        <f t="shared" si="88"/>
        <v>0.10003202924620039</v>
      </c>
      <c r="DS39" s="97"/>
      <c r="DT39" s="10">
        <f t="shared" si="108"/>
        <v>0</v>
      </c>
      <c r="DU39" s="10">
        <f t="shared" si="89"/>
        <v>0</v>
      </c>
      <c r="DV39" s="10">
        <f t="shared" si="109"/>
        <v>0</v>
      </c>
      <c r="DW39" s="10">
        <f t="shared" si="40"/>
        <v>54768.317397026942</v>
      </c>
      <c r="DX39" s="10">
        <f t="shared" si="41"/>
        <v>100</v>
      </c>
      <c r="DY39" s="10">
        <f t="shared" si="90"/>
        <v>1596990.992598346</v>
      </c>
      <c r="DZ39" s="10">
        <f t="shared" si="42"/>
        <v>99.687888382450254</v>
      </c>
      <c r="EA39" s="97"/>
      <c r="EB39" s="10">
        <f t="shared" si="43"/>
        <v>0</v>
      </c>
      <c r="EC39" s="10">
        <f t="shared" si="91"/>
        <v>0</v>
      </c>
      <c r="ED39" s="10">
        <f t="shared" si="44"/>
        <v>0</v>
      </c>
      <c r="EE39" s="97"/>
      <c r="EF39" s="10">
        <f t="shared" si="45"/>
        <v>0</v>
      </c>
      <c r="EG39" s="10">
        <f t="shared" si="92"/>
        <v>0</v>
      </c>
      <c r="EH39" s="10">
        <f t="shared" si="46"/>
        <v>0</v>
      </c>
      <c r="EI39" s="97"/>
      <c r="EJ39" s="16">
        <f t="shared" si="47"/>
        <v>0</v>
      </c>
      <c r="EK39" s="10">
        <f t="shared" si="93"/>
        <v>0</v>
      </c>
      <c r="EL39" s="10">
        <f t="shared" si="48"/>
        <v>0</v>
      </c>
      <c r="EM39" s="10">
        <f t="shared" si="94"/>
        <v>0</v>
      </c>
      <c r="EN39" s="10">
        <f t="shared" si="49"/>
        <v>0</v>
      </c>
      <c r="EO39" s="10">
        <f t="shared" si="95"/>
        <v>0</v>
      </c>
      <c r="EP39" s="10">
        <f t="shared" si="50"/>
        <v>0</v>
      </c>
      <c r="EQ39" s="97"/>
      <c r="ER39" s="10">
        <f t="shared" si="51"/>
        <v>0</v>
      </c>
      <c r="ES39" s="10">
        <f t="shared" si="96"/>
        <v>0</v>
      </c>
      <c r="ET39" s="10">
        <f t="shared" si="52"/>
        <v>0</v>
      </c>
      <c r="EU39" s="10">
        <f t="shared" si="97"/>
        <v>54768.317397026942</v>
      </c>
      <c r="EV39" s="10">
        <f t="shared" si="98"/>
        <v>1601990.992598346</v>
      </c>
      <c r="EW39" s="10">
        <f t="shared" si="53"/>
        <v>1.1010698899705864</v>
      </c>
      <c r="EX39" s="10">
        <f t="shared" si="54"/>
        <v>1.0910790455104746</v>
      </c>
      <c r="EY39" s="489">
        <f t="shared" si="99"/>
        <v>0.90820756167141536</v>
      </c>
      <c r="EZ39" s="490">
        <f t="shared" si="100"/>
        <v>0.91939341349139225</v>
      </c>
      <c r="FA39" s="5" t="s">
        <v>434</v>
      </c>
    </row>
    <row r="40" spans="1:157" hidden="1">
      <c r="A40" s="17">
        <f>+Chem!A39</f>
        <v>45992</v>
      </c>
      <c r="B40" s="5">
        <f>+Chem!B39</f>
        <v>0</v>
      </c>
      <c r="C40" s="5">
        <f>+Chem!C39</f>
        <v>0</v>
      </c>
      <c r="D40" s="8">
        <f>+Chem!D39</f>
        <v>0</v>
      </c>
      <c r="E40" s="6">
        <f>+Chem!E39</f>
        <v>0</v>
      </c>
      <c r="F40" s="6">
        <f t="shared" ref="F40" si="110">+E40+F39</f>
        <v>1468.2629999999999</v>
      </c>
      <c r="G40" s="97"/>
      <c r="H40" s="10" t="e">
        <f t="shared" ref="H40" si="111">G40/EU40*100</f>
        <v>#DIV/0!</v>
      </c>
      <c r="I40" s="8">
        <f t="shared" ref="I40" si="112">G40+I39</f>
        <v>0</v>
      </c>
      <c r="J40" s="10">
        <f t="shared" ref="J40" si="113">I40/EV40*100</f>
        <v>0</v>
      </c>
      <c r="K40" s="97"/>
      <c r="L40" s="10" t="e">
        <f t="shared" ref="L40" si="114">+K40/EU40*100</f>
        <v>#DIV/0!</v>
      </c>
      <c r="M40" s="10">
        <f t="shared" ref="M40" si="115">+K40+M39</f>
        <v>0</v>
      </c>
      <c r="N40" s="10">
        <f t="shared" ref="N40" si="116">+M40/EV40*100</f>
        <v>0</v>
      </c>
      <c r="O40" s="97"/>
      <c r="P40" s="10" t="e">
        <f t="shared" ref="P40" si="117">+O40/EU40*100</f>
        <v>#DIV/0!</v>
      </c>
      <c r="Q40" s="10">
        <f t="shared" ref="Q40" si="118">+O40+Q39</f>
        <v>0</v>
      </c>
      <c r="R40" s="10">
        <f t="shared" ref="R40" si="119">+Q40/EV40*100</f>
        <v>0</v>
      </c>
      <c r="S40" s="97"/>
      <c r="T40" s="10" t="e">
        <f t="shared" ref="T40" si="120">+S40/EU40*100</f>
        <v>#DIV/0!</v>
      </c>
      <c r="U40" s="10">
        <f t="shared" ref="U40" si="121">+S40+U39</f>
        <v>5000</v>
      </c>
      <c r="V40" s="10">
        <f t="shared" ref="V40" si="122">+U40/EV40*100</f>
        <v>0.31211161754975042</v>
      </c>
      <c r="W40" s="97"/>
      <c r="X40" s="10" t="e">
        <f t="shared" ref="X40" si="123">+W40/EU40*100</f>
        <v>#DIV/0!</v>
      </c>
      <c r="Y40" s="10">
        <f t="shared" ref="Y40" si="124">+W40+Y39</f>
        <v>0</v>
      </c>
      <c r="Z40" s="10">
        <f t="shared" ref="Z40" si="125">+Y40/EV40*100</f>
        <v>0</v>
      </c>
      <c r="AA40" s="97"/>
      <c r="AB40" s="10" t="e">
        <f t="shared" ref="AB40" si="126">AA40/EU40*100</f>
        <v>#DIV/0!</v>
      </c>
      <c r="AC40" s="10">
        <f t="shared" ref="AC40" si="127">AA40+AC39</f>
        <v>0</v>
      </c>
      <c r="AD40" s="10">
        <f t="shared" ref="AD40" si="128">AC40/EV40*100</f>
        <v>0</v>
      </c>
      <c r="AE40" s="97"/>
      <c r="AF40" s="10" t="e">
        <f t="shared" ref="AF40" si="129">+AE40/EU40*100</f>
        <v>#DIV/0!</v>
      </c>
      <c r="AG40" s="10">
        <f t="shared" ref="AG40" si="130">+AE40+AG39</f>
        <v>0</v>
      </c>
      <c r="AH40" s="10">
        <f t="shared" ref="AH40" si="131">+AG40/EV40*100</f>
        <v>0</v>
      </c>
      <c r="AI40" s="97"/>
      <c r="AJ40" s="10" t="e">
        <f t="shared" ref="AJ40" si="132">AI40/EU40*100</f>
        <v>#DIV/0!</v>
      </c>
      <c r="AK40" s="10">
        <f t="shared" ref="AK40" si="133">AI40+AK39</f>
        <v>0</v>
      </c>
      <c r="AL40" s="10">
        <f t="shared" ref="AL40" si="134">AK40/EV40*100</f>
        <v>0</v>
      </c>
      <c r="AM40" s="97"/>
      <c r="AN40" s="10" t="e">
        <f t="shared" ref="AN40" si="135">AM40/EU40*100</f>
        <v>#DIV/0!</v>
      </c>
      <c r="AO40" s="10">
        <f t="shared" ref="AO40" si="136">+AM40+AO39</f>
        <v>0</v>
      </c>
      <c r="AP40" s="10">
        <f t="shared" ref="AP40" si="137">+AO40/EV40*100</f>
        <v>0</v>
      </c>
      <c r="AQ40" s="97"/>
      <c r="AR40" s="10" t="e">
        <f t="shared" ref="AR40" si="138">AQ40/EU40*100</f>
        <v>#DIV/0!</v>
      </c>
      <c r="AS40" s="10">
        <f t="shared" ref="AS40" si="139">AQ40+AS39</f>
        <v>0</v>
      </c>
      <c r="AT40" s="10">
        <f t="shared" ref="AT40" si="140">AS40/EV40*100</f>
        <v>0</v>
      </c>
      <c r="AU40" s="252"/>
      <c r="AV40" s="10" t="e">
        <f t="shared" ref="AV40" si="141">AU40/EU40*100</f>
        <v>#DIV/0!</v>
      </c>
      <c r="AW40" s="8">
        <f t="shared" ref="AW40" si="142">AU40+AW39</f>
        <v>0</v>
      </c>
      <c r="AX40" s="10">
        <f t="shared" ref="AX40" si="143">AW40/EV40*100</f>
        <v>0</v>
      </c>
      <c r="AY40" s="97"/>
      <c r="AZ40" s="10" t="e">
        <f t="shared" ref="AZ40" si="144">AY40/EU40*100</f>
        <v>#DIV/0!</v>
      </c>
      <c r="BA40" s="10">
        <f t="shared" ref="BA40" si="145">AY40+BA39</f>
        <v>0</v>
      </c>
      <c r="BB40" s="10">
        <f t="shared" ref="BB40" si="146">BA40/EV40*100</f>
        <v>0</v>
      </c>
      <c r="BC40" s="97"/>
      <c r="BD40" s="10" t="e">
        <f t="shared" ref="BD40" si="147">BC40/EU40*100</f>
        <v>#DIV/0!</v>
      </c>
      <c r="BE40" s="10">
        <f t="shared" ref="BE40" si="148">BC40+BE39</f>
        <v>0</v>
      </c>
      <c r="BF40" s="10">
        <f t="shared" ref="BF40" si="149">BE40/EV40*100</f>
        <v>0</v>
      </c>
      <c r="BG40" s="97"/>
      <c r="BH40" s="10" t="e">
        <f t="shared" ref="BH40" si="150">BG40/EU40*100</f>
        <v>#DIV/0!</v>
      </c>
      <c r="BI40" s="10">
        <f t="shared" ref="BI40" si="151">BG40+BI39</f>
        <v>0</v>
      </c>
      <c r="BJ40" s="10">
        <f t="shared" ref="BJ40" si="152">BI40/EV40*100</f>
        <v>0</v>
      </c>
      <c r="BK40" s="97"/>
      <c r="BL40" s="10"/>
      <c r="BM40" s="10"/>
      <c r="BN40" s="10"/>
      <c r="BO40" s="97"/>
      <c r="BP40" s="10"/>
      <c r="BQ40" s="10"/>
      <c r="BR40" s="10"/>
      <c r="BS40" s="97"/>
      <c r="BT40" s="10"/>
      <c r="BU40" s="10"/>
      <c r="BV40" s="10"/>
      <c r="BW40" s="10">
        <f t="shared" ref="BW40" si="153">G40+AY40+BK40+BG40+BS40+BO40+AU40+AI40+BC40+AQ40+AA40+AM40+AE40+K40+W40+S40+O40</f>
        <v>0</v>
      </c>
      <c r="BX40" s="10" t="e">
        <f t="shared" ref="BX40" si="154">BW40/EU40*100</f>
        <v>#DIV/0!</v>
      </c>
      <c r="BY40" s="10">
        <f t="shared" ref="BY40" si="155">BW40+BY39</f>
        <v>5000</v>
      </c>
      <c r="BZ40" s="10">
        <f t="shared" ref="BZ40" si="156">BY40/EV40*100</f>
        <v>0.31211161754975042</v>
      </c>
      <c r="CA40" s="10"/>
      <c r="CB40" s="10" t="e">
        <f t="shared" ref="CB40" si="157">CA40/EU40*100</f>
        <v>#DIV/0!</v>
      </c>
      <c r="CC40" s="10">
        <f t="shared" ref="CC40" si="158">+CA40+CC39</f>
        <v>0</v>
      </c>
      <c r="CD40" s="10">
        <f t="shared" ref="CD40" si="159">CC40/EV40*100</f>
        <v>0</v>
      </c>
      <c r="CE40" s="10"/>
      <c r="CF40" s="10" t="e">
        <f t="shared" ref="CF40" si="160">CE40/EU40*100</f>
        <v>#DIV/0!</v>
      </c>
      <c r="CG40" s="10">
        <f t="shared" ref="CG40" si="161">+CE40+CG39</f>
        <v>0</v>
      </c>
      <c r="CH40" s="10">
        <f t="shared" ref="CH40" si="162">CG40/EV40*100</f>
        <v>0</v>
      </c>
      <c r="CI40" s="10">
        <f t="shared" ref="CI40" si="163">+CA40+CE40</f>
        <v>0</v>
      </c>
      <c r="CJ40" s="10" t="e">
        <f t="shared" ref="CJ40" si="164">CI40/EU40*100</f>
        <v>#DIV/0!</v>
      </c>
      <c r="CK40" s="10">
        <f t="shared" ref="CK40" si="165">+CI40+CK39</f>
        <v>0</v>
      </c>
      <c r="CL40" s="10">
        <f t="shared" ref="CL40" si="166">CK40/EV40*100</f>
        <v>0</v>
      </c>
      <c r="CM40" s="97"/>
      <c r="CN40" s="10" t="e">
        <f t="shared" ref="CN40" si="167">CM40/EU40*100</f>
        <v>#DIV/0!</v>
      </c>
      <c r="CO40" s="10">
        <f t="shared" ref="CO40" si="168">CM40</f>
        <v>0</v>
      </c>
      <c r="CP40" s="10">
        <f t="shared" ref="CP40" si="169">CO40/EV40*100</f>
        <v>0</v>
      </c>
      <c r="CQ40" s="97"/>
      <c r="CR40" s="10" t="e">
        <f t="shared" ref="CR40" si="170">CQ40/EU40*100</f>
        <v>#DIV/0!</v>
      </c>
      <c r="CS40" s="10">
        <f t="shared" ref="CS40" si="171">CQ40+CS39</f>
        <v>480515.71938397043</v>
      </c>
      <c r="CT40" s="10">
        <f t="shared" ref="CT40" si="172">CS40/EV40*100</f>
        <v>29.994907687002591</v>
      </c>
      <c r="CU40" s="97"/>
      <c r="CV40" s="10" t="e">
        <f t="shared" ref="CV40" si="173">CU40/EU40*100</f>
        <v>#DIV/0!</v>
      </c>
      <c r="CW40" s="10">
        <f t="shared" ref="CW40" si="174">CU40+CW39</f>
        <v>465095.82250568102</v>
      </c>
      <c r="CX40" s="10">
        <f t="shared" ref="CX40" si="175">CW40/EV40*100</f>
        <v>29.032361895575942</v>
      </c>
      <c r="CY40" s="97"/>
      <c r="CZ40" s="10" t="e">
        <f t="shared" ref="CZ40" si="176">CY40/EU40*100</f>
        <v>#DIV/0!</v>
      </c>
      <c r="DA40" s="10">
        <f t="shared" ref="DA40" si="177">CY40+DA39</f>
        <v>212180.6912483511</v>
      </c>
      <c r="DB40" s="10">
        <f t="shared" ref="DB40" si="178">DA40/EV40*100</f>
        <v>13.244811751669406</v>
      </c>
      <c r="DC40" s="97"/>
      <c r="DD40" s="10" t="e">
        <f t="shared" ref="DD40" si="179">DC40/EU40*100</f>
        <v>#DIV/0!</v>
      </c>
      <c r="DE40" s="10">
        <f t="shared" ref="DE40" si="180">DC40+DE39</f>
        <v>302122.29122539557</v>
      </c>
      <c r="DF40" s="10">
        <f t="shared" ref="DF40" si="181">DE40/EV40*100</f>
        <v>18.859175402438996</v>
      </c>
      <c r="DG40" s="97"/>
      <c r="DH40" s="10" t="e">
        <f t="shared" ref="DH40" si="182">DG40/EU40*100</f>
        <v>#DIV/0!</v>
      </c>
      <c r="DI40" s="10">
        <f t="shared" ref="DI40" si="183">DG40+DI39</f>
        <v>1152.189653379713</v>
      </c>
      <c r="DJ40" s="10">
        <f t="shared" ref="DJ40" si="184">DI40/EV40*100</f>
        <v>7.1922355288085688E-2</v>
      </c>
      <c r="DK40" s="97"/>
      <c r="DL40" s="10" t="e">
        <f t="shared" si="83"/>
        <v>#DIV/0!</v>
      </c>
      <c r="DM40" s="10">
        <f t="shared" si="84"/>
        <v>6862.3229076933276</v>
      </c>
      <c r="DN40" s="10">
        <f t="shared" si="85"/>
        <v>0.42836214057377425</v>
      </c>
      <c r="DO40" s="97"/>
      <c r="DP40" s="10" t="e">
        <f t="shared" ref="DP40" si="185">DO40/EU40*100</f>
        <v>#DIV/0!</v>
      </c>
      <c r="DQ40" s="10">
        <f t="shared" ref="DQ40" si="186">DO40+DQ39</f>
        <v>1602.5040982374733</v>
      </c>
      <c r="DR40" s="10">
        <f t="shared" ref="DR40" si="187">DQ40/EV40*100</f>
        <v>0.10003202924620039</v>
      </c>
      <c r="DS40" s="97"/>
      <c r="DT40" s="10" t="e">
        <f t="shared" ref="DT40" si="188">DS40/EU40*100</f>
        <v>#DIV/0!</v>
      </c>
      <c r="DU40" s="10">
        <f t="shared" ref="DU40" si="189">DS40+DU39</f>
        <v>0</v>
      </c>
      <c r="DV40" s="10">
        <f t="shared" ref="DV40" si="190">DU40/EV40*100</f>
        <v>0</v>
      </c>
      <c r="DW40" s="10">
        <f t="shared" si="40"/>
        <v>0</v>
      </c>
      <c r="DX40" s="10" t="e">
        <f t="shared" ref="DX40" si="191">DW40/EU40*100</f>
        <v>#DIV/0!</v>
      </c>
      <c r="DY40" s="10">
        <f t="shared" ref="DY40" si="192">DW40+DY39</f>
        <v>1596990.992598346</v>
      </c>
      <c r="DZ40" s="10">
        <f t="shared" ref="DZ40" si="193">DY40/EV40*100</f>
        <v>99.687888382450254</v>
      </c>
      <c r="EA40" s="97"/>
      <c r="EB40" s="10" t="e">
        <f t="shared" ref="EB40" si="194">+EA40/EU40*100</f>
        <v>#DIV/0!</v>
      </c>
      <c r="EC40" s="10">
        <f t="shared" ref="EC40" si="195">+EA40+EC39</f>
        <v>0</v>
      </c>
      <c r="ED40" s="10">
        <f t="shared" ref="ED40" si="196">+EC40/EV40*100</f>
        <v>0</v>
      </c>
      <c r="EE40" s="97"/>
      <c r="EF40" s="10" t="e">
        <f t="shared" ref="EF40" si="197">EE40/EU40*100</f>
        <v>#DIV/0!</v>
      </c>
      <c r="EG40" s="10">
        <f t="shared" ref="EG40" si="198">EE40+EG39</f>
        <v>0</v>
      </c>
      <c r="EH40" s="10">
        <f t="shared" ref="EH40" si="199">EG40/EV40*100</f>
        <v>0</v>
      </c>
      <c r="EI40" s="97"/>
      <c r="EJ40" s="16" t="e">
        <f t="shared" ref="EJ40" si="200">EI40/EU40*100</f>
        <v>#DIV/0!</v>
      </c>
      <c r="EK40" s="10">
        <f t="shared" ref="EK40" si="201">EI40+EK39</f>
        <v>0</v>
      </c>
      <c r="EL40" s="10">
        <f t="shared" ref="EL40" si="202">EK40/EV40*100</f>
        <v>0</v>
      </c>
      <c r="EM40" s="10">
        <f t="shared" ref="EM40" si="203">EA40+EE40+EI40</f>
        <v>0</v>
      </c>
      <c r="EN40" s="10" t="e">
        <f t="shared" ref="EN40" si="204">EM40/EU40*100</f>
        <v>#DIV/0!</v>
      </c>
      <c r="EO40" s="10">
        <f t="shared" ref="EO40" si="205">EM40+EO39</f>
        <v>0</v>
      </c>
      <c r="EP40" s="10">
        <f t="shared" ref="EP40" si="206">EO40/EV40*100</f>
        <v>0</v>
      </c>
      <c r="EQ40" s="97"/>
      <c r="ER40" s="10" t="e">
        <f t="shared" ref="ER40" si="207">EQ40/EU40*100</f>
        <v>#DIV/0!</v>
      </c>
      <c r="ES40" s="10">
        <f t="shared" ref="ES40" si="208">EQ40+ES39</f>
        <v>0</v>
      </c>
      <c r="ET40" s="10">
        <f t="shared" ref="ET40" si="209">ES40/EV40*100</f>
        <v>0</v>
      </c>
      <c r="EU40" s="10">
        <f t="shared" ref="EU40" si="210">BW40+DW40+EM40+EQ40+CI40</f>
        <v>0</v>
      </c>
      <c r="EV40" s="10">
        <f t="shared" ref="EV40" si="211">EU40+EV39</f>
        <v>1601990.992598346</v>
      </c>
      <c r="EW40" s="10" t="e">
        <f t="shared" ref="EW40" si="212">EU40/1000/E40</f>
        <v>#DIV/0!</v>
      </c>
      <c r="EX40" s="10">
        <f t="shared" ref="EX40" si="213">(EV40/1000)/F40</f>
        <v>1.0910790455104746</v>
      </c>
      <c r="EY40" s="489" t="e">
        <f t="shared" ref="EY40" si="214">+(E40*1000)/DW40</f>
        <v>#DIV/0!</v>
      </c>
      <c r="EZ40" s="490">
        <f t="shared" ref="EZ40" si="215">+(F40*1000)/DY40</f>
        <v>0.91939341349139225</v>
      </c>
      <c r="FA40" s="5"/>
    </row>
    <row r="41" spans="1:157">
      <c r="A41" s="17"/>
      <c r="B41" s="17"/>
      <c r="C41" s="17"/>
      <c r="D41" s="8"/>
      <c r="E41" s="6"/>
      <c r="F41" s="6"/>
      <c r="G41" s="97"/>
      <c r="H41" s="10"/>
      <c r="I41" s="8"/>
      <c r="J41" s="10"/>
      <c r="K41" s="97"/>
      <c r="L41" s="10"/>
      <c r="M41" s="10"/>
      <c r="N41" s="10"/>
      <c r="O41" s="97"/>
      <c r="P41" s="10"/>
      <c r="Q41" s="10"/>
      <c r="R41" s="10"/>
      <c r="S41" s="97"/>
      <c r="T41" s="10"/>
      <c r="U41" s="10"/>
      <c r="V41" s="10"/>
      <c r="W41" s="97"/>
      <c r="X41" s="10"/>
      <c r="Y41" s="10"/>
      <c r="Z41" s="10"/>
      <c r="AA41" s="97"/>
      <c r="AB41" s="10"/>
      <c r="AC41" s="10"/>
      <c r="AD41" s="10"/>
      <c r="AE41" s="97"/>
      <c r="AF41" s="10"/>
      <c r="AG41" s="10"/>
      <c r="AH41" s="10"/>
      <c r="AI41" s="97"/>
      <c r="AJ41" s="10"/>
      <c r="AK41" s="10"/>
      <c r="AL41" s="10"/>
      <c r="AM41" s="97"/>
      <c r="AN41" s="10"/>
      <c r="AO41" s="10"/>
      <c r="AP41" s="10"/>
      <c r="AQ41" s="97"/>
      <c r="AR41" s="10"/>
      <c r="AS41" s="10"/>
      <c r="AT41" s="10"/>
      <c r="AU41" s="252"/>
      <c r="AV41" s="10"/>
      <c r="AW41" s="8"/>
      <c r="AX41" s="10"/>
      <c r="AY41" s="97"/>
      <c r="AZ41" s="10"/>
      <c r="BA41" s="10"/>
      <c r="BB41" s="10"/>
      <c r="BC41" s="97"/>
      <c r="BD41" s="10"/>
      <c r="BE41" s="10"/>
      <c r="BF41" s="10"/>
      <c r="BG41" s="97"/>
      <c r="BH41" s="10"/>
      <c r="BI41" s="10"/>
      <c r="BJ41" s="10"/>
      <c r="BK41" s="97"/>
      <c r="BL41" s="10"/>
      <c r="BM41" s="10"/>
      <c r="BN41" s="10"/>
      <c r="BO41" s="97"/>
      <c r="BP41" s="10"/>
      <c r="BQ41" s="10"/>
      <c r="BR41" s="10"/>
      <c r="BS41" s="97"/>
      <c r="BT41" s="10"/>
      <c r="BU41" s="10"/>
      <c r="BV41" s="10"/>
      <c r="BW41" s="10"/>
      <c r="BX41" s="10"/>
      <c r="BY41" s="10"/>
      <c r="BZ41" s="10"/>
      <c r="CA41" s="10"/>
      <c r="CB41" s="10"/>
      <c r="CC41" s="10"/>
      <c r="CD41" s="10"/>
      <c r="CE41" s="10"/>
      <c r="CF41" s="10"/>
      <c r="CG41" s="10"/>
      <c r="CH41" s="10"/>
      <c r="CI41" s="10"/>
      <c r="CJ41" s="10"/>
      <c r="CK41" s="10"/>
      <c r="CL41" s="10"/>
      <c r="CM41" s="97"/>
      <c r="CN41" s="10"/>
      <c r="CO41" s="10"/>
      <c r="CP41" s="10"/>
      <c r="CQ41" s="97"/>
      <c r="CR41" s="10"/>
      <c r="CS41" s="10"/>
      <c r="CT41" s="10"/>
      <c r="CU41" s="97"/>
      <c r="CV41" s="10"/>
      <c r="CW41" s="10"/>
      <c r="CX41" s="10"/>
      <c r="CY41" s="97"/>
      <c r="CZ41" s="10"/>
      <c r="DA41" s="10"/>
      <c r="DB41" s="10"/>
      <c r="DC41" s="97"/>
      <c r="DD41" s="10"/>
      <c r="DE41" s="10"/>
      <c r="DF41" s="10"/>
      <c r="DG41" s="97"/>
      <c r="DH41" s="10"/>
      <c r="DI41" s="10"/>
      <c r="DJ41" s="10"/>
      <c r="DK41" s="97"/>
      <c r="DL41" s="16"/>
      <c r="DM41" s="10"/>
      <c r="DN41" s="10"/>
      <c r="DO41" s="97"/>
      <c r="DP41" s="10"/>
      <c r="DQ41" s="10"/>
      <c r="DR41" s="10"/>
      <c r="DS41" s="97"/>
      <c r="DT41" s="10"/>
      <c r="DU41" s="10"/>
      <c r="DV41" s="10"/>
      <c r="DW41" s="10"/>
      <c r="DX41" s="10"/>
      <c r="DY41" s="10"/>
      <c r="DZ41" s="10"/>
      <c r="EA41" s="97"/>
      <c r="EB41" s="10"/>
      <c r="EC41" s="10"/>
      <c r="ED41" s="10"/>
      <c r="EE41" s="97"/>
      <c r="EF41" s="10"/>
      <c r="EG41" s="10"/>
      <c r="EH41" s="10"/>
      <c r="EI41" s="97"/>
      <c r="EJ41" s="16"/>
      <c r="EK41" s="10"/>
      <c r="EL41" s="10"/>
      <c r="EM41" s="10"/>
      <c r="EN41" s="10"/>
      <c r="EO41" s="10"/>
      <c r="EP41" s="10"/>
      <c r="EQ41" s="97"/>
      <c r="ER41" s="10"/>
      <c r="ES41" s="10"/>
      <c r="ET41" s="10"/>
      <c r="EU41" s="10"/>
      <c r="EV41" s="10"/>
      <c r="EW41" s="10"/>
      <c r="EX41" s="10"/>
      <c r="EY41" s="5"/>
      <c r="EZ41" s="489"/>
      <c r="FA41" s="5"/>
    </row>
    <row r="42" spans="1:157" ht="13.5" thickBot="1">
      <c r="A42" s="11" t="s">
        <v>29</v>
      </c>
      <c r="B42" s="11"/>
      <c r="C42" s="12"/>
      <c r="D42" s="12">
        <f>SUM(D10:D41)</f>
        <v>1506.0089999999998</v>
      </c>
      <c r="E42" s="12">
        <f>SUM(E10:E41)</f>
        <v>1468.2629999999999</v>
      </c>
      <c r="F42" s="12"/>
      <c r="G42" s="12">
        <f>SUM(G10:G41)</f>
        <v>0</v>
      </c>
      <c r="H42" s="12">
        <f>G42/EU42*100</f>
        <v>0</v>
      </c>
      <c r="I42" s="12"/>
      <c r="J42" s="12"/>
      <c r="K42" s="12">
        <f>SUM(K10:K41)</f>
        <v>0</v>
      </c>
      <c r="L42" s="12"/>
      <c r="M42" s="12"/>
      <c r="N42" s="12"/>
      <c r="O42" s="12"/>
      <c r="P42" s="12"/>
      <c r="Q42" s="12"/>
      <c r="R42" s="12"/>
      <c r="S42" s="12"/>
      <c r="T42" s="12"/>
      <c r="U42" s="12"/>
      <c r="V42" s="12"/>
      <c r="W42" s="12"/>
      <c r="X42" s="12"/>
      <c r="Y42" s="12"/>
      <c r="Z42" s="12"/>
      <c r="AA42" s="12">
        <f>SUM(AA10:AA41)</f>
        <v>0</v>
      </c>
      <c r="AB42" s="12">
        <f>+AA42/$EU$42*100</f>
        <v>0</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5000</v>
      </c>
      <c r="BX42" s="19">
        <f>BW42/$EU$42*100</f>
        <v>0.31211161754975042</v>
      </c>
      <c r="BY42" s="12"/>
      <c r="BZ42" s="12"/>
      <c r="CA42" s="12">
        <f>SUM(CA10:CA41)</f>
        <v>0</v>
      </c>
      <c r="CB42" s="19">
        <f>CA42/$EU$42*100</f>
        <v>0</v>
      </c>
      <c r="CC42" s="12"/>
      <c r="CD42" s="12"/>
      <c r="CE42" s="12">
        <f>SUM(CE10:CE41)</f>
        <v>0</v>
      </c>
      <c r="CF42" s="19">
        <f>CE42/$EU$42*100</f>
        <v>0</v>
      </c>
      <c r="CG42" s="12"/>
      <c r="CH42" s="12"/>
      <c r="CI42" s="12">
        <f>SUM(CI10:CI41)</f>
        <v>0</v>
      </c>
      <c r="CJ42" s="19">
        <f>CI42/$EU$42*100</f>
        <v>0</v>
      </c>
      <c r="CK42" s="12"/>
      <c r="CL42" s="12"/>
      <c r="CM42" s="12">
        <f>SUM(CM10:CM41)</f>
        <v>127459.45157563705</v>
      </c>
      <c r="CN42" s="12" t="e">
        <f>CM42/EQ42*100</f>
        <v>#DIV/0!</v>
      </c>
      <c r="CO42" s="12"/>
      <c r="CP42" s="12"/>
      <c r="CQ42" s="12">
        <f>SUM(CQ10:CQ41)</f>
        <v>480515.71938397043</v>
      </c>
      <c r="CR42" s="12">
        <f>CQ42/$EU$42*100</f>
        <v>29.994907687002591</v>
      </c>
      <c r="CS42" s="12"/>
      <c r="CT42" s="12"/>
      <c r="CU42" s="12">
        <f>SUM(CU10:CU41)</f>
        <v>465095.82250568102</v>
      </c>
      <c r="CV42" s="12">
        <f>CU42/$EU$42*100</f>
        <v>29.032361895575942</v>
      </c>
      <c r="CW42" s="12"/>
      <c r="CX42" s="12"/>
      <c r="CY42" s="12">
        <f>SUM(CY10:CY41)</f>
        <v>212180.6912483511</v>
      </c>
      <c r="CZ42" s="12">
        <f>CY42/$EU$42*100</f>
        <v>13.244811751669406</v>
      </c>
      <c r="DA42" s="12"/>
      <c r="DB42" s="12"/>
      <c r="DC42" s="12">
        <f>SUM(DC10:DC41)</f>
        <v>302122.29122539557</v>
      </c>
      <c r="DD42" s="12">
        <f>DC42/$EU$42*100</f>
        <v>18.859175402438996</v>
      </c>
      <c r="DE42" s="12"/>
      <c r="DF42" s="12"/>
      <c r="DG42" s="12">
        <f>SUM(DG10:DG41)</f>
        <v>1152.189653379713</v>
      </c>
      <c r="DH42" s="12">
        <f>DG42/$EU$42*100</f>
        <v>7.1922355288085688E-2</v>
      </c>
      <c r="DI42" s="12"/>
      <c r="DJ42" s="12"/>
      <c r="DK42" s="12">
        <f>SUM(DK10:DK41)</f>
        <v>6862.3229076933276</v>
      </c>
      <c r="DL42" s="12">
        <f>DK42/$EU$42*100</f>
        <v>0.42836214057377425</v>
      </c>
      <c r="DM42" s="12"/>
      <c r="DN42" s="12"/>
      <c r="DO42" s="12">
        <f>SUM(DO10:DO41)</f>
        <v>1602.5040982374733</v>
      </c>
      <c r="DP42" s="12">
        <f>DO42/$EU$42*100</f>
        <v>0.10003202924620039</v>
      </c>
      <c r="DQ42" s="12"/>
      <c r="DR42" s="12"/>
      <c r="DS42" s="12">
        <f>SUM(DS10:DS41)</f>
        <v>0</v>
      </c>
      <c r="DT42" s="12"/>
      <c r="DU42" s="12"/>
      <c r="DV42" s="12"/>
      <c r="DW42" s="12">
        <f>SUM(DW10:DW41)</f>
        <v>1596990.992598346</v>
      </c>
      <c r="DX42" s="19">
        <f>DW42/$EU$42*100</f>
        <v>99.687888382450254</v>
      </c>
      <c r="DY42" s="12"/>
      <c r="DZ42" s="12"/>
      <c r="EA42" s="12">
        <f>SUM(EA10:EA41)</f>
        <v>0</v>
      </c>
      <c r="EB42" s="12">
        <f>EA42/$EU$42*100</f>
        <v>0</v>
      </c>
      <c r="EC42" s="12"/>
      <c r="ED42" s="12"/>
      <c r="EE42" s="12">
        <f>SUM(EE10:EE41)</f>
        <v>0</v>
      </c>
      <c r="EF42" s="12">
        <f>EE42/$EU$42*100</f>
        <v>0</v>
      </c>
      <c r="EG42" s="12"/>
      <c r="EH42" s="12"/>
      <c r="EI42" s="12">
        <f>SUM(EI10:EI41)</f>
        <v>0</v>
      </c>
      <c r="EJ42" s="12">
        <f>EI42/$EU$42*100</f>
        <v>0</v>
      </c>
      <c r="EK42" s="12"/>
      <c r="EL42" s="12"/>
      <c r="EM42" s="12">
        <f>SUM(EM10:EM41)</f>
        <v>0</v>
      </c>
      <c r="EN42" s="21">
        <f>EM42/$EU$42*100</f>
        <v>0</v>
      </c>
      <c r="EO42" s="12"/>
      <c r="EP42" s="12"/>
      <c r="EQ42" s="12">
        <f>SUM(EQ10:EQ41)</f>
        <v>0</v>
      </c>
      <c r="ER42" s="12">
        <f>EQ42/$EU$42*100</f>
        <v>0</v>
      </c>
      <c r="ES42" s="12"/>
      <c r="ET42" s="12"/>
      <c r="EU42" s="552">
        <f>BW42+DW42+EM42+EQ42+CI42</f>
        <v>1601990.992598346</v>
      </c>
      <c r="EV42" s="12">
        <f>EU42/$EU$42*100</f>
        <v>100</v>
      </c>
      <c r="EW42" s="12">
        <f>EU42/1000/E42</f>
        <v>1.0910790455104746</v>
      </c>
      <c r="EX42" s="12"/>
      <c r="EY42" s="5"/>
      <c r="EZ42" s="489"/>
      <c r="FA42" s="5"/>
    </row>
    <row r="43" spans="1:157" ht="13.5" thickTop="1"/>
    <row r="44" spans="1:157">
      <c r="F44" t="s">
        <v>4</v>
      </c>
      <c r="G44" s="14">
        <f>+G42+K42</f>
        <v>0</v>
      </c>
      <c r="CM44" s="14"/>
      <c r="DC44" s="14"/>
      <c r="DG44" s="14"/>
      <c r="EN44" s="14"/>
      <c r="EQ44" s="14"/>
      <c r="ER44" s="14"/>
    </row>
    <row r="45" spans="1:157">
      <c r="E45" s="14"/>
      <c r="F45" s="493" t="s">
        <v>148</v>
      </c>
      <c r="G45" s="14">
        <f>+EU42</f>
        <v>1601990.992598346</v>
      </c>
      <c r="I45" s="14"/>
      <c r="AY45" s="14"/>
      <c r="DC45" s="14"/>
      <c r="DG45" s="14"/>
      <c r="EQ45" s="14"/>
    </row>
    <row r="46" spans="1:157">
      <c r="G46" s="494">
        <f>+G44/G45</f>
        <v>0</v>
      </c>
    </row>
    <row r="48" spans="1:157">
      <c r="G48">
        <f>+G42/G7</f>
        <v>0</v>
      </c>
      <c r="K48">
        <f>+K42/K7</f>
        <v>0</v>
      </c>
    </row>
  </sheetData>
  <mergeCells count="44">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 ref="A8:A9"/>
    <mergeCell ref="B8:B9"/>
    <mergeCell ref="C8:C9"/>
    <mergeCell ref="K8:N8"/>
    <mergeCell ref="G8:J8"/>
    <mergeCell ref="D8:D9"/>
    <mergeCell ref="E8:F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EQ8:ET8"/>
    <mergeCell ref="EU8:EV8"/>
    <mergeCell ref="EI8:EL8"/>
    <mergeCell ref="EA8:ED8"/>
    <mergeCell ref="DW8:DZ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
  <sheetViews>
    <sheetView workbookViewId="0">
      <pane xSplit="1" topLeftCell="S1" activePane="topRight" state="frozen"/>
      <selection pane="topRight" activeCell="U34" sqref="U34"/>
    </sheetView>
  </sheetViews>
  <sheetFormatPr defaultRowHeight="12.75"/>
  <cols>
    <col min="1" max="1" width="17.5703125" bestFit="1" customWidth="1"/>
    <col min="2" max="13" width="9.140625" customWidth="1"/>
    <col min="14" max="14" width="9.42578125" customWidth="1"/>
    <col min="15" max="31" width="9.140625" customWidth="1"/>
    <col min="32" max="32" width="9.140625" hidden="1" customWidth="1"/>
    <col min="34" max="34" width="10.85546875" bestFit="1" customWidth="1"/>
    <col min="35" max="35" width="16.28515625" bestFit="1" customWidth="1"/>
  </cols>
  <sheetData>
    <row r="1" spans="1:35">
      <c r="B1">
        <v>5760</v>
      </c>
      <c r="C1">
        <v>5840</v>
      </c>
      <c r="D1">
        <v>5660</v>
      </c>
      <c r="E1">
        <v>4800</v>
      </c>
      <c r="F1">
        <v>6720</v>
      </c>
      <c r="G1">
        <v>6900</v>
      </c>
      <c r="H1">
        <v>6610</v>
      </c>
      <c r="I1">
        <v>8340</v>
      </c>
      <c r="J1">
        <v>6330</v>
      </c>
      <c r="K1">
        <v>6450</v>
      </c>
      <c r="L1">
        <v>5530</v>
      </c>
      <c r="M1">
        <v>5530</v>
      </c>
      <c r="N1">
        <v>6410</v>
      </c>
      <c r="O1">
        <v>5530</v>
      </c>
      <c r="P1">
        <v>5730</v>
      </c>
      <c r="Q1">
        <v>4930</v>
      </c>
      <c r="R1">
        <v>6000</v>
      </c>
      <c r="S1">
        <v>6920</v>
      </c>
      <c r="T1">
        <v>6880</v>
      </c>
      <c r="U1">
        <v>5440</v>
      </c>
      <c r="V1">
        <v>5450</v>
      </c>
      <c r="W1">
        <v>5840</v>
      </c>
      <c r="X1">
        <v>6020</v>
      </c>
      <c r="Y1">
        <v>5100</v>
      </c>
      <c r="Z1">
        <v>6410</v>
      </c>
      <c r="AA1">
        <v>6410</v>
      </c>
      <c r="AB1">
        <v>6810</v>
      </c>
      <c r="AC1">
        <v>6370</v>
      </c>
      <c r="AD1">
        <v>7030</v>
      </c>
      <c r="AE1">
        <v>5570</v>
      </c>
    </row>
    <row r="2" spans="1:35"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63" t="s">
        <v>258</v>
      </c>
      <c r="AH2" s="465" t="s">
        <v>259</v>
      </c>
      <c r="AI2" s="475" t="s">
        <v>271</v>
      </c>
    </row>
    <row r="3" spans="1:35">
      <c r="A3" s="454" t="s">
        <v>205</v>
      </c>
      <c r="B3" s="5">
        <f>4076/1000</f>
        <v>4.0759999999999996</v>
      </c>
      <c r="C3" s="5">
        <f>2187/1000</f>
        <v>2.1869999999999998</v>
      </c>
      <c r="D3" s="5">
        <f>3107/1000</f>
        <v>3.1070000000000002</v>
      </c>
      <c r="E3" s="5">
        <f>2894/1000</f>
        <v>2.8940000000000001</v>
      </c>
      <c r="F3" s="5">
        <v>1.1000000000000001</v>
      </c>
      <c r="G3" s="5">
        <f>3078/1000</f>
        <v>3.0779999999999998</v>
      </c>
      <c r="H3" s="5">
        <f>3749/1000</f>
        <v>3.7490000000000001</v>
      </c>
      <c r="I3" s="5">
        <f>4534/1000</f>
        <v>4.5339999999999998</v>
      </c>
      <c r="J3" s="5">
        <f>3514/1000</f>
        <v>3.5139999999999998</v>
      </c>
      <c r="K3" s="5">
        <f>2748/1000</f>
        <v>2.7480000000000002</v>
      </c>
      <c r="L3" s="5">
        <f>3788/1000</f>
        <v>3.7879999999999998</v>
      </c>
      <c r="M3" s="5">
        <f>2711/1000</f>
        <v>2.7109999999999999</v>
      </c>
      <c r="N3" s="5">
        <v>10.574999999999999</v>
      </c>
      <c r="O3" s="5">
        <v>2.9220000000000002</v>
      </c>
      <c r="P3" s="5">
        <f>2080/1000</f>
        <v>2.08</v>
      </c>
      <c r="Q3" s="5">
        <f>2957/1000</f>
        <v>2.9569999999999999</v>
      </c>
      <c r="R3" s="5">
        <f>4167/1000</f>
        <v>4.1669999999999998</v>
      </c>
      <c r="S3" s="5">
        <f>2852/1000</f>
        <v>2.8519999999999999</v>
      </c>
      <c r="T3" s="5">
        <f>3560/1000</f>
        <v>3.56</v>
      </c>
      <c r="U3" s="5">
        <f>4150/1000</f>
        <v>4.1500000000000004</v>
      </c>
      <c r="V3" s="5">
        <f>5039/1000</f>
        <v>5.0389999999999997</v>
      </c>
      <c r="W3" s="5">
        <f>3059/1000</f>
        <v>3.0590000000000002</v>
      </c>
      <c r="X3" s="5">
        <f>2959/1000</f>
        <v>2.9590000000000001</v>
      </c>
      <c r="Y3" s="5">
        <f>2959/1000</f>
        <v>2.9590000000000001</v>
      </c>
      <c r="Z3" s="5">
        <f>2337/1000</f>
        <v>2.3370000000000002</v>
      </c>
      <c r="AA3" s="5">
        <f>2736/1000</f>
        <v>2.7360000000000002</v>
      </c>
      <c r="AB3" s="5">
        <f>925/1000</f>
        <v>0.92500000000000004</v>
      </c>
      <c r="AC3" s="5">
        <f>925/1000</f>
        <v>0.92500000000000004</v>
      </c>
      <c r="AD3" s="5">
        <f>925/1000</f>
        <v>0.92500000000000004</v>
      </c>
      <c r="AE3" s="5">
        <f>1639/1000</f>
        <v>1.639</v>
      </c>
      <c r="AF3" s="5"/>
      <c r="AG3" s="5">
        <f>+AE3</f>
        <v>1.639</v>
      </c>
      <c r="AH3" s="464">
        <f>+AG3/Efficiency1!$K$164</f>
        <v>1.0009844894337426E-3</v>
      </c>
      <c r="AI3" s="738">
        <f>SUM(AH3:AH4)</f>
        <v>1.9781505559950535E-3</v>
      </c>
    </row>
    <row r="4" spans="1:35">
      <c r="A4" s="454" t="s">
        <v>272</v>
      </c>
      <c r="B4" s="5">
        <f>692/1000</f>
        <v>0.69199999999999995</v>
      </c>
      <c r="C4" s="5">
        <f>1738/1000</f>
        <v>1.738</v>
      </c>
      <c r="D4" s="5">
        <f>2049/1000</f>
        <v>2.0489999999999999</v>
      </c>
      <c r="E4" s="5">
        <f>2170/1000</f>
        <v>2.17</v>
      </c>
      <c r="F4" s="5">
        <f>2264/1000</f>
        <v>2.2639999999999998</v>
      </c>
      <c r="G4" s="5">
        <f>850/1000</f>
        <v>0.85</v>
      </c>
      <c r="H4" s="5">
        <f>1848/1000</f>
        <v>1.8480000000000001</v>
      </c>
      <c r="I4" s="5">
        <f>273/1000</f>
        <v>0.27300000000000002</v>
      </c>
      <c r="J4" s="5">
        <f>681/1000</f>
        <v>0.68100000000000005</v>
      </c>
      <c r="K4" s="5">
        <f>1073/1000</f>
        <v>1.073</v>
      </c>
      <c r="L4" s="5">
        <f>436/1000</f>
        <v>0.436</v>
      </c>
      <c r="M4" s="5">
        <f>592/1000</f>
        <v>0.59199999999999997</v>
      </c>
      <c r="N4" s="455">
        <v>0.94899999999999995</v>
      </c>
      <c r="O4" s="455">
        <v>0.82799999999999996</v>
      </c>
      <c r="P4" s="5">
        <f>2081/1000</f>
        <v>2.081</v>
      </c>
      <c r="Q4" s="5">
        <f>1359/1000</f>
        <v>1.359</v>
      </c>
      <c r="R4" s="5">
        <f>425/1000</f>
        <v>0.42499999999999999</v>
      </c>
      <c r="S4" s="5">
        <f>2039/1000</f>
        <v>2.0390000000000001</v>
      </c>
      <c r="T4" s="5">
        <f>1214/1000</f>
        <v>1.214</v>
      </c>
      <c r="U4" s="5">
        <f>824/1000</f>
        <v>0.82399999999999995</v>
      </c>
      <c r="V4" s="5">
        <f>312/1000</f>
        <v>0.312</v>
      </c>
      <c r="W4" s="455">
        <f>685/1000</f>
        <v>0.68500000000000005</v>
      </c>
      <c r="X4" s="5">
        <f>1652/1000</f>
        <v>1.6519999999999999</v>
      </c>
      <c r="Y4" s="5">
        <f>1233/1000</f>
        <v>1.2330000000000001</v>
      </c>
      <c r="Z4" s="5">
        <f>1004/1000</f>
        <v>1.004</v>
      </c>
      <c r="AA4" s="5">
        <f>665/1000</f>
        <v>0.66500000000000004</v>
      </c>
      <c r="AB4" s="5">
        <f>1526/1000</f>
        <v>1.526</v>
      </c>
      <c r="AC4" s="5">
        <f>379/1000</f>
        <v>0.379</v>
      </c>
      <c r="AD4" s="5">
        <f>610/1000</f>
        <v>0.61</v>
      </c>
      <c r="AE4" s="5">
        <f>1600/1000</f>
        <v>1.6</v>
      </c>
      <c r="AF4" s="5"/>
      <c r="AG4" s="5">
        <f>+AE4</f>
        <v>1.6</v>
      </c>
      <c r="AH4" s="464">
        <f>+AG4/Efficiency1!$K$164</f>
        <v>9.7716606656131073E-4</v>
      </c>
      <c r="AI4" s="739"/>
    </row>
    <row r="5" spans="1:35">
      <c r="A5" s="476"/>
      <c r="B5" s="477"/>
      <c r="C5" s="477"/>
      <c r="D5" s="477"/>
      <c r="E5" s="477"/>
      <c r="F5" s="477"/>
      <c r="G5" s="477"/>
      <c r="H5" s="477"/>
      <c r="I5" s="477"/>
      <c r="J5" s="477"/>
      <c r="K5" s="477"/>
      <c r="L5" s="477"/>
      <c r="M5" s="477"/>
      <c r="N5" s="478"/>
      <c r="O5" s="478"/>
      <c r="P5" s="477"/>
      <c r="Q5" s="477"/>
      <c r="R5" s="477"/>
      <c r="S5" s="477"/>
      <c r="T5" s="477"/>
      <c r="U5" s="477"/>
      <c r="V5" s="477"/>
      <c r="W5" s="478"/>
      <c r="X5" s="477"/>
      <c r="Y5" s="477"/>
      <c r="Z5" s="477"/>
      <c r="AA5" s="477"/>
      <c r="AB5" s="477"/>
      <c r="AC5" s="477"/>
      <c r="AD5" s="477"/>
      <c r="AE5" s="477"/>
      <c r="AF5" s="477"/>
      <c r="AG5" s="477"/>
      <c r="AH5" s="479"/>
    </row>
    <row r="6" spans="1:35">
      <c r="A6" s="454" t="s">
        <v>206</v>
      </c>
      <c r="B6" s="455">
        <v>0.42799999999999999</v>
      </c>
      <c r="C6" s="455">
        <v>0.78600000000000003</v>
      </c>
      <c r="D6" s="5">
        <v>0.48499999999999999</v>
      </c>
      <c r="E6" s="5">
        <v>0.58299999999999996</v>
      </c>
      <c r="F6" s="5">
        <f>302/1000</f>
        <v>0.30199999999999999</v>
      </c>
      <c r="G6" s="5">
        <v>0.435</v>
      </c>
      <c r="H6" s="5">
        <v>0.51900000000000002</v>
      </c>
      <c r="I6" s="5">
        <f>504/1000</f>
        <v>0.504</v>
      </c>
      <c r="J6" s="5">
        <v>0.45900000000000002</v>
      </c>
      <c r="K6" s="5">
        <v>0.71099999999999997</v>
      </c>
      <c r="L6" s="5">
        <v>0.38</v>
      </c>
      <c r="M6" s="5">
        <v>0.59599999999999997</v>
      </c>
      <c r="N6" s="5">
        <v>0.61199999999999999</v>
      </c>
      <c r="O6" s="5">
        <v>0.89200000000000002</v>
      </c>
      <c r="P6" s="5">
        <v>0.76500000000000001</v>
      </c>
      <c r="Q6" s="5">
        <v>0.59099999999999997</v>
      </c>
      <c r="R6" s="5">
        <v>0.65100000000000002</v>
      </c>
      <c r="S6" s="5">
        <v>0.628</v>
      </c>
      <c r="T6" s="5">
        <v>0.6</v>
      </c>
      <c r="U6" s="5">
        <v>0.76800000000000002</v>
      </c>
      <c r="V6" s="5">
        <v>0.32800000000000001</v>
      </c>
      <c r="W6" s="455">
        <f>508/1000</f>
        <v>0.50800000000000001</v>
      </c>
      <c r="X6" s="5">
        <v>0.54800000000000004</v>
      </c>
      <c r="Y6" s="5">
        <v>0.48699999999999999</v>
      </c>
      <c r="Z6" s="455">
        <v>0.34399999999999997</v>
      </c>
      <c r="AA6" s="5">
        <v>0.53100000000000003</v>
      </c>
      <c r="AB6" s="5">
        <v>0.48199999999999998</v>
      </c>
      <c r="AC6" s="5">
        <v>0.17599999999999999</v>
      </c>
      <c r="AD6" s="5">
        <f>150/1000</f>
        <v>0.15</v>
      </c>
      <c r="AE6" s="5">
        <v>0.57999999999999996</v>
      </c>
      <c r="AF6" s="5"/>
      <c r="AG6" s="5">
        <f t="shared" ref="AG6:AG37" si="0">+SUM(B6:AF6)</f>
        <v>15.828999999999999</v>
      </c>
      <c r="AH6" s="480">
        <f t="shared" ref="AH6:AH36" si="1">+AG6/$AG$39</f>
        <v>3.4693698630136993E-2</v>
      </c>
    </row>
    <row r="7" spans="1:35">
      <c r="A7" s="454" t="s">
        <v>273</v>
      </c>
      <c r="B7" s="5">
        <v>425</v>
      </c>
      <c r="C7" s="5">
        <v>0.22</v>
      </c>
      <c r="D7" s="5">
        <v>0.159</v>
      </c>
      <c r="E7" s="5">
        <v>0.42</v>
      </c>
      <c r="F7" s="5">
        <f>140/1000</f>
        <v>0.14000000000000001</v>
      </c>
      <c r="G7" s="5">
        <v>0.16</v>
      </c>
      <c r="H7" s="5">
        <f>80/1000</f>
        <v>0.08</v>
      </c>
      <c r="I7" s="5">
        <f>680/1000</f>
        <v>0.68</v>
      </c>
      <c r="J7" s="5">
        <v>0.42399999999999999</v>
      </c>
      <c r="K7" s="5">
        <v>0.2</v>
      </c>
      <c r="L7" s="5">
        <v>0.54200000000000004</v>
      </c>
      <c r="M7" s="5">
        <v>0.4</v>
      </c>
      <c r="N7" s="5">
        <v>0.27400000000000002</v>
      </c>
      <c r="O7" s="5">
        <v>0.46</v>
      </c>
      <c r="P7" s="5">
        <v>0.25</v>
      </c>
      <c r="Q7" s="5">
        <v>0.2</v>
      </c>
      <c r="S7" s="5">
        <v>0.24</v>
      </c>
      <c r="T7" s="5">
        <v>0.34</v>
      </c>
      <c r="U7" s="5">
        <v>0.45</v>
      </c>
      <c r="V7" s="5">
        <v>0.6</v>
      </c>
      <c r="W7" s="5">
        <v>0.215</v>
      </c>
      <c r="X7" s="5">
        <f>50/1000</f>
        <v>0.05</v>
      </c>
      <c r="Y7" s="5">
        <v>0.25</v>
      </c>
      <c r="Z7" s="5">
        <v>0.3</v>
      </c>
      <c r="AA7" s="5">
        <f>65/1000</f>
        <v>6.5000000000000002E-2</v>
      </c>
      <c r="AB7" s="5">
        <v>0.13</v>
      </c>
      <c r="AC7" s="5">
        <f>91/1000</f>
        <v>9.0999999999999998E-2</v>
      </c>
      <c r="AD7" s="5">
        <v>0.215</v>
      </c>
      <c r="AE7" s="5"/>
      <c r="AF7" s="5"/>
      <c r="AG7" s="5">
        <f t="shared" si="0"/>
        <v>432.55499999999989</v>
      </c>
      <c r="AH7" s="464">
        <f t="shared" si="1"/>
        <v>0.94806575342465749</v>
      </c>
    </row>
    <row r="8" spans="1:35">
      <c r="A8" s="481" t="s">
        <v>274</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0"/>
        <v>0</v>
      </c>
      <c r="AH8" s="464">
        <f t="shared" si="1"/>
        <v>0</v>
      </c>
    </row>
    <row r="9" spans="1:35">
      <c r="A9" s="454" t="s">
        <v>208</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64">
        <f t="shared" si="1"/>
        <v>0</v>
      </c>
    </row>
    <row r="10" spans="1:35">
      <c r="A10" s="454" t="s">
        <v>209</v>
      </c>
      <c r="B10" s="5"/>
      <c r="C10" s="5"/>
      <c r="D10" s="5"/>
      <c r="E10" s="5"/>
      <c r="F10" s="5"/>
      <c r="G10" s="5"/>
      <c r="H10" s="5"/>
      <c r="I10" s="5"/>
      <c r="J10" s="5"/>
      <c r="K10" s="5"/>
      <c r="L10" s="5"/>
      <c r="M10" s="5"/>
      <c r="N10" s="5">
        <v>0.749</v>
      </c>
      <c r="O10" s="5"/>
      <c r="P10" s="5"/>
      <c r="Q10" s="5"/>
      <c r="R10" s="5"/>
      <c r="S10" s="5"/>
      <c r="T10" s="5"/>
      <c r="U10" s="5"/>
      <c r="V10" s="5"/>
      <c r="W10" s="5"/>
      <c r="X10" s="5"/>
      <c r="Y10" s="5"/>
      <c r="Z10" s="5"/>
      <c r="AA10" s="5"/>
      <c r="AB10" s="5"/>
      <c r="AC10" s="5"/>
      <c r="AD10" s="5"/>
      <c r="AE10" s="5"/>
      <c r="AF10" s="5"/>
      <c r="AG10" s="5">
        <f t="shared" si="0"/>
        <v>0.749</v>
      </c>
      <c r="AH10" s="464">
        <f t="shared" si="1"/>
        <v>1.6416438356164388E-3</v>
      </c>
    </row>
    <row r="11" spans="1:35">
      <c r="A11" s="454" t="s">
        <v>210</v>
      </c>
      <c r="B11" s="5"/>
      <c r="C11" s="5"/>
      <c r="D11" s="5"/>
      <c r="E11" s="5">
        <v>0.10199999999999999</v>
      </c>
      <c r="F11" s="5">
        <f>1546/1000</f>
        <v>1.546</v>
      </c>
      <c r="G11" s="5"/>
      <c r="H11" s="5"/>
      <c r="I11" s="5"/>
      <c r="J11" s="5"/>
      <c r="K11" s="5"/>
      <c r="L11" s="5"/>
      <c r="M11" s="5"/>
      <c r="N11" s="5">
        <v>0.749</v>
      </c>
      <c r="O11" s="5"/>
      <c r="P11" s="5"/>
      <c r="Q11" s="5"/>
      <c r="R11" s="5"/>
      <c r="S11" s="5"/>
      <c r="T11" s="5"/>
      <c r="U11" s="5"/>
      <c r="V11" s="5"/>
      <c r="W11" s="5"/>
      <c r="X11" s="5"/>
      <c r="Y11" s="5"/>
      <c r="Z11" s="5">
        <v>0.3</v>
      </c>
      <c r="AA11" s="5"/>
      <c r="AB11" s="5"/>
      <c r="AC11" s="5"/>
      <c r="AD11" s="5"/>
      <c r="AE11" s="5"/>
      <c r="AF11" s="5"/>
      <c r="AG11" s="5">
        <f t="shared" si="0"/>
        <v>2.6970000000000001</v>
      </c>
      <c r="AH11" s="464">
        <f t="shared" si="1"/>
        <v>5.9112328767123301E-3</v>
      </c>
    </row>
    <row r="12" spans="1:35">
      <c r="A12" s="454" t="s">
        <v>211</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f t="shared" si="0"/>
        <v>0</v>
      </c>
      <c r="AH12" s="464">
        <f t="shared" si="1"/>
        <v>0</v>
      </c>
    </row>
    <row r="13" spans="1:35">
      <c r="A13" s="454" t="s">
        <v>212</v>
      </c>
      <c r="B13" s="5"/>
      <c r="C13" s="5"/>
      <c r="D13" s="5"/>
      <c r="E13" s="5"/>
      <c r="F13" s="5"/>
      <c r="G13" s="5"/>
      <c r="H13" s="5"/>
      <c r="I13" s="5"/>
      <c r="J13" s="5"/>
      <c r="K13" s="5"/>
      <c r="L13" s="5"/>
      <c r="M13" s="5"/>
      <c r="N13" s="5"/>
      <c r="O13" s="5">
        <v>1.224</v>
      </c>
      <c r="P13" s="5"/>
      <c r="Q13" s="5"/>
      <c r="R13" s="5"/>
      <c r="S13" s="5"/>
      <c r="T13" s="5"/>
      <c r="U13" s="5"/>
      <c r="V13" s="5"/>
      <c r="W13" s="5">
        <v>0.43</v>
      </c>
      <c r="X13" s="5"/>
      <c r="Y13" s="5"/>
      <c r="Z13" s="5"/>
      <c r="AA13" s="5"/>
      <c r="AB13" s="5"/>
      <c r="AC13" s="5"/>
      <c r="AD13" s="5"/>
      <c r="AE13" s="5"/>
      <c r="AF13" s="5"/>
      <c r="AG13" s="5">
        <f t="shared" si="0"/>
        <v>1.6539999999999999</v>
      </c>
      <c r="AH13" s="464">
        <f t="shared" si="1"/>
        <v>3.6252054794520556E-3</v>
      </c>
    </row>
    <row r="14" spans="1:35">
      <c r="A14" s="454" t="s">
        <v>275</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0"/>
        <v>0</v>
      </c>
      <c r="AH14" s="464">
        <f t="shared" si="1"/>
        <v>0</v>
      </c>
    </row>
    <row r="15" spans="1:35">
      <c r="A15" s="454" t="s">
        <v>207</v>
      </c>
      <c r="B15" s="5"/>
      <c r="C15" s="5"/>
      <c r="D15" s="5"/>
      <c r="E15" s="5"/>
      <c r="F15" s="5"/>
      <c r="G15" s="5"/>
      <c r="H15" s="5"/>
      <c r="I15" s="5"/>
      <c r="J15" s="5"/>
      <c r="K15" s="5"/>
      <c r="L15" s="5"/>
      <c r="M15" s="5">
        <v>0.65</v>
      </c>
      <c r="N15" s="5"/>
      <c r="O15" s="5"/>
      <c r="P15" s="5"/>
      <c r="Q15" s="5"/>
      <c r="R15" s="5"/>
      <c r="S15" s="5"/>
      <c r="T15" s="5"/>
      <c r="U15" s="5"/>
      <c r="V15" s="5"/>
      <c r="W15" s="5"/>
      <c r="X15" s="5"/>
      <c r="Y15" s="5"/>
      <c r="Z15" s="5"/>
      <c r="AA15" s="5"/>
      <c r="AB15" s="5"/>
      <c r="AC15" s="5"/>
      <c r="AD15" s="5"/>
      <c r="AE15" s="5"/>
      <c r="AF15" s="5"/>
      <c r="AG15" s="5">
        <f t="shared" si="0"/>
        <v>0.65</v>
      </c>
      <c r="AH15" s="464">
        <f t="shared" si="1"/>
        <v>1.4246575342465758E-3</v>
      </c>
    </row>
    <row r="16" spans="1:35">
      <c r="A16" s="454" t="s">
        <v>380</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0"/>
        <v>0</v>
      </c>
      <c r="AH16" s="464">
        <f t="shared" si="1"/>
        <v>0</v>
      </c>
    </row>
    <row r="17" spans="1:34">
      <c r="A17" s="454" t="s">
        <v>276</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f>100/1000</f>
        <v>0.1</v>
      </c>
      <c r="AD17" s="5"/>
      <c r="AE17" s="5"/>
      <c r="AF17" s="5"/>
      <c r="AG17" s="5">
        <f t="shared" si="0"/>
        <v>0.1</v>
      </c>
      <c r="AH17" s="464">
        <f t="shared" si="1"/>
        <v>2.1917808219178088E-4</v>
      </c>
    </row>
    <row r="18" spans="1:34">
      <c r="A18" s="454" t="s">
        <v>277</v>
      </c>
      <c r="B18" s="5"/>
      <c r="C18" s="5"/>
      <c r="D18" s="5"/>
      <c r="E18" s="5"/>
      <c r="F18" s="5"/>
      <c r="G18" s="5"/>
      <c r="H18" s="5">
        <v>0.95599999999999996</v>
      </c>
      <c r="I18" s="5"/>
      <c r="J18" s="5"/>
      <c r="K18" s="5"/>
      <c r="L18" s="5"/>
      <c r="M18" s="5">
        <v>0.1</v>
      </c>
      <c r="N18" s="5"/>
      <c r="O18" s="455"/>
      <c r="P18" s="5"/>
      <c r="Q18" s="5"/>
      <c r="R18" s="5"/>
      <c r="S18" s="5"/>
      <c r="T18" s="5"/>
      <c r="U18" s="5"/>
      <c r="V18" s="5"/>
      <c r="W18" s="5"/>
      <c r="X18" s="5"/>
      <c r="Y18" s="5"/>
      <c r="Z18" s="5"/>
      <c r="AA18" s="5"/>
      <c r="AB18" s="5"/>
      <c r="AC18" s="5"/>
      <c r="AD18" s="5"/>
      <c r="AE18" s="5"/>
      <c r="AF18" s="5"/>
      <c r="AG18" s="5">
        <f t="shared" si="0"/>
        <v>1.056</v>
      </c>
      <c r="AH18" s="464">
        <f t="shared" si="1"/>
        <v>2.3145205479452062E-3</v>
      </c>
    </row>
    <row r="19" spans="1:34">
      <c r="A19" s="454" t="s">
        <v>213</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v>
      </c>
      <c r="AH19" s="464">
        <f t="shared" si="1"/>
        <v>0</v>
      </c>
    </row>
    <row r="20" spans="1:34">
      <c r="A20" s="454" t="s">
        <v>214</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0"/>
        <v>0</v>
      </c>
      <c r="AH20" s="464">
        <f t="shared" si="1"/>
        <v>0</v>
      </c>
    </row>
    <row r="21" spans="1:34">
      <c r="A21" s="454" t="s">
        <v>215</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64">
        <f t="shared" si="1"/>
        <v>0</v>
      </c>
    </row>
    <row r="22" spans="1:34">
      <c r="A22" s="454" t="s">
        <v>216</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64">
        <f t="shared" si="1"/>
        <v>0</v>
      </c>
    </row>
    <row r="23" spans="1:34">
      <c r="A23" s="454" t="s">
        <v>217</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0"/>
        <v>0</v>
      </c>
      <c r="AH23" s="464">
        <f t="shared" si="1"/>
        <v>0</v>
      </c>
    </row>
    <row r="24" spans="1:34">
      <c r="A24" s="454" t="s">
        <v>278</v>
      </c>
      <c r="B24" s="5"/>
      <c r="C24" s="5"/>
      <c r="D24" s="5"/>
      <c r="E24" s="5"/>
      <c r="F24" s="5"/>
      <c r="G24" s="5"/>
      <c r="H24" s="5"/>
      <c r="I24" s="5"/>
      <c r="J24" s="5"/>
      <c r="K24" s="5">
        <v>0.54</v>
      </c>
      <c r="L24" s="5"/>
      <c r="M24" s="5"/>
      <c r="N24" s="5"/>
      <c r="O24" s="5"/>
      <c r="P24" s="5"/>
      <c r="Q24" s="5"/>
      <c r="R24" s="5"/>
      <c r="S24" s="5"/>
      <c r="T24" s="5"/>
      <c r="U24" s="5">
        <v>0.2</v>
      </c>
      <c r="V24" s="5"/>
      <c r="W24" s="5">
        <v>0.11</v>
      </c>
      <c r="X24" s="5">
        <v>0.11</v>
      </c>
      <c r="Y24" s="5"/>
      <c r="Z24" s="5"/>
      <c r="AA24" s="5"/>
      <c r="AB24" s="5"/>
      <c r="AC24" s="5"/>
      <c r="AD24" s="5"/>
      <c r="AE24" s="5"/>
      <c r="AF24" s="5"/>
      <c r="AG24" s="5">
        <f t="shared" si="0"/>
        <v>0.96</v>
      </c>
      <c r="AH24" s="464">
        <f t="shared" si="1"/>
        <v>2.1041095890410961E-3</v>
      </c>
    </row>
    <row r="25" spans="1:34">
      <c r="A25" s="454" t="s">
        <v>218</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0"/>
        <v>0</v>
      </c>
      <c r="AH25" s="464">
        <f t="shared" si="1"/>
        <v>0</v>
      </c>
    </row>
    <row r="26" spans="1:34">
      <c r="A26" s="454" t="s">
        <v>219</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64">
        <f t="shared" si="1"/>
        <v>0</v>
      </c>
    </row>
    <row r="27" spans="1:34">
      <c r="A27" s="454" t="s">
        <v>279</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0"/>
        <v>0</v>
      </c>
      <c r="AH27" s="464">
        <f t="shared" si="1"/>
        <v>0</v>
      </c>
    </row>
    <row r="28" spans="1:34">
      <c r="A28" s="454" t="s">
        <v>220</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0"/>
        <v>0</v>
      </c>
      <c r="AH28" s="464">
        <f t="shared" si="1"/>
        <v>0</v>
      </c>
    </row>
    <row r="29" spans="1:34">
      <c r="A29" s="454" t="s">
        <v>221</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0"/>
        <v>0</v>
      </c>
      <c r="AH29" s="464">
        <f t="shared" si="1"/>
        <v>0</v>
      </c>
    </row>
    <row r="30" spans="1:34">
      <c r="A30" s="454" t="s">
        <v>222</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64">
        <f t="shared" si="1"/>
        <v>0</v>
      </c>
    </row>
    <row r="31" spans="1:34">
      <c r="A31" s="454" t="s">
        <v>280</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64">
        <f t="shared" si="1"/>
        <v>0</v>
      </c>
    </row>
    <row r="32" spans="1:34">
      <c r="A32" s="454" t="s">
        <v>223</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64">
        <f t="shared" si="1"/>
        <v>0</v>
      </c>
    </row>
    <row r="33" spans="1:34">
      <c r="A33" s="454" t="s">
        <v>224</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0"/>
        <v>0</v>
      </c>
      <c r="AH33" s="464">
        <f t="shared" si="1"/>
        <v>0</v>
      </c>
    </row>
    <row r="34" spans="1:34">
      <c r="A34" s="456" t="s">
        <v>225</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64">
        <f t="shared" si="1"/>
        <v>0</v>
      </c>
    </row>
    <row r="35" spans="1:34">
      <c r="A35" s="456" t="s">
        <v>226</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v>
      </c>
      <c r="AH35" s="464">
        <f t="shared" si="1"/>
        <v>0</v>
      </c>
    </row>
    <row r="36" spans="1:34">
      <c r="A36" s="456" t="s">
        <v>227</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0"/>
        <v>0</v>
      </c>
      <c r="AH36" s="464">
        <f t="shared" si="1"/>
        <v>0</v>
      </c>
    </row>
    <row r="37" spans="1:34">
      <c r="A37" s="456" t="s">
        <v>377</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64">
        <f>+AG37/$AG$39</f>
        <v>0</v>
      </c>
    </row>
    <row r="38" spans="1:34">
      <c r="A38" s="482" t="s">
        <v>281</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83">
        <f>+AG39/Efficiency1!$K$164</f>
        <v>0.27864501116787366</v>
      </c>
    </row>
    <row r="39" spans="1:34">
      <c r="A39" s="456" t="s">
        <v>3</v>
      </c>
      <c r="B39" s="5">
        <f t="shared" ref="B39:AF39" si="2">SUM(B3:B37)</f>
        <v>430.19600000000003</v>
      </c>
      <c r="C39" s="5">
        <f t="shared" si="2"/>
        <v>4.931</v>
      </c>
      <c r="D39" s="5">
        <f t="shared" si="2"/>
        <v>5.8000000000000007</v>
      </c>
      <c r="E39" s="5">
        <f t="shared" si="2"/>
        <v>6.1690000000000005</v>
      </c>
      <c r="F39" s="5">
        <f t="shared" si="2"/>
        <v>5.3520000000000003</v>
      </c>
      <c r="G39" s="5">
        <f t="shared" si="2"/>
        <v>4.5229999999999997</v>
      </c>
      <c r="H39" s="5">
        <f t="shared" si="2"/>
        <v>7.152000000000001</v>
      </c>
      <c r="I39" s="5">
        <f t="shared" si="2"/>
        <v>5.9909999999999997</v>
      </c>
      <c r="J39" s="5">
        <f t="shared" si="2"/>
        <v>5.0780000000000003</v>
      </c>
      <c r="K39" s="5">
        <f t="shared" si="2"/>
        <v>5.2720000000000002</v>
      </c>
      <c r="L39" s="5">
        <f t="shared" si="2"/>
        <v>5.1459999999999999</v>
      </c>
      <c r="M39" s="5">
        <f t="shared" si="2"/>
        <v>5.0490000000000004</v>
      </c>
      <c r="N39" s="5">
        <f t="shared" si="2"/>
        <v>13.908000000000001</v>
      </c>
      <c r="O39" s="6">
        <f t="shared" si="2"/>
        <v>6.3260000000000005</v>
      </c>
      <c r="P39" s="5">
        <f t="shared" si="2"/>
        <v>5.1759999999999993</v>
      </c>
      <c r="Q39" s="5">
        <f t="shared" si="2"/>
        <v>5.1070000000000002</v>
      </c>
      <c r="R39" s="5">
        <f t="shared" si="2"/>
        <v>5.2429999999999994</v>
      </c>
      <c r="S39" s="5">
        <f t="shared" si="2"/>
        <v>5.7590000000000003</v>
      </c>
      <c r="T39" s="5">
        <f t="shared" si="2"/>
        <v>5.7139999999999995</v>
      </c>
      <c r="U39" s="5">
        <f t="shared" si="2"/>
        <v>6.3920000000000003</v>
      </c>
      <c r="V39" s="5">
        <f t="shared" si="2"/>
        <v>6.2789999999999999</v>
      </c>
      <c r="W39" s="5">
        <f t="shared" si="2"/>
        <v>5.0070000000000006</v>
      </c>
      <c r="X39" s="5">
        <f t="shared" si="2"/>
        <v>5.319</v>
      </c>
      <c r="Y39" s="5">
        <f t="shared" si="2"/>
        <v>4.9290000000000003</v>
      </c>
      <c r="Z39" s="5">
        <f t="shared" si="2"/>
        <v>4.2850000000000001</v>
      </c>
      <c r="AA39" s="5">
        <f t="shared" si="2"/>
        <v>3.9970000000000003</v>
      </c>
      <c r="AB39" s="5">
        <f t="shared" si="2"/>
        <v>3.0629999999999997</v>
      </c>
      <c r="AC39" s="5">
        <f t="shared" si="2"/>
        <v>1.671</v>
      </c>
      <c r="AD39" s="5">
        <f t="shared" si="2"/>
        <v>1.9000000000000001</v>
      </c>
      <c r="AE39" s="5">
        <f t="shared" si="2"/>
        <v>3.819</v>
      </c>
      <c r="AF39" s="5">
        <f t="shared" si="2"/>
        <v>0</v>
      </c>
      <c r="AG39" s="18">
        <f>SUM(AG6:AG38)</f>
        <v>456.24999999999989</v>
      </c>
      <c r="AH39" s="466">
        <f>SUM(AH6:AH37)</f>
        <v>1</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0"/>
  <sheetViews>
    <sheetView topLeftCell="E127" workbookViewId="0">
      <selection activeCell="M149" sqref="M149:Q162"/>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57" t="s">
        <v>384</v>
      </c>
      <c r="B1" s="468" t="s">
        <v>9</v>
      </c>
      <c r="C1" s="469" t="s">
        <v>260</v>
      </c>
      <c r="D1" s="470" t="s">
        <v>141</v>
      </c>
      <c r="E1" s="470" t="s">
        <v>261</v>
      </c>
      <c r="F1" s="470" t="s">
        <v>262</v>
      </c>
      <c r="H1" s="467" t="s">
        <v>263</v>
      </c>
      <c r="I1" s="461" t="s">
        <v>264</v>
      </c>
      <c r="J1" s="461" t="s">
        <v>265</v>
      </c>
      <c r="L1" s="457" t="s">
        <v>364</v>
      </c>
      <c r="M1" s="468" t="s">
        <v>9</v>
      </c>
      <c r="N1" s="469" t="s">
        <v>260</v>
      </c>
      <c r="O1" s="470" t="s">
        <v>141</v>
      </c>
      <c r="P1" s="470" t="s">
        <v>261</v>
      </c>
      <c r="Q1" s="470" t="s">
        <v>262</v>
      </c>
      <c r="S1" s="533" t="s">
        <v>263</v>
      </c>
      <c r="T1" s="461" t="s">
        <v>264</v>
      </c>
      <c r="U1" s="461" t="s">
        <v>265</v>
      </c>
    </row>
    <row r="2" spans="1:21">
      <c r="B2" s="367">
        <v>45962</v>
      </c>
      <c r="C2" s="3">
        <v>0</v>
      </c>
      <c r="D2" s="484" t="s">
        <v>390</v>
      </c>
      <c r="E2" t="s">
        <v>251</v>
      </c>
      <c r="F2" t="s">
        <v>249</v>
      </c>
      <c r="H2" s="5" t="s">
        <v>160</v>
      </c>
      <c r="I2" s="347">
        <f>+Efficiency1!Z164</f>
        <v>3.992016282460769</v>
      </c>
      <c r="J2" s="471">
        <f>I2/$I$8</f>
        <v>2.4380392802380597E-3</v>
      </c>
      <c r="M2" s="367">
        <v>45962</v>
      </c>
      <c r="N2" s="3">
        <v>0</v>
      </c>
      <c r="O2" s="484" t="s">
        <v>390</v>
      </c>
      <c r="P2" t="s">
        <v>251</v>
      </c>
      <c r="Q2" t="s">
        <v>249</v>
      </c>
      <c r="S2" s="5" t="s">
        <v>160</v>
      </c>
      <c r="T2" s="347">
        <f>+Efficiency2!Z164</f>
        <v>3.992016282460769</v>
      </c>
      <c r="U2" s="471">
        <f>T2/$T$8</f>
        <v>2.4380392802380597E-3</v>
      </c>
    </row>
    <row r="3" spans="1:21">
      <c r="B3" s="367"/>
      <c r="C3" s="3">
        <v>10</v>
      </c>
      <c r="D3" s="484" t="s">
        <v>435</v>
      </c>
      <c r="E3" t="s">
        <v>250</v>
      </c>
      <c r="F3" t="s">
        <v>249</v>
      </c>
      <c r="H3" s="5" t="s">
        <v>243</v>
      </c>
      <c r="I3" s="347">
        <f>+Efficiency1!Y164+Efficiency1!AA164</f>
        <v>11.7301249191433</v>
      </c>
      <c r="J3" s="471">
        <f>I3/$I$8</f>
        <v>7.1639250171950438E-3</v>
      </c>
      <c r="M3" s="367"/>
      <c r="N3" s="3">
        <v>10</v>
      </c>
      <c r="O3" s="484" t="s">
        <v>435</v>
      </c>
      <c r="P3" t="s">
        <v>250</v>
      </c>
      <c r="Q3" t="s">
        <v>249</v>
      </c>
      <c r="S3" s="5" t="s">
        <v>243</v>
      </c>
      <c r="T3" s="347">
        <f>+Efficiency2!Y164+Efficiency2!AA164</f>
        <v>11.7301249191433</v>
      </c>
      <c r="U3" s="471">
        <f t="shared" ref="U3:U5" si="0">T3/$T$8</f>
        <v>7.1639250171950438E-3</v>
      </c>
    </row>
    <row r="4" spans="1:21">
      <c r="B4" s="41"/>
      <c r="C4" s="3">
        <v>23</v>
      </c>
      <c r="D4" t="s">
        <v>436</v>
      </c>
      <c r="E4" t="s">
        <v>366</v>
      </c>
      <c r="F4" t="s">
        <v>249</v>
      </c>
      <c r="H4" s="5" t="s">
        <v>266</v>
      </c>
      <c r="I4" s="347">
        <f>+Efficiency1!AB164</f>
        <v>-5.1726851703462717</v>
      </c>
      <c r="J4" s="471">
        <f>I4/$I$8</f>
        <v>-3.1591077634170557E-3</v>
      </c>
      <c r="M4" s="41"/>
      <c r="N4" s="3">
        <v>23</v>
      </c>
      <c r="O4" t="s">
        <v>436</v>
      </c>
      <c r="P4" t="s">
        <v>366</v>
      </c>
      <c r="Q4" t="s">
        <v>249</v>
      </c>
      <c r="S4" s="5" t="s">
        <v>266</v>
      </c>
      <c r="T4" s="347">
        <f>+Efficiency2!AB164</f>
        <v>-5.1726851703462717</v>
      </c>
      <c r="U4" s="471">
        <f t="shared" si="0"/>
        <v>-3.1591077634170557E-3</v>
      </c>
    </row>
    <row r="5" spans="1:21">
      <c r="B5" s="367"/>
      <c r="C5" s="3">
        <v>15</v>
      </c>
      <c r="D5" s="484" t="s">
        <v>228</v>
      </c>
      <c r="E5" t="s">
        <v>14</v>
      </c>
      <c r="F5" t="s">
        <v>249</v>
      </c>
      <c r="H5" s="5" t="s">
        <v>246</v>
      </c>
      <c r="I5" s="347">
        <f>+Efficiency1!AC164</f>
        <v>53.036039353612985</v>
      </c>
      <c r="J5" s="471">
        <f>I5/$I$8</f>
        <v>3.2390636225725543E-2</v>
      </c>
      <c r="M5" s="367"/>
      <c r="N5" s="3">
        <v>15</v>
      </c>
      <c r="O5" s="484" t="s">
        <v>228</v>
      </c>
      <c r="P5" t="s">
        <v>14</v>
      </c>
      <c r="Q5" t="s">
        <v>249</v>
      </c>
      <c r="S5" s="5" t="s">
        <v>246</v>
      </c>
      <c r="T5" s="347">
        <f>+Efficiency2!AC164</f>
        <v>53.036039353612985</v>
      </c>
      <c r="U5" s="471">
        <f t="shared" si="0"/>
        <v>3.2390636225725543E-2</v>
      </c>
    </row>
    <row r="6" spans="1:21">
      <c r="B6" s="367"/>
      <c r="C6" s="3">
        <v>140</v>
      </c>
      <c r="D6" t="s">
        <v>437</v>
      </c>
      <c r="E6" t="s">
        <v>688</v>
      </c>
      <c r="F6" t="s">
        <v>247</v>
      </c>
      <c r="M6" s="367"/>
      <c r="N6" s="3">
        <v>140</v>
      </c>
      <c r="O6" t="s">
        <v>437</v>
      </c>
      <c r="P6" t="s">
        <v>688</v>
      </c>
      <c r="Q6" t="s">
        <v>247</v>
      </c>
    </row>
    <row r="7" spans="1:21">
      <c r="B7" s="367"/>
      <c r="C7" s="3"/>
      <c r="D7" s="484"/>
      <c r="M7" s="367"/>
      <c r="N7" s="3"/>
      <c r="O7" s="484"/>
    </row>
    <row r="8" spans="1:21">
      <c r="B8" s="367">
        <v>45963</v>
      </c>
      <c r="C8" s="3">
        <v>0</v>
      </c>
      <c r="D8" s="484" t="s">
        <v>390</v>
      </c>
      <c r="E8" t="s">
        <v>251</v>
      </c>
      <c r="F8" t="s">
        <v>249</v>
      </c>
      <c r="H8" s="472" t="s">
        <v>267</v>
      </c>
      <c r="I8" s="6">
        <f>+Efficiency1!K164</f>
        <v>1637.3880088063934</v>
      </c>
      <c r="M8" s="367">
        <v>45963</v>
      </c>
      <c r="N8" s="3">
        <v>0</v>
      </c>
      <c r="O8" s="484" t="s">
        <v>390</v>
      </c>
      <c r="P8" t="s">
        <v>251</v>
      </c>
      <c r="Q8" t="s">
        <v>249</v>
      </c>
      <c r="S8" s="472" t="s">
        <v>267</v>
      </c>
      <c r="T8" s="6">
        <f>+Efficiency2!K164</f>
        <v>1637.3880088063934</v>
      </c>
    </row>
    <row r="9" spans="1:21">
      <c r="B9" s="41"/>
      <c r="C9" s="3">
        <v>12</v>
      </c>
      <c r="D9" t="s">
        <v>438</v>
      </c>
      <c r="E9" t="s">
        <v>250</v>
      </c>
      <c r="F9" t="s">
        <v>249</v>
      </c>
      <c r="H9" s="472" t="s">
        <v>268</v>
      </c>
      <c r="I9" s="6">
        <f>+Efficiency1!AD164</f>
        <v>2807</v>
      </c>
      <c r="M9" s="41"/>
      <c r="N9" s="3">
        <v>12</v>
      </c>
      <c r="O9" t="s">
        <v>438</v>
      </c>
      <c r="P9" t="s">
        <v>250</v>
      </c>
      <c r="Q9" t="s">
        <v>249</v>
      </c>
      <c r="S9" s="472" t="s">
        <v>268</v>
      </c>
      <c r="T9" s="6">
        <f>+Efficiency2!AD164</f>
        <v>2807</v>
      </c>
    </row>
    <row r="10" spans="1:21">
      <c r="B10" s="367"/>
      <c r="C10" s="3">
        <v>23</v>
      </c>
      <c r="D10" s="484" t="s">
        <v>436</v>
      </c>
      <c r="E10" t="s">
        <v>366</v>
      </c>
      <c r="F10" t="s">
        <v>249</v>
      </c>
      <c r="H10" s="472" t="s">
        <v>269</v>
      </c>
      <c r="I10" s="6">
        <f>+Efficiency1!V164</f>
        <v>105.53951342152212</v>
      </c>
      <c r="M10" s="367"/>
      <c r="N10" s="3">
        <v>23</v>
      </c>
      <c r="O10" s="484" t="s">
        <v>436</v>
      </c>
      <c r="P10" t="s">
        <v>366</v>
      </c>
      <c r="Q10" t="s">
        <v>249</v>
      </c>
      <c r="S10" s="472" t="s">
        <v>269</v>
      </c>
      <c r="T10" s="6">
        <f>+Efficiency2!V164</f>
        <v>105.53951342152212</v>
      </c>
    </row>
    <row r="11" spans="1:21">
      <c r="B11" s="367"/>
      <c r="C11" s="3">
        <v>10</v>
      </c>
      <c r="D11" t="s">
        <v>228</v>
      </c>
      <c r="E11" t="s">
        <v>14</v>
      </c>
      <c r="F11" t="s">
        <v>249</v>
      </c>
      <c r="G11" s="510"/>
      <c r="H11" s="472" t="s">
        <v>270</v>
      </c>
      <c r="I11" s="464">
        <f>I10/I8</f>
        <v>6.4456019498064634E-2</v>
      </c>
      <c r="M11" s="367"/>
      <c r="N11" s="3">
        <v>10</v>
      </c>
      <c r="O11" t="s">
        <v>228</v>
      </c>
      <c r="P11" t="s">
        <v>14</v>
      </c>
      <c r="Q11" t="s">
        <v>249</v>
      </c>
      <c r="R11" s="510"/>
      <c r="S11" s="472" t="s">
        <v>270</v>
      </c>
      <c r="T11" s="464">
        <f>T10/T8</f>
        <v>6.4456019498064634E-2</v>
      </c>
    </row>
    <row r="12" spans="1:21" ht="12.75" customHeight="1">
      <c r="B12" s="367"/>
      <c r="C12" s="3"/>
      <c r="D12" s="484"/>
      <c r="M12" s="367"/>
      <c r="N12" s="3"/>
      <c r="O12" s="484"/>
    </row>
    <row r="13" spans="1:21" ht="12.75" customHeight="1">
      <c r="B13" s="367">
        <v>45964</v>
      </c>
      <c r="C13" s="3">
        <v>0</v>
      </c>
      <c r="D13" s="484" t="s">
        <v>390</v>
      </c>
      <c r="E13" t="s">
        <v>251</v>
      </c>
      <c r="F13" t="s">
        <v>249</v>
      </c>
      <c r="M13" s="367">
        <v>45964</v>
      </c>
      <c r="N13" s="3">
        <v>0</v>
      </c>
      <c r="O13" s="484" t="s">
        <v>390</v>
      </c>
      <c r="P13" t="s">
        <v>251</v>
      </c>
      <c r="Q13" t="s">
        <v>249</v>
      </c>
    </row>
    <row r="14" spans="1:21" ht="12.75" customHeight="1">
      <c r="B14" s="41"/>
      <c r="C14" s="3">
        <v>13</v>
      </c>
      <c r="D14" t="s">
        <v>465</v>
      </c>
      <c r="E14" t="s">
        <v>250</v>
      </c>
      <c r="F14" t="s">
        <v>249</v>
      </c>
      <c r="M14" s="41"/>
      <c r="N14" s="3">
        <v>13</v>
      </c>
      <c r="O14" t="s">
        <v>465</v>
      </c>
      <c r="P14" t="s">
        <v>250</v>
      </c>
      <c r="Q14" t="s">
        <v>249</v>
      </c>
      <c r="R14" s="510">
        <f>+summary!Q42</f>
        <v>0.99999999999999967</v>
      </c>
    </row>
    <row r="15" spans="1:21" ht="12.75" customHeight="1">
      <c r="B15" s="367"/>
      <c r="C15" s="3">
        <v>22</v>
      </c>
      <c r="D15" s="484" t="s">
        <v>436</v>
      </c>
      <c r="E15" t="s">
        <v>366</v>
      </c>
      <c r="F15" t="s">
        <v>249</v>
      </c>
      <c r="G15" s="510">
        <f>+summary!H42</f>
        <v>0.99999999999999967</v>
      </c>
      <c r="M15" s="367"/>
      <c r="N15" s="3">
        <v>22</v>
      </c>
      <c r="O15" s="484" t="s">
        <v>436</v>
      </c>
      <c r="P15" t="s">
        <v>366</v>
      </c>
      <c r="Q15" t="s">
        <v>249</v>
      </c>
    </row>
    <row r="16" spans="1:21" ht="12.75" customHeight="1">
      <c r="B16" s="41"/>
      <c r="C16" s="3">
        <v>23</v>
      </c>
      <c r="D16" t="s">
        <v>228</v>
      </c>
      <c r="E16" t="s">
        <v>14</v>
      </c>
      <c r="F16" t="s">
        <v>249</v>
      </c>
      <c r="M16" s="41"/>
      <c r="N16" s="3">
        <v>23</v>
      </c>
      <c r="O16" t="s">
        <v>228</v>
      </c>
      <c r="P16" t="s">
        <v>14</v>
      </c>
      <c r="Q16" t="s">
        <v>249</v>
      </c>
    </row>
    <row r="17" spans="2:17" ht="12.75" customHeight="1">
      <c r="B17" s="367"/>
      <c r="C17" s="3"/>
      <c r="D17" s="484"/>
      <c r="M17" s="367"/>
      <c r="N17" s="3"/>
      <c r="O17" s="484"/>
    </row>
    <row r="18" spans="2:17" ht="12.75" customHeight="1">
      <c r="B18" s="367">
        <v>45965</v>
      </c>
      <c r="C18" s="3">
        <v>0</v>
      </c>
      <c r="D18" s="484" t="s">
        <v>390</v>
      </c>
      <c r="E18" t="s">
        <v>251</v>
      </c>
      <c r="F18" t="s">
        <v>249</v>
      </c>
      <c r="M18" s="367">
        <v>45965</v>
      </c>
      <c r="N18" s="3">
        <v>0</v>
      </c>
      <c r="O18" s="484" t="s">
        <v>390</v>
      </c>
      <c r="P18" t="s">
        <v>251</v>
      </c>
      <c r="Q18" t="s">
        <v>249</v>
      </c>
    </row>
    <row r="19" spans="2:17" ht="12.75" customHeight="1">
      <c r="B19" s="41"/>
      <c r="C19" s="3">
        <v>12</v>
      </c>
      <c r="D19" t="s">
        <v>477</v>
      </c>
      <c r="E19" t="s">
        <v>250</v>
      </c>
      <c r="F19" t="s">
        <v>249</v>
      </c>
      <c r="M19" s="41"/>
      <c r="N19" s="3">
        <v>12</v>
      </c>
      <c r="O19" t="s">
        <v>477</v>
      </c>
      <c r="P19" t="s">
        <v>250</v>
      </c>
      <c r="Q19" t="s">
        <v>249</v>
      </c>
    </row>
    <row r="20" spans="2:17" ht="12.75" customHeight="1">
      <c r="B20" s="367"/>
      <c r="C20" s="3">
        <v>22</v>
      </c>
      <c r="D20" s="484" t="s">
        <v>478</v>
      </c>
      <c r="E20" t="s">
        <v>366</v>
      </c>
      <c r="F20" t="s">
        <v>249</v>
      </c>
      <c r="M20" s="367"/>
      <c r="N20" s="3">
        <v>22</v>
      </c>
      <c r="O20" s="484" t="s">
        <v>478</v>
      </c>
      <c r="P20" t="s">
        <v>366</v>
      </c>
      <c r="Q20" t="s">
        <v>249</v>
      </c>
    </row>
    <row r="21" spans="2:17">
      <c r="B21" s="367"/>
      <c r="C21" s="3">
        <v>23</v>
      </c>
      <c r="D21" t="s">
        <v>228</v>
      </c>
      <c r="E21" t="s">
        <v>14</v>
      </c>
      <c r="F21" t="s">
        <v>249</v>
      </c>
      <c r="M21" s="367"/>
      <c r="N21" s="3">
        <v>23</v>
      </c>
      <c r="O21" t="s">
        <v>228</v>
      </c>
      <c r="P21" t="s">
        <v>14</v>
      </c>
      <c r="Q21" t="s">
        <v>249</v>
      </c>
    </row>
    <row r="22" spans="2:17">
      <c r="B22" s="367"/>
      <c r="C22" s="3"/>
      <c r="D22" s="484"/>
      <c r="M22" s="367"/>
      <c r="N22" s="3"/>
      <c r="O22" s="484"/>
    </row>
    <row r="23" spans="2:17">
      <c r="B23" s="367">
        <v>45966</v>
      </c>
      <c r="C23" s="3">
        <v>0</v>
      </c>
      <c r="D23" s="484" t="s">
        <v>390</v>
      </c>
      <c r="E23" t="s">
        <v>251</v>
      </c>
      <c r="F23" t="s">
        <v>249</v>
      </c>
      <c r="M23" s="367">
        <v>45966</v>
      </c>
      <c r="N23" s="3">
        <v>0</v>
      </c>
      <c r="O23" s="484" t="s">
        <v>390</v>
      </c>
      <c r="P23" t="s">
        <v>251</v>
      </c>
      <c r="Q23" t="s">
        <v>249</v>
      </c>
    </row>
    <row r="24" spans="2:17">
      <c r="B24" s="41"/>
      <c r="C24" s="3">
        <v>7</v>
      </c>
      <c r="D24" t="s">
        <v>398</v>
      </c>
      <c r="E24" t="s">
        <v>250</v>
      </c>
      <c r="F24" t="s">
        <v>249</v>
      </c>
      <c r="M24" s="41"/>
      <c r="N24" s="3">
        <v>7</v>
      </c>
      <c r="O24" t="s">
        <v>398</v>
      </c>
      <c r="P24" t="s">
        <v>250</v>
      </c>
      <c r="Q24" t="s">
        <v>249</v>
      </c>
    </row>
    <row r="25" spans="2:17">
      <c r="B25" s="367"/>
      <c r="C25" s="3">
        <v>18</v>
      </c>
      <c r="D25" s="484" t="s">
        <v>499</v>
      </c>
      <c r="E25" t="s">
        <v>366</v>
      </c>
      <c r="F25" t="s">
        <v>249</v>
      </c>
      <c r="M25" s="367"/>
      <c r="N25" s="3">
        <v>18</v>
      </c>
      <c r="O25" s="484" t="s">
        <v>499</v>
      </c>
      <c r="P25" t="s">
        <v>366</v>
      </c>
      <c r="Q25" t="s">
        <v>249</v>
      </c>
    </row>
    <row r="26" spans="2:17">
      <c r="B26" s="41"/>
      <c r="C26" s="3">
        <v>23</v>
      </c>
      <c r="D26" t="s">
        <v>228</v>
      </c>
      <c r="E26" t="s">
        <v>14</v>
      </c>
      <c r="F26" t="s">
        <v>249</v>
      </c>
      <c r="M26" s="41"/>
      <c r="N26" s="3">
        <v>23</v>
      </c>
      <c r="O26" t="s">
        <v>228</v>
      </c>
      <c r="P26" t="s">
        <v>14</v>
      </c>
      <c r="Q26" t="s">
        <v>249</v>
      </c>
    </row>
    <row r="27" spans="2:17">
      <c r="B27" s="367"/>
      <c r="C27" s="3">
        <v>609</v>
      </c>
      <c r="D27" t="s">
        <v>498</v>
      </c>
      <c r="E27" t="s">
        <v>689</v>
      </c>
      <c r="F27" t="s">
        <v>257</v>
      </c>
      <c r="M27" s="367"/>
      <c r="N27" s="3">
        <v>609</v>
      </c>
      <c r="O27" t="s">
        <v>498</v>
      </c>
      <c r="P27" t="s">
        <v>689</v>
      </c>
      <c r="Q27" t="s">
        <v>257</v>
      </c>
    </row>
    <row r="28" spans="2:17">
      <c r="B28" s="367"/>
      <c r="C28" s="3"/>
      <c r="M28" s="367"/>
      <c r="N28" s="3"/>
    </row>
    <row r="29" spans="2:17">
      <c r="B29" s="367">
        <v>45967</v>
      </c>
      <c r="C29" s="3">
        <v>0</v>
      </c>
      <c r="D29" t="s">
        <v>390</v>
      </c>
      <c r="E29" t="s">
        <v>251</v>
      </c>
      <c r="F29" t="s">
        <v>249</v>
      </c>
      <c r="M29" s="367">
        <v>45967</v>
      </c>
      <c r="N29" s="3">
        <v>0</v>
      </c>
      <c r="O29" t="s">
        <v>390</v>
      </c>
      <c r="P29" t="s">
        <v>251</v>
      </c>
      <c r="Q29" t="s">
        <v>249</v>
      </c>
    </row>
    <row r="30" spans="2:17">
      <c r="B30" s="41"/>
      <c r="C30" s="3">
        <v>7</v>
      </c>
      <c r="D30" t="s">
        <v>398</v>
      </c>
      <c r="E30" t="s">
        <v>250</v>
      </c>
      <c r="F30" t="s">
        <v>249</v>
      </c>
      <c r="M30" s="41"/>
      <c r="N30" s="3">
        <v>7</v>
      </c>
      <c r="O30" t="s">
        <v>398</v>
      </c>
      <c r="P30" t="s">
        <v>250</v>
      </c>
      <c r="Q30" t="s">
        <v>249</v>
      </c>
    </row>
    <row r="31" spans="2:17">
      <c r="B31" s="367"/>
      <c r="C31" s="3">
        <v>13</v>
      </c>
      <c r="D31" t="s">
        <v>513</v>
      </c>
      <c r="E31" t="s">
        <v>366</v>
      </c>
      <c r="F31" t="s">
        <v>249</v>
      </c>
      <c r="M31" s="367"/>
      <c r="N31" s="3">
        <v>13</v>
      </c>
      <c r="O31" t="s">
        <v>513</v>
      </c>
      <c r="P31" t="s">
        <v>366</v>
      </c>
      <c r="Q31" t="s">
        <v>249</v>
      </c>
    </row>
    <row r="32" spans="2:17" ht="12.75" customHeight="1">
      <c r="B32" s="367"/>
      <c r="C32" s="3">
        <v>18</v>
      </c>
      <c r="D32" t="s">
        <v>228</v>
      </c>
      <c r="E32" t="s">
        <v>14</v>
      </c>
      <c r="F32" t="s">
        <v>249</v>
      </c>
      <c r="M32" s="367"/>
      <c r="N32" s="3">
        <v>18</v>
      </c>
      <c r="O32" t="s">
        <v>228</v>
      </c>
      <c r="P32" t="s">
        <v>14</v>
      </c>
      <c r="Q32" t="s">
        <v>249</v>
      </c>
    </row>
    <row r="33" spans="2:17" ht="12.75" customHeight="1">
      <c r="B33" s="367"/>
      <c r="C33" s="3"/>
      <c r="M33" s="367"/>
      <c r="N33" s="3"/>
    </row>
    <row r="34" spans="2:17">
      <c r="B34" s="367">
        <v>45968</v>
      </c>
      <c r="C34" s="3">
        <v>0</v>
      </c>
      <c r="D34" t="s">
        <v>390</v>
      </c>
      <c r="E34" t="s">
        <v>251</v>
      </c>
      <c r="F34" t="s">
        <v>249</v>
      </c>
      <c r="M34" s="367">
        <v>45968</v>
      </c>
      <c r="N34" s="3">
        <v>0</v>
      </c>
      <c r="O34" t="s">
        <v>390</v>
      </c>
      <c r="P34" t="s">
        <v>251</v>
      </c>
      <c r="Q34" t="s">
        <v>249</v>
      </c>
    </row>
    <row r="35" spans="2:17">
      <c r="B35" s="41"/>
      <c r="C35" s="3">
        <v>9</v>
      </c>
      <c r="D35" t="s">
        <v>525</v>
      </c>
      <c r="E35" t="s">
        <v>250</v>
      </c>
      <c r="F35" t="s">
        <v>249</v>
      </c>
      <c r="M35" s="41"/>
      <c r="N35" s="3">
        <v>9</v>
      </c>
      <c r="O35" t="s">
        <v>525</v>
      </c>
      <c r="P35" t="s">
        <v>250</v>
      </c>
      <c r="Q35" t="s">
        <v>249</v>
      </c>
    </row>
    <row r="36" spans="2:17">
      <c r="B36" s="367"/>
      <c r="C36" s="3">
        <v>19</v>
      </c>
      <c r="D36" t="s">
        <v>526</v>
      </c>
      <c r="E36" t="s">
        <v>366</v>
      </c>
      <c r="F36" t="s">
        <v>249</v>
      </c>
      <c r="M36" s="367"/>
      <c r="N36" s="3">
        <v>19</v>
      </c>
      <c r="O36" t="s">
        <v>526</v>
      </c>
      <c r="P36" t="s">
        <v>366</v>
      </c>
      <c r="Q36" t="s">
        <v>249</v>
      </c>
    </row>
    <row r="37" spans="2:17">
      <c r="B37" s="41"/>
      <c r="C37" s="3">
        <v>8</v>
      </c>
      <c r="D37" t="s">
        <v>228</v>
      </c>
      <c r="E37" t="s">
        <v>14</v>
      </c>
      <c r="F37" t="s">
        <v>249</v>
      </c>
      <c r="M37" s="41"/>
      <c r="N37" s="3">
        <v>8</v>
      </c>
      <c r="O37" t="s">
        <v>228</v>
      </c>
      <c r="P37" t="s">
        <v>14</v>
      </c>
      <c r="Q37" t="s">
        <v>249</v>
      </c>
    </row>
    <row r="38" spans="2:17">
      <c r="B38" s="367"/>
      <c r="C38" s="3"/>
      <c r="M38" s="367"/>
      <c r="N38" s="3"/>
    </row>
    <row r="39" spans="2:17">
      <c r="B39" s="367">
        <v>45938</v>
      </c>
      <c r="C39" s="3">
        <v>0</v>
      </c>
      <c r="D39" t="s">
        <v>390</v>
      </c>
      <c r="E39" t="s">
        <v>251</v>
      </c>
      <c r="F39" t="s">
        <v>249</v>
      </c>
      <c r="M39" s="367">
        <v>45938</v>
      </c>
      <c r="N39" s="3">
        <v>0</v>
      </c>
      <c r="O39" t="s">
        <v>390</v>
      </c>
      <c r="P39" t="s">
        <v>251</v>
      </c>
      <c r="Q39" t="s">
        <v>249</v>
      </c>
    </row>
    <row r="40" spans="2:17">
      <c r="B40" s="41"/>
      <c r="C40" s="3">
        <v>10</v>
      </c>
      <c r="D40" t="s">
        <v>525</v>
      </c>
      <c r="E40" t="s">
        <v>250</v>
      </c>
      <c r="F40" t="s">
        <v>249</v>
      </c>
      <c r="M40" s="41"/>
      <c r="N40" s="3">
        <v>10</v>
      </c>
      <c r="O40" t="s">
        <v>525</v>
      </c>
      <c r="P40" t="s">
        <v>250</v>
      </c>
      <c r="Q40" t="s">
        <v>249</v>
      </c>
    </row>
    <row r="41" spans="2:17">
      <c r="B41" s="367"/>
      <c r="C41" s="3">
        <v>25</v>
      </c>
      <c r="D41" t="s">
        <v>513</v>
      </c>
      <c r="E41" t="s">
        <v>366</v>
      </c>
      <c r="F41" t="s">
        <v>249</v>
      </c>
      <c r="M41" s="367"/>
      <c r="N41" s="3">
        <v>25</v>
      </c>
      <c r="O41" t="s">
        <v>513</v>
      </c>
      <c r="P41" t="s">
        <v>366</v>
      </c>
      <c r="Q41" t="s">
        <v>249</v>
      </c>
    </row>
    <row r="42" spans="2:17">
      <c r="B42" s="367"/>
      <c r="C42" s="3">
        <v>8</v>
      </c>
      <c r="D42" t="s">
        <v>228</v>
      </c>
      <c r="E42" t="s">
        <v>14</v>
      </c>
      <c r="F42" t="s">
        <v>249</v>
      </c>
      <c r="M42" s="367"/>
      <c r="N42" s="3">
        <v>8</v>
      </c>
      <c r="O42" t="s">
        <v>228</v>
      </c>
      <c r="P42" t="s">
        <v>14</v>
      </c>
      <c r="Q42" t="s">
        <v>249</v>
      </c>
    </row>
    <row r="43" spans="2:17">
      <c r="B43" s="41"/>
      <c r="C43" s="3"/>
      <c r="M43" s="41"/>
      <c r="N43" s="3"/>
    </row>
    <row r="44" spans="2:17">
      <c r="B44" s="367">
        <v>45939</v>
      </c>
      <c r="C44" s="3">
        <v>0</v>
      </c>
      <c r="D44" t="s">
        <v>390</v>
      </c>
      <c r="E44" t="s">
        <v>251</v>
      </c>
      <c r="F44" t="s">
        <v>249</v>
      </c>
      <c r="M44" s="367">
        <v>45939</v>
      </c>
      <c r="N44" s="3">
        <v>0</v>
      </c>
      <c r="O44" t="s">
        <v>390</v>
      </c>
      <c r="P44" t="s">
        <v>251</v>
      </c>
      <c r="Q44" t="s">
        <v>249</v>
      </c>
    </row>
    <row r="45" spans="2:17">
      <c r="B45" s="367"/>
      <c r="C45" s="3">
        <v>9</v>
      </c>
      <c r="D45" t="s">
        <v>435</v>
      </c>
      <c r="E45" t="s">
        <v>250</v>
      </c>
      <c r="F45" t="s">
        <v>249</v>
      </c>
      <c r="M45" s="367"/>
      <c r="N45" s="3">
        <v>9</v>
      </c>
      <c r="O45" t="s">
        <v>435</v>
      </c>
      <c r="P45" t="s">
        <v>250</v>
      </c>
      <c r="Q45" t="s">
        <v>249</v>
      </c>
    </row>
    <row r="46" spans="2:17">
      <c r="B46" s="367"/>
      <c r="C46" s="3">
        <v>18</v>
      </c>
      <c r="D46" t="s">
        <v>552</v>
      </c>
      <c r="E46" t="s">
        <v>366</v>
      </c>
      <c r="F46" t="s">
        <v>249</v>
      </c>
      <c r="M46" s="367"/>
      <c r="N46" s="3">
        <v>18</v>
      </c>
      <c r="O46" t="s">
        <v>552</v>
      </c>
      <c r="P46" t="s">
        <v>366</v>
      </c>
      <c r="Q46" t="s">
        <v>249</v>
      </c>
    </row>
    <row r="47" spans="2:17">
      <c r="B47" s="41"/>
      <c r="C47" s="3">
        <v>10</v>
      </c>
      <c r="D47" t="s">
        <v>228</v>
      </c>
      <c r="E47" t="s">
        <v>14</v>
      </c>
      <c r="F47" t="s">
        <v>249</v>
      </c>
      <c r="M47" s="41"/>
      <c r="N47" s="3">
        <v>10</v>
      </c>
      <c r="O47" t="s">
        <v>228</v>
      </c>
      <c r="P47" t="s">
        <v>14</v>
      </c>
      <c r="Q47" t="s">
        <v>249</v>
      </c>
    </row>
    <row r="48" spans="2:17">
      <c r="B48" s="367"/>
      <c r="C48" s="3"/>
      <c r="M48" s="367"/>
      <c r="N48" s="3"/>
    </row>
    <row r="49" spans="2:17">
      <c r="B49" s="367">
        <v>45971</v>
      </c>
      <c r="C49" s="3">
        <v>0</v>
      </c>
      <c r="D49" t="s">
        <v>390</v>
      </c>
      <c r="E49" t="s">
        <v>251</v>
      </c>
      <c r="F49" t="s">
        <v>249</v>
      </c>
      <c r="M49" s="367">
        <v>45971</v>
      </c>
      <c r="N49" s="3">
        <v>0</v>
      </c>
      <c r="O49" t="s">
        <v>390</v>
      </c>
      <c r="P49" t="s">
        <v>251</v>
      </c>
      <c r="Q49" t="s">
        <v>249</v>
      </c>
    </row>
    <row r="50" spans="2:17">
      <c r="B50" s="41"/>
      <c r="C50" s="3">
        <v>11</v>
      </c>
      <c r="D50" t="s">
        <v>435</v>
      </c>
      <c r="E50" t="s">
        <v>250</v>
      </c>
      <c r="F50" t="s">
        <v>249</v>
      </c>
      <c r="M50" s="41"/>
      <c r="N50" s="3">
        <v>11</v>
      </c>
      <c r="O50" t="s">
        <v>435</v>
      </c>
      <c r="P50" t="s">
        <v>250</v>
      </c>
      <c r="Q50" t="s">
        <v>249</v>
      </c>
    </row>
    <row r="51" spans="2:17">
      <c r="B51" s="367"/>
      <c r="C51" s="3">
        <v>19</v>
      </c>
      <c r="D51" t="s">
        <v>566</v>
      </c>
      <c r="E51" t="s">
        <v>366</v>
      </c>
      <c r="F51" t="s">
        <v>249</v>
      </c>
      <c r="M51" s="367"/>
      <c r="N51" s="3">
        <v>19</v>
      </c>
      <c r="O51" t="s">
        <v>566</v>
      </c>
      <c r="P51" t="s">
        <v>366</v>
      </c>
      <c r="Q51" t="s">
        <v>249</v>
      </c>
    </row>
    <row r="52" spans="2:17">
      <c r="B52" s="367"/>
      <c r="C52" s="3">
        <v>10</v>
      </c>
      <c r="D52" t="s">
        <v>228</v>
      </c>
      <c r="E52" t="s">
        <v>14</v>
      </c>
      <c r="F52" t="s">
        <v>249</v>
      </c>
      <c r="M52" s="367"/>
      <c r="N52" s="3">
        <v>10</v>
      </c>
      <c r="O52" t="s">
        <v>228</v>
      </c>
      <c r="P52" t="s">
        <v>14</v>
      </c>
      <c r="Q52" t="s">
        <v>249</v>
      </c>
    </row>
    <row r="53" spans="2:17">
      <c r="B53" s="41"/>
      <c r="C53" s="3"/>
      <c r="M53" s="41"/>
      <c r="N53" s="3"/>
    </row>
    <row r="54" spans="2:17">
      <c r="B54" s="367">
        <v>45972</v>
      </c>
      <c r="C54" s="3">
        <v>0</v>
      </c>
      <c r="D54" t="s">
        <v>390</v>
      </c>
      <c r="E54" t="s">
        <v>251</v>
      </c>
      <c r="F54" t="s">
        <v>249</v>
      </c>
      <c r="M54" s="367">
        <v>45972</v>
      </c>
      <c r="N54" s="3">
        <v>0</v>
      </c>
      <c r="O54" t="s">
        <v>390</v>
      </c>
      <c r="P54" t="s">
        <v>251</v>
      </c>
      <c r="Q54" t="s">
        <v>249</v>
      </c>
    </row>
    <row r="55" spans="2:17">
      <c r="B55" s="367"/>
      <c r="C55" s="3">
        <v>12</v>
      </c>
      <c r="D55" t="s">
        <v>570</v>
      </c>
      <c r="E55" t="s">
        <v>250</v>
      </c>
      <c r="F55" t="s">
        <v>249</v>
      </c>
      <c r="M55" s="367"/>
      <c r="N55" s="3">
        <v>12</v>
      </c>
      <c r="O55" t="s">
        <v>570</v>
      </c>
      <c r="P55" t="s">
        <v>250</v>
      </c>
      <c r="Q55" t="s">
        <v>249</v>
      </c>
    </row>
    <row r="56" spans="2:17">
      <c r="B56" s="367"/>
      <c r="C56" s="3">
        <v>22</v>
      </c>
      <c r="D56" t="s">
        <v>571</v>
      </c>
      <c r="E56" t="s">
        <v>366</v>
      </c>
      <c r="F56" t="s">
        <v>249</v>
      </c>
      <c r="M56" s="367"/>
      <c r="N56" s="3">
        <v>22</v>
      </c>
      <c r="O56" t="s">
        <v>571</v>
      </c>
      <c r="P56" t="s">
        <v>366</v>
      </c>
      <c r="Q56" t="s">
        <v>249</v>
      </c>
    </row>
    <row r="57" spans="2:17">
      <c r="B57" s="41"/>
      <c r="C57" s="3">
        <v>18</v>
      </c>
      <c r="D57" t="s">
        <v>228</v>
      </c>
      <c r="E57" t="s">
        <v>14</v>
      </c>
      <c r="F57" t="s">
        <v>249</v>
      </c>
      <c r="M57" s="41"/>
      <c r="N57" s="3">
        <v>18</v>
      </c>
      <c r="O57" t="s">
        <v>228</v>
      </c>
      <c r="P57" t="s">
        <v>14</v>
      </c>
      <c r="Q57" t="s">
        <v>249</v>
      </c>
    </row>
    <row r="58" spans="2:17">
      <c r="B58" s="367"/>
      <c r="C58" s="3"/>
      <c r="E58" s="553"/>
      <c r="M58" s="367"/>
      <c r="N58" s="3"/>
      <c r="P58" s="553"/>
    </row>
    <row r="59" spans="2:17">
      <c r="B59" s="367">
        <v>45973</v>
      </c>
      <c r="C59" s="3">
        <v>0</v>
      </c>
      <c r="D59" t="s">
        <v>390</v>
      </c>
      <c r="E59" t="s">
        <v>251</v>
      </c>
      <c r="F59" t="s">
        <v>249</v>
      </c>
      <c r="M59" s="367">
        <v>45973</v>
      </c>
      <c r="N59" s="3">
        <v>0</v>
      </c>
      <c r="O59" t="s">
        <v>390</v>
      </c>
      <c r="P59" t="s">
        <v>251</v>
      </c>
      <c r="Q59" t="s">
        <v>249</v>
      </c>
    </row>
    <row r="60" spans="2:17">
      <c r="B60" s="367"/>
      <c r="C60" s="3">
        <v>19</v>
      </c>
      <c r="D60" t="s">
        <v>525</v>
      </c>
      <c r="E60" t="s">
        <v>250</v>
      </c>
      <c r="F60" t="s">
        <v>249</v>
      </c>
      <c r="M60" s="367"/>
      <c r="N60" s="3">
        <v>19</v>
      </c>
      <c r="O60" t="s">
        <v>525</v>
      </c>
      <c r="P60" t="s">
        <v>250</v>
      </c>
      <c r="Q60" t="s">
        <v>249</v>
      </c>
    </row>
    <row r="61" spans="2:17">
      <c r="B61" s="41"/>
      <c r="C61" s="3">
        <v>33</v>
      </c>
      <c r="D61" t="s">
        <v>478</v>
      </c>
      <c r="E61" t="s">
        <v>366</v>
      </c>
      <c r="F61" t="s">
        <v>249</v>
      </c>
      <c r="M61" s="41"/>
      <c r="N61" s="3">
        <v>33</v>
      </c>
      <c r="O61" t="s">
        <v>478</v>
      </c>
      <c r="P61" t="s">
        <v>366</v>
      </c>
      <c r="Q61" t="s">
        <v>249</v>
      </c>
    </row>
    <row r="62" spans="2:17">
      <c r="B62" s="367"/>
      <c r="C62">
        <v>10</v>
      </c>
      <c r="D62" t="s">
        <v>228</v>
      </c>
      <c r="E62" t="s">
        <v>14</v>
      </c>
      <c r="F62" t="s">
        <v>249</v>
      </c>
      <c r="M62" s="367"/>
      <c r="N62">
        <v>10</v>
      </c>
      <c r="O62" t="s">
        <v>228</v>
      </c>
      <c r="P62" t="s">
        <v>14</v>
      </c>
      <c r="Q62" t="s">
        <v>249</v>
      </c>
    </row>
    <row r="63" spans="2:17">
      <c r="B63" s="367"/>
      <c r="E63" s="403"/>
      <c r="F63" s="403"/>
      <c r="M63" s="367"/>
      <c r="P63" s="403"/>
      <c r="Q63" s="403"/>
    </row>
    <row r="64" spans="2:17">
      <c r="B64" s="41">
        <v>45974</v>
      </c>
      <c r="C64">
        <v>9</v>
      </c>
      <c r="D64" t="s">
        <v>583</v>
      </c>
      <c r="E64" t="s">
        <v>251</v>
      </c>
      <c r="F64" t="s">
        <v>249</v>
      </c>
      <c r="M64" s="41">
        <v>45974</v>
      </c>
      <c r="N64">
        <v>9</v>
      </c>
      <c r="O64" t="s">
        <v>583</v>
      </c>
      <c r="P64" t="s">
        <v>251</v>
      </c>
      <c r="Q64" t="s">
        <v>249</v>
      </c>
    </row>
    <row r="65" spans="2:18">
      <c r="B65" s="41"/>
      <c r="C65">
        <v>7</v>
      </c>
      <c r="D65" t="s">
        <v>398</v>
      </c>
      <c r="E65" t="s">
        <v>250</v>
      </c>
      <c r="F65" t="s">
        <v>249</v>
      </c>
      <c r="M65" s="41"/>
      <c r="N65">
        <v>7</v>
      </c>
      <c r="O65" t="s">
        <v>398</v>
      </c>
      <c r="P65" t="s">
        <v>250</v>
      </c>
      <c r="Q65" t="s">
        <v>249</v>
      </c>
    </row>
    <row r="66" spans="2:18">
      <c r="B66" s="367"/>
      <c r="C66">
        <v>25</v>
      </c>
      <c r="D66" t="s">
        <v>513</v>
      </c>
      <c r="E66" t="s">
        <v>366</v>
      </c>
      <c r="F66" t="s">
        <v>249</v>
      </c>
      <c r="M66" s="367"/>
      <c r="N66">
        <v>25</v>
      </c>
      <c r="O66" t="s">
        <v>513</v>
      </c>
      <c r="P66" t="s">
        <v>366</v>
      </c>
      <c r="Q66" t="s">
        <v>249</v>
      </c>
      <c r="R66" s="510">
        <f>+summary!Q53</f>
        <v>0</v>
      </c>
    </row>
    <row r="67" spans="2:18">
      <c r="B67" s="367"/>
      <c r="C67">
        <v>8</v>
      </c>
      <c r="D67" t="s">
        <v>228</v>
      </c>
      <c r="E67" t="s">
        <v>14</v>
      </c>
      <c r="F67" t="s">
        <v>249</v>
      </c>
      <c r="M67" s="367"/>
      <c r="N67">
        <v>8</v>
      </c>
      <c r="O67" t="s">
        <v>228</v>
      </c>
      <c r="P67" t="s">
        <v>14</v>
      </c>
      <c r="Q67" t="s">
        <v>249</v>
      </c>
    </row>
    <row r="68" spans="2:18">
      <c r="B68" s="41"/>
      <c r="C68">
        <v>170</v>
      </c>
      <c r="D68" t="s">
        <v>584</v>
      </c>
      <c r="E68" t="s">
        <v>690</v>
      </c>
      <c r="F68" t="s">
        <v>253</v>
      </c>
      <c r="G68" s="510">
        <f>+summary!H53</f>
        <v>0</v>
      </c>
      <c r="M68" s="41"/>
      <c r="N68">
        <v>170</v>
      </c>
      <c r="O68" t="s">
        <v>584</v>
      </c>
      <c r="P68" t="s">
        <v>690</v>
      </c>
      <c r="Q68" t="s">
        <v>253</v>
      </c>
    </row>
    <row r="69" spans="2:18">
      <c r="B69" s="41"/>
      <c r="C69">
        <v>132</v>
      </c>
      <c r="D69" t="s">
        <v>585</v>
      </c>
      <c r="E69" t="s">
        <v>688</v>
      </c>
      <c r="F69" t="s">
        <v>247</v>
      </c>
      <c r="M69" s="41"/>
      <c r="N69">
        <v>132</v>
      </c>
      <c r="O69" t="s">
        <v>585</v>
      </c>
      <c r="P69" t="s">
        <v>688</v>
      </c>
      <c r="Q69" t="s">
        <v>247</v>
      </c>
    </row>
    <row r="70" spans="2:18">
      <c r="B70" s="367"/>
      <c r="M70" s="367"/>
    </row>
    <row r="71" spans="2:18">
      <c r="B71" s="367">
        <v>45975</v>
      </c>
      <c r="C71">
        <v>0</v>
      </c>
      <c r="D71" t="s">
        <v>390</v>
      </c>
      <c r="E71" t="s">
        <v>251</v>
      </c>
      <c r="F71" t="s">
        <v>249</v>
      </c>
      <c r="M71" s="367">
        <v>45975</v>
      </c>
      <c r="N71">
        <v>0</v>
      </c>
      <c r="O71" t="s">
        <v>390</v>
      </c>
      <c r="P71" t="s">
        <v>251</v>
      </c>
      <c r="Q71" t="s">
        <v>249</v>
      </c>
    </row>
    <row r="72" spans="2:18">
      <c r="B72" s="41"/>
      <c r="C72">
        <v>15</v>
      </c>
      <c r="D72" t="s">
        <v>570</v>
      </c>
      <c r="E72" t="s">
        <v>250</v>
      </c>
      <c r="F72" t="s">
        <v>249</v>
      </c>
      <c r="M72" s="41"/>
      <c r="N72">
        <v>15</v>
      </c>
      <c r="O72" t="s">
        <v>570</v>
      </c>
      <c r="P72" t="s">
        <v>250</v>
      </c>
      <c r="Q72" t="s">
        <v>249</v>
      </c>
    </row>
    <row r="73" spans="2:18">
      <c r="B73" s="41"/>
      <c r="C73">
        <v>31</v>
      </c>
      <c r="D73" t="s">
        <v>594</v>
      </c>
      <c r="E73" t="s">
        <v>366</v>
      </c>
      <c r="F73" t="s">
        <v>249</v>
      </c>
      <c r="M73" s="41"/>
      <c r="N73">
        <v>31</v>
      </c>
      <c r="O73" t="s">
        <v>594</v>
      </c>
      <c r="P73" t="s">
        <v>366</v>
      </c>
      <c r="Q73" t="s">
        <v>249</v>
      </c>
    </row>
    <row r="74" spans="2:18">
      <c r="B74" s="41"/>
      <c r="C74">
        <v>8</v>
      </c>
      <c r="D74" t="s">
        <v>228</v>
      </c>
      <c r="E74" t="s">
        <v>14</v>
      </c>
      <c r="F74" t="s">
        <v>249</v>
      </c>
      <c r="M74" s="41"/>
      <c r="N74">
        <v>8</v>
      </c>
      <c r="O74" t="s">
        <v>228</v>
      </c>
      <c r="P74" t="s">
        <v>14</v>
      </c>
      <c r="Q74" t="s">
        <v>249</v>
      </c>
    </row>
    <row r="75" spans="2:18">
      <c r="B75" s="367"/>
      <c r="M75" s="367"/>
    </row>
    <row r="76" spans="2:18">
      <c r="B76" s="367">
        <v>45976</v>
      </c>
      <c r="C76">
        <v>0</v>
      </c>
      <c r="D76" t="s">
        <v>390</v>
      </c>
      <c r="E76" t="s">
        <v>251</v>
      </c>
      <c r="F76" t="s">
        <v>249</v>
      </c>
      <c r="M76" s="367">
        <v>45976</v>
      </c>
      <c r="N76">
        <v>0</v>
      </c>
      <c r="O76" t="s">
        <v>390</v>
      </c>
      <c r="P76" t="s">
        <v>251</v>
      </c>
      <c r="Q76" t="s">
        <v>249</v>
      </c>
    </row>
    <row r="77" spans="2:18">
      <c r="B77" s="41"/>
      <c r="C77">
        <v>11</v>
      </c>
      <c r="D77" t="s">
        <v>570</v>
      </c>
      <c r="E77" t="s">
        <v>250</v>
      </c>
      <c r="F77" t="s">
        <v>249</v>
      </c>
      <c r="M77" s="41"/>
      <c r="N77">
        <v>11</v>
      </c>
      <c r="O77" t="s">
        <v>570</v>
      </c>
      <c r="P77" t="s">
        <v>250</v>
      </c>
      <c r="Q77" t="s">
        <v>249</v>
      </c>
    </row>
    <row r="78" spans="2:18">
      <c r="B78" s="41"/>
      <c r="C78">
        <v>26</v>
      </c>
      <c r="D78" t="s">
        <v>607</v>
      </c>
      <c r="E78" t="s">
        <v>366</v>
      </c>
      <c r="F78" t="s">
        <v>249</v>
      </c>
      <c r="M78" s="41"/>
      <c r="N78">
        <v>26</v>
      </c>
      <c r="O78" t="s">
        <v>607</v>
      </c>
      <c r="P78" t="s">
        <v>366</v>
      </c>
      <c r="Q78" t="s">
        <v>249</v>
      </c>
    </row>
    <row r="79" spans="2:18">
      <c r="B79" s="367"/>
      <c r="C79">
        <v>8</v>
      </c>
      <c r="D79" t="s">
        <v>228</v>
      </c>
      <c r="E79" t="s">
        <v>14</v>
      </c>
      <c r="F79" t="s">
        <v>249</v>
      </c>
      <c r="M79" s="367"/>
      <c r="N79">
        <v>8</v>
      </c>
      <c r="O79" t="s">
        <v>228</v>
      </c>
      <c r="P79" t="s">
        <v>14</v>
      </c>
      <c r="Q79" t="s">
        <v>249</v>
      </c>
    </row>
    <row r="80" spans="2:18">
      <c r="B80" s="367"/>
      <c r="M80" s="367"/>
    </row>
    <row r="81" spans="2:17">
      <c r="B81" s="41">
        <v>45977</v>
      </c>
      <c r="C81">
        <v>0</v>
      </c>
      <c r="D81" t="s">
        <v>390</v>
      </c>
      <c r="E81" t="s">
        <v>251</v>
      </c>
      <c r="F81" t="s">
        <v>249</v>
      </c>
      <c r="M81" s="41">
        <v>45977</v>
      </c>
      <c r="N81">
        <v>0</v>
      </c>
      <c r="O81" t="s">
        <v>390</v>
      </c>
      <c r="P81" t="s">
        <v>251</v>
      </c>
      <c r="Q81" t="s">
        <v>249</v>
      </c>
    </row>
    <row r="82" spans="2:17">
      <c r="B82" s="41"/>
      <c r="C82">
        <v>10</v>
      </c>
      <c r="D82" t="s">
        <v>570</v>
      </c>
      <c r="E82" t="s">
        <v>250</v>
      </c>
      <c r="F82" t="s">
        <v>249</v>
      </c>
      <c r="M82" s="41"/>
      <c r="N82">
        <v>10</v>
      </c>
      <c r="O82" t="s">
        <v>570</v>
      </c>
      <c r="P82" t="s">
        <v>250</v>
      </c>
      <c r="Q82" t="s">
        <v>249</v>
      </c>
    </row>
    <row r="83" spans="2:17">
      <c r="B83" s="367"/>
      <c r="C83">
        <v>26</v>
      </c>
      <c r="D83" t="s">
        <v>436</v>
      </c>
      <c r="E83" t="s">
        <v>366</v>
      </c>
      <c r="F83" t="s">
        <v>249</v>
      </c>
      <c r="M83" s="367"/>
      <c r="N83">
        <v>26</v>
      </c>
      <c r="O83" t="s">
        <v>436</v>
      </c>
      <c r="P83" t="s">
        <v>366</v>
      </c>
      <c r="Q83" t="s">
        <v>249</v>
      </c>
    </row>
    <row r="84" spans="2:17">
      <c r="B84" s="367"/>
      <c r="C84">
        <v>8</v>
      </c>
      <c r="D84" t="s">
        <v>228</v>
      </c>
      <c r="E84" t="s">
        <v>14</v>
      </c>
      <c r="F84" t="s">
        <v>249</v>
      </c>
      <c r="M84" s="367"/>
      <c r="N84">
        <v>8</v>
      </c>
      <c r="O84" t="s">
        <v>228</v>
      </c>
      <c r="P84" t="s">
        <v>14</v>
      </c>
      <c r="Q84" t="s">
        <v>249</v>
      </c>
    </row>
    <row r="85" spans="2:17">
      <c r="B85" s="41"/>
      <c r="M85" s="41"/>
    </row>
    <row r="86" spans="2:17">
      <c r="B86" s="41">
        <v>45978</v>
      </c>
      <c r="C86">
        <v>0</v>
      </c>
      <c r="D86" t="s">
        <v>390</v>
      </c>
      <c r="E86" t="s">
        <v>251</v>
      </c>
      <c r="F86" t="s">
        <v>249</v>
      </c>
      <c r="M86" s="41">
        <v>45978</v>
      </c>
      <c r="N86">
        <v>0</v>
      </c>
      <c r="O86" t="s">
        <v>390</v>
      </c>
      <c r="P86" t="s">
        <v>251</v>
      </c>
      <c r="Q86" t="s">
        <v>249</v>
      </c>
    </row>
    <row r="87" spans="2:17">
      <c r="B87" s="41"/>
      <c r="C87">
        <v>11</v>
      </c>
      <c r="D87" t="s">
        <v>617</v>
      </c>
      <c r="E87" t="s">
        <v>250</v>
      </c>
      <c r="F87" t="s">
        <v>249</v>
      </c>
      <c r="M87" s="41"/>
      <c r="N87">
        <v>11</v>
      </c>
      <c r="O87" t="s">
        <v>617</v>
      </c>
      <c r="P87" t="s">
        <v>250</v>
      </c>
      <c r="Q87" t="s">
        <v>249</v>
      </c>
    </row>
    <row r="88" spans="2:17">
      <c r="B88" s="367"/>
      <c r="C88">
        <v>24</v>
      </c>
      <c r="D88" t="s">
        <v>436</v>
      </c>
      <c r="E88" t="s">
        <v>366</v>
      </c>
      <c r="F88" t="s">
        <v>249</v>
      </c>
      <c r="M88" s="367"/>
      <c r="N88">
        <v>24</v>
      </c>
      <c r="O88" t="s">
        <v>436</v>
      </c>
      <c r="P88" t="s">
        <v>366</v>
      </c>
      <c r="Q88" t="s">
        <v>249</v>
      </c>
    </row>
    <row r="89" spans="2:17">
      <c r="B89" s="367"/>
      <c r="C89">
        <v>5</v>
      </c>
      <c r="D89" t="s">
        <v>228</v>
      </c>
      <c r="E89" t="s">
        <v>14</v>
      </c>
      <c r="F89" t="s">
        <v>249</v>
      </c>
      <c r="M89" s="367"/>
      <c r="N89">
        <v>5</v>
      </c>
      <c r="O89" t="s">
        <v>228</v>
      </c>
      <c r="P89" t="s">
        <v>14</v>
      </c>
      <c r="Q89" t="s">
        <v>249</v>
      </c>
    </row>
    <row r="90" spans="2:17">
      <c r="B90" s="367"/>
      <c r="E90" s="403"/>
      <c r="F90" s="403"/>
      <c r="M90" s="367"/>
      <c r="P90" s="403"/>
      <c r="Q90" s="403"/>
    </row>
    <row r="91" spans="2:17">
      <c r="B91" s="367">
        <v>45979</v>
      </c>
      <c r="C91">
        <v>0</v>
      </c>
      <c r="D91" t="s">
        <v>390</v>
      </c>
      <c r="E91" t="s">
        <v>251</v>
      </c>
      <c r="F91" t="s">
        <v>249</v>
      </c>
      <c r="M91" s="367">
        <v>45979</v>
      </c>
      <c r="N91">
        <v>0</v>
      </c>
      <c r="O91" t="s">
        <v>390</v>
      </c>
      <c r="P91" t="s">
        <v>251</v>
      </c>
      <c r="Q91" t="s">
        <v>249</v>
      </c>
    </row>
    <row r="92" spans="2:17">
      <c r="B92" s="367"/>
      <c r="C92">
        <v>9</v>
      </c>
      <c r="D92" t="s">
        <v>617</v>
      </c>
      <c r="E92" t="s">
        <v>250</v>
      </c>
      <c r="F92" t="s">
        <v>249</v>
      </c>
      <c r="M92" s="367"/>
      <c r="N92">
        <v>9</v>
      </c>
      <c r="O92" t="s">
        <v>617</v>
      </c>
      <c r="P92" t="s">
        <v>250</v>
      </c>
      <c r="Q92" t="s">
        <v>249</v>
      </c>
    </row>
    <row r="93" spans="2:17">
      <c r="B93" s="367"/>
      <c r="C93">
        <v>21</v>
      </c>
      <c r="D93" t="s">
        <v>607</v>
      </c>
      <c r="E93" t="s">
        <v>366</v>
      </c>
      <c r="F93" t="s">
        <v>249</v>
      </c>
      <c r="M93" s="367"/>
      <c r="N93">
        <v>21</v>
      </c>
      <c r="O93" t="s">
        <v>607</v>
      </c>
      <c r="P93" t="s">
        <v>366</v>
      </c>
      <c r="Q93" t="s">
        <v>249</v>
      </c>
    </row>
    <row r="94" spans="2:17">
      <c r="B94" s="367"/>
      <c r="C94">
        <v>10</v>
      </c>
      <c r="D94" t="s">
        <v>228</v>
      </c>
      <c r="E94" t="s">
        <v>14</v>
      </c>
      <c r="F94" t="s">
        <v>249</v>
      </c>
      <c r="M94" s="367"/>
      <c r="N94">
        <v>10</v>
      </c>
      <c r="O94" t="s">
        <v>228</v>
      </c>
      <c r="P94" t="s">
        <v>14</v>
      </c>
      <c r="Q94" t="s">
        <v>249</v>
      </c>
    </row>
    <row r="95" spans="2:17">
      <c r="B95" s="367"/>
      <c r="C95">
        <v>175</v>
      </c>
      <c r="D95" t="s">
        <v>632</v>
      </c>
      <c r="E95" t="s">
        <v>688</v>
      </c>
      <c r="F95" t="s">
        <v>247</v>
      </c>
      <c r="M95" s="367"/>
      <c r="N95">
        <v>175</v>
      </c>
      <c r="O95" t="s">
        <v>632</v>
      </c>
      <c r="P95" t="s">
        <v>688</v>
      </c>
      <c r="Q95" t="s">
        <v>247</v>
      </c>
    </row>
    <row r="96" spans="2:17">
      <c r="B96" s="367"/>
      <c r="E96" s="403"/>
      <c r="F96" s="403"/>
      <c r="M96" s="367"/>
      <c r="P96" s="403"/>
      <c r="Q96" s="403"/>
    </row>
    <row r="97" spans="2:17">
      <c r="B97" s="367">
        <v>45980</v>
      </c>
      <c r="C97">
        <v>0</v>
      </c>
      <c r="D97" t="s">
        <v>390</v>
      </c>
      <c r="E97" t="s">
        <v>251</v>
      </c>
      <c r="F97" t="s">
        <v>249</v>
      </c>
      <c r="M97" s="367">
        <v>45980</v>
      </c>
      <c r="N97">
        <v>0</v>
      </c>
      <c r="O97" t="s">
        <v>390</v>
      </c>
      <c r="P97" t="s">
        <v>251</v>
      </c>
      <c r="Q97" t="s">
        <v>249</v>
      </c>
    </row>
    <row r="98" spans="2:17">
      <c r="B98" s="367"/>
      <c r="C98">
        <v>11</v>
      </c>
      <c r="D98" t="s">
        <v>570</v>
      </c>
      <c r="E98" t="s">
        <v>250</v>
      </c>
      <c r="F98" t="s">
        <v>249</v>
      </c>
      <c r="M98" s="367"/>
      <c r="N98">
        <v>11</v>
      </c>
      <c r="O98" t="s">
        <v>570</v>
      </c>
      <c r="P98" t="s">
        <v>250</v>
      </c>
      <c r="Q98" t="s">
        <v>249</v>
      </c>
    </row>
    <row r="99" spans="2:17">
      <c r="B99" s="367"/>
      <c r="C99">
        <v>22</v>
      </c>
      <c r="D99" t="s">
        <v>594</v>
      </c>
      <c r="E99" t="s">
        <v>366</v>
      </c>
      <c r="F99" t="s">
        <v>249</v>
      </c>
      <c r="M99" s="367"/>
      <c r="N99">
        <v>22</v>
      </c>
      <c r="O99" t="s">
        <v>594</v>
      </c>
      <c r="P99" t="s">
        <v>366</v>
      </c>
      <c r="Q99" t="s">
        <v>249</v>
      </c>
    </row>
    <row r="100" spans="2:17">
      <c r="B100" s="367"/>
      <c r="C100">
        <v>18</v>
      </c>
      <c r="D100" t="s">
        <v>228</v>
      </c>
      <c r="E100" t="s">
        <v>14</v>
      </c>
      <c r="F100" t="s">
        <v>249</v>
      </c>
      <c r="M100" s="367"/>
      <c r="N100">
        <v>18</v>
      </c>
      <c r="O100" t="s">
        <v>228</v>
      </c>
      <c r="P100" t="s">
        <v>14</v>
      </c>
      <c r="Q100" t="s">
        <v>249</v>
      </c>
    </row>
    <row r="101" spans="2:17">
      <c r="B101" s="367"/>
      <c r="M101" s="367"/>
    </row>
    <row r="102" spans="2:17">
      <c r="B102" s="367">
        <v>45981</v>
      </c>
      <c r="C102">
        <v>0</v>
      </c>
      <c r="D102" t="s">
        <v>390</v>
      </c>
      <c r="E102" t="s">
        <v>251</v>
      </c>
      <c r="F102" t="s">
        <v>249</v>
      </c>
      <c r="M102" s="367">
        <v>45981</v>
      </c>
      <c r="N102">
        <v>0</v>
      </c>
      <c r="O102" t="s">
        <v>390</v>
      </c>
      <c r="P102" t="s">
        <v>251</v>
      </c>
      <c r="Q102" t="s">
        <v>249</v>
      </c>
    </row>
    <row r="103" spans="2:17">
      <c r="B103" s="367"/>
      <c r="C103">
        <v>12</v>
      </c>
      <c r="D103" t="s">
        <v>570</v>
      </c>
      <c r="E103" t="s">
        <v>250</v>
      </c>
      <c r="F103" t="s">
        <v>249</v>
      </c>
      <c r="M103" s="367"/>
      <c r="N103">
        <v>12</v>
      </c>
      <c r="O103" t="s">
        <v>570</v>
      </c>
      <c r="P103" t="s">
        <v>250</v>
      </c>
      <c r="Q103" t="s">
        <v>249</v>
      </c>
    </row>
    <row r="104" spans="2:17">
      <c r="B104" s="367"/>
      <c r="C104">
        <v>27</v>
      </c>
      <c r="D104" t="s">
        <v>436</v>
      </c>
      <c r="E104" t="s">
        <v>366</v>
      </c>
      <c r="F104" t="s">
        <v>249</v>
      </c>
      <c r="M104" s="367"/>
      <c r="N104">
        <v>27</v>
      </c>
      <c r="O104" t="s">
        <v>436</v>
      </c>
      <c r="P104" t="s">
        <v>366</v>
      </c>
      <c r="Q104" t="s">
        <v>249</v>
      </c>
    </row>
    <row r="105" spans="2:17">
      <c r="B105" s="367"/>
      <c r="C105">
        <v>8</v>
      </c>
      <c r="D105" t="s">
        <v>228</v>
      </c>
      <c r="E105" t="s">
        <v>14</v>
      </c>
      <c r="F105" t="s">
        <v>249</v>
      </c>
      <c r="M105" s="367"/>
      <c r="N105">
        <v>8</v>
      </c>
      <c r="O105" t="s">
        <v>228</v>
      </c>
      <c r="P105" t="s">
        <v>14</v>
      </c>
      <c r="Q105" t="s">
        <v>249</v>
      </c>
    </row>
    <row r="106" spans="2:17">
      <c r="B106" s="367"/>
      <c r="E106" s="403"/>
      <c r="F106" s="403"/>
      <c r="M106" s="367"/>
      <c r="P106" s="403"/>
      <c r="Q106" s="403"/>
    </row>
    <row r="107" spans="2:17">
      <c r="B107" s="367">
        <v>45982</v>
      </c>
      <c r="C107">
        <v>0</v>
      </c>
      <c r="D107" t="s">
        <v>390</v>
      </c>
      <c r="E107" t="s">
        <v>251</v>
      </c>
      <c r="F107" t="s">
        <v>249</v>
      </c>
      <c r="M107" s="367">
        <v>45982</v>
      </c>
      <c r="N107">
        <v>0</v>
      </c>
      <c r="O107" t="s">
        <v>390</v>
      </c>
      <c r="P107" t="s">
        <v>251</v>
      </c>
      <c r="Q107" t="s">
        <v>249</v>
      </c>
    </row>
    <row r="108" spans="2:17">
      <c r="B108" s="367"/>
      <c r="C108">
        <v>8</v>
      </c>
      <c r="D108" t="s">
        <v>525</v>
      </c>
      <c r="E108" t="s">
        <v>250</v>
      </c>
      <c r="F108" t="s">
        <v>249</v>
      </c>
      <c r="M108" s="367"/>
      <c r="N108">
        <v>8</v>
      </c>
      <c r="O108" t="s">
        <v>525</v>
      </c>
      <c r="P108" t="s">
        <v>250</v>
      </c>
      <c r="Q108" t="s">
        <v>249</v>
      </c>
    </row>
    <row r="109" spans="2:17">
      <c r="B109" s="367"/>
      <c r="C109">
        <v>18</v>
      </c>
      <c r="D109" t="s">
        <v>661</v>
      </c>
      <c r="E109" t="s">
        <v>366</v>
      </c>
      <c r="F109" t="s">
        <v>249</v>
      </c>
      <c r="M109" s="367"/>
      <c r="N109">
        <v>18</v>
      </c>
      <c r="O109" t="s">
        <v>661</v>
      </c>
      <c r="P109" t="s">
        <v>366</v>
      </c>
      <c r="Q109" t="s">
        <v>249</v>
      </c>
    </row>
    <row r="110" spans="2:17">
      <c r="B110" s="367"/>
      <c r="C110">
        <v>18</v>
      </c>
      <c r="D110" t="s">
        <v>228</v>
      </c>
      <c r="E110" t="s">
        <v>14</v>
      </c>
      <c r="F110" t="s">
        <v>249</v>
      </c>
      <c r="M110" s="367"/>
      <c r="N110">
        <v>18</v>
      </c>
      <c r="O110" t="s">
        <v>228</v>
      </c>
      <c r="P110" t="s">
        <v>14</v>
      </c>
      <c r="Q110" t="s">
        <v>249</v>
      </c>
    </row>
    <row r="111" spans="2:17">
      <c r="B111" s="367"/>
      <c r="E111" s="403"/>
      <c r="F111" s="403"/>
      <c r="M111" s="367"/>
      <c r="P111" s="403"/>
      <c r="Q111" s="403"/>
    </row>
    <row r="112" spans="2:17">
      <c r="B112" s="367">
        <v>45983</v>
      </c>
      <c r="C112">
        <v>0</v>
      </c>
      <c r="D112" t="s">
        <v>390</v>
      </c>
      <c r="E112" t="s">
        <v>251</v>
      </c>
      <c r="F112" t="s">
        <v>249</v>
      </c>
      <c r="M112" s="367">
        <v>45983</v>
      </c>
      <c r="N112">
        <v>0</v>
      </c>
      <c r="O112" t="s">
        <v>390</v>
      </c>
      <c r="P112" t="s">
        <v>251</v>
      </c>
      <c r="Q112" t="s">
        <v>249</v>
      </c>
    </row>
    <row r="113" spans="2:17">
      <c r="B113" s="367"/>
      <c r="C113">
        <v>15</v>
      </c>
      <c r="D113" t="s">
        <v>435</v>
      </c>
      <c r="E113" t="s">
        <v>250</v>
      </c>
      <c r="F113" t="s">
        <v>249</v>
      </c>
      <c r="M113" s="367"/>
      <c r="N113">
        <v>15</v>
      </c>
      <c r="O113" t="s">
        <v>435</v>
      </c>
      <c r="P113" t="s">
        <v>250</v>
      </c>
      <c r="Q113" t="s">
        <v>249</v>
      </c>
    </row>
    <row r="114" spans="2:17">
      <c r="B114" s="367"/>
      <c r="C114">
        <v>28</v>
      </c>
      <c r="D114" t="s">
        <v>436</v>
      </c>
      <c r="E114" t="s">
        <v>366</v>
      </c>
      <c r="F114" t="s">
        <v>249</v>
      </c>
      <c r="M114" s="367"/>
      <c r="N114">
        <v>28</v>
      </c>
      <c r="O114" t="s">
        <v>436</v>
      </c>
      <c r="P114" t="s">
        <v>366</v>
      </c>
      <c r="Q114" t="s">
        <v>249</v>
      </c>
    </row>
    <row r="115" spans="2:17">
      <c r="B115" s="367"/>
      <c r="C115">
        <v>18</v>
      </c>
      <c r="D115" t="s">
        <v>228</v>
      </c>
      <c r="E115" t="s">
        <v>14</v>
      </c>
      <c r="F115" t="s">
        <v>249</v>
      </c>
      <c r="M115" s="367"/>
      <c r="N115">
        <v>18</v>
      </c>
      <c r="O115" t="s">
        <v>228</v>
      </c>
      <c r="P115" t="s">
        <v>14</v>
      </c>
      <c r="Q115" t="s">
        <v>249</v>
      </c>
    </row>
    <row r="116" spans="2:17">
      <c r="B116" s="367"/>
      <c r="M116" s="367"/>
    </row>
    <row r="117" spans="2:17">
      <c r="B117" s="367">
        <v>45984</v>
      </c>
      <c r="C117">
        <v>0</v>
      </c>
      <c r="D117" t="s">
        <v>390</v>
      </c>
      <c r="E117" t="s">
        <v>251</v>
      </c>
      <c r="F117" t="s">
        <v>249</v>
      </c>
      <c r="M117" s="367">
        <v>45984</v>
      </c>
      <c r="N117">
        <v>0</v>
      </c>
      <c r="O117" t="s">
        <v>390</v>
      </c>
      <c r="P117" t="s">
        <v>251</v>
      </c>
      <c r="Q117" t="s">
        <v>249</v>
      </c>
    </row>
    <row r="118" spans="2:17">
      <c r="B118" s="367"/>
      <c r="C118">
        <v>12</v>
      </c>
      <c r="D118" t="s">
        <v>438</v>
      </c>
      <c r="E118" t="s">
        <v>250</v>
      </c>
      <c r="F118" t="s">
        <v>249</v>
      </c>
      <c r="M118" s="367"/>
      <c r="N118">
        <v>12</v>
      </c>
      <c r="O118" t="s">
        <v>438</v>
      </c>
      <c r="P118" t="s">
        <v>250</v>
      </c>
      <c r="Q118" t="s">
        <v>249</v>
      </c>
    </row>
    <row r="119" spans="2:17">
      <c r="B119" s="367"/>
      <c r="C119">
        <v>24</v>
      </c>
      <c r="D119" t="s">
        <v>594</v>
      </c>
      <c r="E119" t="s">
        <v>366</v>
      </c>
      <c r="F119" t="s">
        <v>249</v>
      </c>
      <c r="M119" s="367"/>
      <c r="N119">
        <v>24</v>
      </c>
      <c r="O119" t="s">
        <v>594</v>
      </c>
      <c r="P119" t="s">
        <v>366</v>
      </c>
      <c r="Q119" t="s">
        <v>249</v>
      </c>
    </row>
    <row r="120" spans="2:17">
      <c r="B120" s="367"/>
      <c r="C120">
        <v>8</v>
      </c>
      <c r="D120" t="s">
        <v>228</v>
      </c>
      <c r="E120" t="s">
        <v>14</v>
      </c>
      <c r="F120" t="s">
        <v>249</v>
      </c>
      <c r="M120" s="367"/>
      <c r="N120">
        <v>8</v>
      </c>
      <c r="O120" t="s">
        <v>228</v>
      </c>
      <c r="P120" t="s">
        <v>14</v>
      </c>
      <c r="Q120" t="s">
        <v>249</v>
      </c>
    </row>
    <row r="121" spans="2:17">
      <c r="B121" s="367"/>
      <c r="C121">
        <v>33</v>
      </c>
      <c r="D121" t="s">
        <v>683</v>
      </c>
      <c r="E121" t="s">
        <v>691</v>
      </c>
      <c r="F121" t="s">
        <v>255</v>
      </c>
      <c r="M121" s="367"/>
      <c r="N121">
        <v>33</v>
      </c>
      <c r="O121" t="s">
        <v>683</v>
      </c>
      <c r="P121" t="s">
        <v>691</v>
      </c>
      <c r="Q121" t="s">
        <v>255</v>
      </c>
    </row>
    <row r="122" spans="2:17">
      <c r="B122" s="367"/>
      <c r="M122" s="367"/>
    </row>
    <row r="123" spans="2:17">
      <c r="B123" s="367">
        <v>45985</v>
      </c>
      <c r="C123">
        <v>0</v>
      </c>
      <c r="D123" t="s">
        <v>390</v>
      </c>
      <c r="E123" t="s">
        <v>251</v>
      </c>
      <c r="F123" t="s">
        <v>249</v>
      </c>
      <c r="M123" s="367">
        <v>45985</v>
      </c>
      <c r="N123">
        <v>0</v>
      </c>
      <c r="O123" t="s">
        <v>390</v>
      </c>
      <c r="P123" t="s">
        <v>251</v>
      </c>
      <c r="Q123" t="s">
        <v>249</v>
      </c>
    </row>
    <row r="124" spans="2:17">
      <c r="B124" s="367"/>
      <c r="C124">
        <v>14</v>
      </c>
      <c r="D124" t="s">
        <v>435</v>
      </c>
      <c r="E124" t="s">
        <v>250</v>
      </c>
      <c r="F124" t="s">
        <v>249</v>
      </c>
      <c r="M124" s="367"/>
      <c r="N124">
        <v>14</v>
      </c>
      <c r="O124" t="s">
        <v>435</v>
      </c>
      <c r="P124" t="s">
        <v>250</v>
      </c>
      <c r="Q124" t="s">
        <v>249</v>
      </c>
    </row>
    <row r="125" spans="2:17">
      <c r="B125" s="367"/>
      <c r="C125">
        <v>29</v>
      </c>
      <c r="D125" t="s">
        <v>436</v>
      </c>
      <c r="E125" t="s">
        <v>366</v>
      </c>
      <c r="F125" t="s">
        <v>249</v>
      </c>
      <c r="M125" s="367"/>
      <c r="N125">
        <v>29</v>
      </c>
      <c r="O125" t="s">
        <v>436</v>
      </c>
      <c r="P125" t="s">
        <v>366</v>
      </c>
      <c r="Q125" t="s">
        <v>249</v>
      </c>
    </row>
    <row r="126" spans="2:17">
      <c r="B126" s="367"/>
      <c r="C126">
        <v>8</v>
      </c>
      <c r="D126" t="s">
        <v>228</v>
      </c>
      <c r="E126" t="s">
        <v>14</v>
      </c>
      <c r="F126" t="s">
        <v>249</v>
      </c>
      <c r="M126" s="367"/>
      <c r="N126">
        <v>8</v>
      </c>
      <c r="O126" t="s">
        <v>228</v>
      </c>
      <c r="P126" t="s">
        <v>14</v>
      </c>
      <c r="Q126" t="s">
        <v>249</v>
      </c>
    </row>
    <row r="127" spans="2:17">
      <c r="B127" s="367"/>
      <c r="M127" s="367"/>
    </row>
    <row r="128" spans="2:17">
      <c r="B128" s="367">
        <v>45986</v>
      </c>
      <c r="C128">
        <v>0</v>
      </c>
      <c r="D128" t="s">
        <v>390</v>
      </c>
      <c r="E128" t="s">
        <v>251</v>
      </c>
      <c r="F128" t="s">
        <v>249</v>
      </c>
      <c r="M128" s="367">
        <v>45986</v>
      </c>
      <c r="N128">
        <v>0</v>
      </c>
      <c r="O128" t="s">
        <v>390</v>
      </c>
      <c r="P128" t="s">
        <v>251</v>
      </c>
      <c r="Q128" t="s">
        <v>249</v>
      </c>
    </row>
    <row r="129" spans="2:17">
      <c r="B129" s="367"/>
      <c r="C129">
        <v>11</v>
      </c>
      <c r="D129" t="s">
        <v>570</v>
      </c>
      <c r="E129" t="s">
        <v>250</v>
      </c>
      <c r="F129" t="s">
        <v>249</v>
      </c>
      <c r="M129" s="367"/>
      <c r="N129">
        <v>11</v>
      </c>
      <c r="O129" t="s">
        <v>570</v>
      </c>
      <c r="P129" t="s">
        <v>250</v>
      </c>
      <c r="Q129" t="s">
        <v>249</v>
      </c>
    </row>
    <row r="130" spans="2:17">
      <c r="B130" s="367"/>
      <c r="C130">
        <v>24</v>
      </c>
      <c r="D130" t="s">
        <v>594</v>
      </c>
      <c r="E130" t="s">
        <v>366</v>
      </c>
      <c r="F130" t="s">
        <v>249</v>
      </c>
      <c r="M130" s="367"/>
      <c r="N130">
        <v>24</v>
      </c>
      <c r="O130" t="s">
        <v>594</v>
      </c>
      <c r="P130" t="s">
        <v>366</v>
      </c>
      <c r="Q130" t="s">
        <v>249</v>
      </c>
    </row>
    <row r="131" spans="2:17">
      <c r="B131" s="367"/>
      <c r="C131">
        <v>10</v>
      </c>
      <c r="D131" t="s">
        <v>228</v>
      </c>
      <c r="E131" t="s">
        <v>14</v>
      </c>
      <c r="F131" t="s">
        <v>249</v>
      </c>
      <c r="M131" s="367"/>
      <c r="N131">
        <v>10</v>
      </c>
      <c r="O131" t="s">
        <v>228</v>
      </c>
      <c r="P131" t="s">
        <v>14</v>
      </c>
      <c r="Q131" t="s">
        <v>249</v>
      </c>
    </row>
    <row r="132" spans="2:17">
      <c r="B132" s="367"/>
      <c r="M132" s="367"/>
    </row>
    <row r="133" spans="2:17">
      <c r="B133" s="367">
        <v>45987</v>
      </c>
      <c r="C133">
        <v>0</v>
      </c>
      <c r="D133" t="s">
        <v>390</v>
      </c>
      <c r="E133" t="s">
        <v>251</v>
      </c>
      <c r="F133" t="s">
        <v>249</v>
      </c>
      <c r="M133" s="367">
        <v>45987</v>
      </c>
      <c r="N133">
        <v>0</v>
      </c>
      <c r="O133" t="s">
        <v>390</v>
      </c>
      <c r="P133" t="s">
        <v>251</v>
      </c>
      <c r="Q133" t="s">
        <v>249</v>
      </c>
    </row>
    <row r="134" spans="2:17">
      <c r="B134" s="367"/>
      <c r="C134">
        <v>8</v>
      </c>
      <c r="D134" t="s">
        <v>617</v>
      </c>
      <c r="E134" t="s">
        <v>250</v>
      </c>
      <c r="F134" t="s">
        <v>249</v>
      </c>
      <c r="M134" s="367"/>
      <c r="N134">
        <v>8</v>
      </c>
      <c r="O134" t="s">
        <v>617</v>
      </c>
      <c r="P134" t="s">
        <v>250</v>
      </c>
      <c r="Q134" t="s">
        <v>249</v>
      </c>
    </row>
    <row r="135" spans="2:17">
      <c r="B135" s="367"/>
      <c r="C135">
        <v>14</v>
      </c>
      <c r="D135" t="s">
        <v>513</v>
      </c>
      <c r="E135" t="s">
        <v>366</v>
      </c>
      <c r="F135" t="s">
        <v>249</v>
      </c>
      <c r="M135" s="367"/>
      <c r="N135">
        <v>14</v>
      </c>
      <c r="O135" t="s">
        <v>513</v>
      </c>
      <c r="P135" t="s">
        <v>366</v>
      </c>
      <c r="Q135" t="s">
        <v>249</v>
      </c>
    </row>
    <row r="136" spans="2:17">
      <c r="B136" s="367"/>
      <c r="C136">
        <v>10</v>
      </c>
      <c r="D136" t="s">
        <v>228</v>
      </c>
      <c r="E136" t="s">
        <v>14</v>
      </c>
      <c r="F136" t="s">
        <v>249</v>
      </c>
      <c r="M136" s="367"/>
      <c r="N136">
        <v>10</v>
      </c>
      <c r="O136" t="s">
        <v>228</v>
      </c>
      <c r="P136" t="s">
        <v>14</v>
      </c>
      <c r="Q136" t="s">
        <v>249</v>
      </c>
    </row>
    <row r="137" spans="2:17">
      <c r="B137" s="367"/>
      <c r="M137" s="367"/>
    </row>
    <row r="138" spans="2:17">
      <c r="B138" s="367">
        <v>45988</v>
      </c>
      <c r="C138">
        <v>0</v>
      </c>
      <c r="D138" t="s">
        <v>390</v>
      </c>
      <c r="E138" t="s">
        <v>251</v>
      </c>
      <c r="F138" t="s">
        <v>249</v>
      </c>
      <c r="M138" s="367">
        <v>45988</v>
      </c>
      <c r="N138">
        <v>0</v>
      </c>
      <c r="O138" t="s">
        <v>390</v>
      </c>
      <c r="P138" t="s">
        <v>251</v>
      </c>
      <c r="Q138" t="s">
        <v>249</v>
      </c>
    </row>
    <row r="139" spans="2:17">
      <c r="B139" s="367"/>
      <c r="C139">
        <v>10</v>
      </c>
      <c r="D139" t="s">
        <v>617</v>
      </c>
      <c r="E139" t="s">
        <v>250</v>
      </c>
      <c r="F139" t="s">
        <v>249</v>
      </c>
      <c r="M139" s="367"/>
      <c r="N139">
        <v>10</v>
      </c>
      <c r="O139" t="s">
        <v>617</v>
      </c>
      <c r="P139" t="s">
        <v>250</v>
      </c>
      <c r="Q139" t="s">
        <v>249</v>
      </c>
    </row>
    <row r="140" spans="2:17">
      <c r="B140" s="367"/>
      <c r="C140">
        <v>20</v>
      </c>
      <c r="D140" t="s">
        <v>715</v>
      </c>
      <c r="E140" t="s">
        <v>366</v>
      </c>
      <c r="F140" t="s">
        <v>249</v>
      </c>
      <c r="M140" s="367"/>
      <c r="N140">
        <v>20</v>
      </c>
      <c r="O140" t="s">
        <v>715</v>
      </c>
      <c r="P140" t="s">
        <v>366</v>
      </c>
      <c r="Q140" t="s">
        <v>249</v>
      </c>
    </row>
    <row r="141" spans="2:17">
      <c r="B141" s="367"/>
      <c r="C141">
        <v>8</v>
      </c>
      <c r="D141" t="s">
        <v>228</v>
      </c>
      <c r="E141" t="s">
        <v>14</v>
      </c>
      <c r="F141" t="s">
        <v>249</v>
      </c>
      <c r="M141" s="367"/>
      <c r="N141">
        <v>8</v>
      </c>
      <c r="O141" t="s">
        <v>228</v>
      </c>
      <c r="P141" t="s">
        <v>14</v>
      </c>
      <c r="Q141" t="s">
        <v>249</v>
      </c>
    </row>
    <row r="142" spans="2:17">
      <c r="B142" s="367"/>
      <c r="C142">
        <v>150</v>
      </c>
      <c r="D142" t="s">
        <v>716</v>
      </c>
      <c r="E142" t="s">
        <v>688</v>
      </c>
      <c r="F142" t="s">
        <v>247</v>
      </c>
      <c r="M142" s="367"/>
      <c r="N142">
        <v>150</v>
      </c>
      <c r="O142" t="s">
        <v>716</v>
      </c>
      <c r="P142" t="s">
        <v>688</v>
      </c>
      <c r="Q142" t="s">
        <v>247</v>
      </c>
    </row>
    <row r="143" spans="2:17">
      <c r="B143" s="367"/>
      <c r="M143" s="367"/>
    </row>
    <row r="144" spans="2:17">
      <c r="B144" s="367">
        <v>45989</v>
      </c>
      <c r="C144">
        <v>0</v>
      </c>
      <c r="D144" t="s">
        <v>390</v>
      </c>
      <c r="E144" t="s">
        <v>251</v>
      </c>
      <c r="F144" t="s">
        <v>249</v>
      </c>
      <c r="M144" s="367">
        <v>45989</v>
      </c>
      <c r="N144">
        <v>0</v>
      </c>
      <c r="O144" t="s">
        <v>390</v>
      </c>
      <c r="P144" t="s">
        <v>251</v>
      </c>
      <c r="Q144" t="s">
        <v>249</v>
      </c>
    </row>
    <row r="145" spans="2:17">
      <c r="B145" s="367"/>
      <c r="C145">
        <v>9</v>
      </c>
      <c r="D145" t="s">
        <v>617</v>
      </c>
      <c r="E145" t="s">
        <v>250</v>
      </c>
      <c r="F145" t="s">
        <v>249</v>
      </c>
      <c r="M145" s="367"/>
      <c r="N145">
        <v>9</v>
      </c>
      <c r="O145" t="s">
        <v>617</v>
      </c>
      <c r="P145" t="s">
        <v>250</v>
      </c>
      <c r="Q145" t="s">
        <v>249</v>
      </c>
    </row>
    <row r="146" spans="2:17">
      <c r="B146" s="367"/>
      <c r="C146">
        <v>25</v>
      </c>
      <c r="D146" t="s">
        <v>513</v>
      </c>
      <c r="E146" t="s">
        <v>366</v>
      </c>
      <c r="F146" t="s">
        <v>249</v>
      </c>
      <c r="M146" s="367"/>
      <c r="N146">
        <v>25</v>
      </c>
      <c r="O146" t="s">
        <v>513</v>
      </c>
      <c r="P146" t="s">
        <v>366</v>
      </c>
      <c r="Q146" t="s">
        <v>249</v>
      </c>
    </row>
    <row r="147" spans="2:17">
      <c r="B147" s="367"/>
      <c r="C147">
        <v>8</v>
      </c>
      <c r="D147" t="s">
        <v>228</v>
      </c>
      <c r="E147" t="s">
        <v>14</v>
      </c>
      <c r="F147" t="s">
        <v>249</v>
      </c>
      <c r="M147" s="367"/>
      <c r="N147">
        <v>8</v>
      </c>
      <c r="O147" t="s">
        <v>228</v>
      </c>
      <c r="P147" t="s">
        <v>14</v>
      </c>
      <c r="Q147" t="s">
        <v>249</v>
      </c>
    </row>
    <row r="148" spans="2:17">
      <c r="B148" s="367"/>
      <c r="F148" s="403"/>
      <c r="M148" s="367"/>
      <c r="Q148" s="403"/>
    </row>
    <row r="149" spans="2:17">
      <c r="B149" s="367">
        <v>45990</v>
      </c>
      <c r="C149">
        <v>0</v>
      </c>
      <c r="D149" t="s">
        <v>390</v>
      </c>
      <c r="E149" t="s">
        <v>251</v>
      </c>
      <c r="F149" t="s">
        <v>249</v>
      </c>
      <c r="M149" s="367">
        <v>45990</v>
      </c>
      <c r="N149">
        <v>0</v>
      </c>
      <c r="O149" t="s">
        <v>390</v>
      </c>
      <c r="P149" t="s">
        <v>251</v>
      </c>
      <c r="Q149" t="s">
        <v>249</v>
      </c>
    </row>
    <row r="150" spans="2:17">
      <c r="B150" s="367"/>
      <c r="C150">
        <v>12</v>
      </c>
      <c r="D150" t="s">
        <v>570</v>
      </c>
      <c r="E150" t="s">
        <v>250</v>
      </c>
      <c r="F150" t="s">
        <v>249</v>
      </c>
      <c r="M150" s="367"/>
      <c r="N150">
        <v>12</v>
      </c>
      <c r="O150" t="s">
        <v>570</v>
      </c>
      <c r="P150" t="s">
        <v>250</v>
      </c>
      <c r="Q150" t="s">
        <v>249</v>
      </c>
    </row>
    <row r="151" spans="2:17">
      <c r="B151" s="367"/>
      <c r="C151">
        <v>17</v>
      </c>
      <c r="D151" t="s">
        <v>513</v>
      </c>
      <c r="E151" t="s">
        <v>366</v>
      </c>
      <c r="F151" t="s">
        <v>249</v>
      </c>
      <c r="M151" s="367"/>
      <c r="N151">
        <v>17</v>
      </c>
      <c r="O151" t="s">
        <v>513</v>
      </c>
      <c r="P151" t="s">
        <v>366</v>
      </c>
      <c r="Q151" t="s">
        <v>249</v>
      </c>
    </row>
    <row r="152" spans="2:17">
      <c r="B152" s="367"/>
      <c r="C152">
        <v>28</v>
      </c>
      <c r="D152" t="s">
        <v>228</v>
      </c>
      <c r="E152" t="s">
        <v>14</v>
      </c>
      <c r="F152" t="s">
        <v>249</v>
      </c>
      <c r="M152" s="367"/>
      <c r="N152">
        <v>28</v>
      </c>
      <c r="O152" t="s">
        <v>228</v>
      </c>
      <c r="P152" t="s">
        <v>14</v>
      </c>
      <c r="Q152" t="s">
        <v>249</v>
      </c>
    </row>
    <row r="153" spans="2:17">
      <c r="B153" s="367"/>
      <c r="F153" s="403"/>
      <c r="M153" s="367"/>
      <c r="Q153" s="403"/>
    </row>
    <row r="154" spans="2:17">
      <c r="B154" s="367">
        <v>45991</v>
      </c>
      <c r="C154">
        <v>0</v>
      </c>
      <c r="D154" t="s">
        <v>390</v>
      </c>
      <c r="E154" t="s">
        <v>251</v>
      </c>
      <c r="F154" t="s">
        <v>249</v>
      </c>
      <c r="M154" s="367">
        <v>45991</v>
      </c>
      <c r="N154">
        <v>0</v>
      </c>
      <c r="O154" t="s">
        <v>390</v>
      </c>
      <c r="P154" t="s">
        <v>251</v>
      </c>
      <c r="Q154" t="s">
        <v>249</v>
      </c>
    </row>
    <row r="155" spans="2:17">
      <c r="B155" s="367"/>
      <c r="C155">
        <v>10</v>
      </c>
      <c r="D155" t="s">
        <v>723</v>
      </c>
      <c r="E155" t="s">
        <v>250</v>
      </c>
      <c r="F155" t="s">
        <v>249</v>
      </c>
      <c r="M155" s="367"/>
      <c r="N155">
        <v>10</v>
      </c>
      <c r="O155" t="s">
        <v>723</v>
      </c>
      <c r="P155" t="s">
        <v>250</v>
      </c>
      <c r="Q155" t="s">
        <v>249</v>
      </c>
    </row>
    <row r="156" spans="2:17">
      <c r="B156" s="367"/>
      <c r="C156">
        <v>22</v>
      </c>
      <c r="D156" t="s">
        <v>607</v>
      </c>
      <c r="E156" t="s">
        <v>366</v>
      </c>
      <c r="F156" t="s">
        <v>249</v>
      </c>
      <c r="M156" s="367"/>
      <c r="N156">
        <v>22</v>
      </c>
      <c r="O156" t="s">
        <v>607</v>
      </c>
      <c r="P156" t="s">
        <v>366</v>
      </c>
      <c r="Q156" t="s">
        <v>249</v>
      </c>
    </row>
    <row r="157" spans="2:17">
      <c r="B157" s="367"/>
      <c r="C157">
        <v>18</v>
      </c>
      <c r="D157" t="s">
        <v>228</v>
      </c>
      <c r="E157" t="s">
        <v>14</v>
      </c>
      <c r="F157" t="s">
        <v>249</v>
      </c>
      <c r="M157" s="367"/>
      <c r="N157">
        <v>18</v>
      </c>
      <c r="O157" t="s">
        <v>228</v>
      </c>
      <c r="P157" t="s">
        <v>14</v>
      </c>
      <c r="Q157" t="s">
        <v>249</v>
      </c>
    </row>
    <row r="158" spans="2:17">
      <c r="B158" s="367"/>
      <c r="M158" s="367"/>
    </row>
    <row r="159" spans="2:17">
      <c r="B159" s="367"/>
      <c r="M159" s="367"/>
    </row>
    <row r="160" spans="2:17">
      <c r="B160" s="367"/>
      <c r="M160" s="367"/>
    </row>
    <row r="161" spans="2:13">
      <c r="B161" s="367"/>
      <c r="M161" s="367"/>
    </row>
    <row r="162" spans="2:13">
      <c r="B162" s="367"/>
      <c r="M162" s="367"/>
    </row>
    <row r="163" spans="2:13">
      <c r="B163" s="367"/>
      <c r="M163" s="367"/>
    </row>
    <row r="164" spans="2:13">
      <c r="B164" s="367"/>
      <c r="M164" s="367"/>
    </row>
    <row r="165" spans="2:13">
      <c r="B165" s="367"/>
      <c r="M165" s="367"/>
    </row>
    <row r="166" spans="2:13">
      <c r="B166" s="367"/>
      <c r="M166" s="367"/>
    </row>
    <row r="167" spans="2:13">
      <c r="B167" s="367"/>
      <c r="M167" s="367"/>
    </row>
    <row r="168" spans="2:13">
      <c r="B168" s="367"/>
      <c r="M168" s="367"/>
    </row>
    <row r="169" spans="2:13">
      <c r="B169" s="367"/>
      <c r="M169" s="367"/>
    </row>
    <row r="170" spans="2:13">
      <c r="B170" s="367"/>
      <c r="M170" s="367"/>
    </row>
    <row r="171" spans="2:13">
      <c r="B171" s="367"/>
      <c r="M171" s="367"/>
    </row>
    <row r="172" spans="2:13">
      <c r="B172" s="367"/>
      <c r="M172" s="367"/>
    </row>
    <row r="173" spans="2:13">
      <c r="B173" s="367"/>
      <c r="M173" s="367"/>
    </row>
    <row r="174" spans="2:13">
      <c r="B174" s="367"/>
      <c r="M174" s="367"/>
    </row>
    <row r="175" spans="2:13">
      <c r="B175" s="367"/>
      <c r="M175" s="367"/>
    </row>
    <row r="176" spans="2:13">
      <c r="B176" s="367"/>
      <c r="M176" s="367"/>
    </row>
    <row r="177" spans="2:13">
      <c r="B177" s="367"/>
      <c r="M177" s="367"/>
    </row>
    <row r="178" spans="2:13">
      <c r="B178" s="367"/>
      <c r="M178" s="367"/>
    </row>
    <row r="179" spans="2:13">
      <c r="B179" s="367"/>
      <c r="M179" s="367"/>
    </row>
    <row r="180" spans="2:13">
      <c r="B180" s="367"/>
      <c r="M180" s="367"/>
    </row>
    <row r="181" spans="2:13">
      <c r="B181" s="367"/>
      <c r="M181" s="367"/>
    </row>
    <row r="182" spans="2:13">
      <c r="B182" s="367"/>
      <c r="M182" s="367"/>
    </row>
    <row r="183" spans="2:13">
      <c r="B183" s="367"/>
      <c r="M183" s="367"/>
    </row>
    <row r="184" spans="2:13">
      <c r="B184" s="367"/>
      <c r="M184" s="367"/>
    </row>
    <row r="185" spans="2:13">
      <c r="B185" s="367"/>
    </row>
    <row r="186" spans="2:13">
      <c r="B186" s="367"/>
    </row>
    <row r="187" spans="2:13">
      <c r="B187" s="367"/>
    </row>
    <row r="188" spans="2:13">
      <c r="B188" s="367"/>
    </row>
    <row r="189" spans="2:13">
      <c r="B189" s="367"/>
    </row>
    <row r="190" spans="2:13">
      <c r="B190" s="367"/>
    </row>
    <row r="191" spans="2:13">
      <c r="B191" s="367"/>
    </row>
    <row r="192" spans="2:13">
      <c r="B192" s="367"/>
    </row>
    <row r="193" spans="2:2">
      <c r="B193" s="367"/>
    </row>
    <row r="194" spans="2:2">
      <c r="B194" s="367"/>
    </row>
    <row r="195" spans="2:2">
      <c r="B195" s="367"/>
    </row>
    <row r="196" spans="2:2">
      <c r="B196" s="367"/>
    </row>
    <row r="197" spans="2:2">
      <c r="B197" s="367"/>
    </row>
    <row r="198" spans="2:2">
      <c r="B198" s="367"/>
    </row>
    <row r="199" spans="2:2">
      <c r="B199" s="367"/>
    </row>
    <row r="200" spans="2:2">
      <c r="B200" s="367"/>
    </row>
    <row r="201" spans="2:2">
      <c r="B201" s="367"/>
    </row>
    <row r="202" spans="2:2">
      <c r="B202" s="367"/>
    </row>
    <row r="203" spans="2:2">
      <c r="B203" s="367"/>
    </row>
    <row r="204" spans="2:2">
      <c r="B204" s="367"/>
    </row>
    <row r="205" spans="2:2">
      <c r="B205" s="367"/>
    </row>
    <row r="206" spans="2:2">
      <c r="B206" s="367"/>
    </row>
    <row r="207" spans="2:2">
      <c r="B207" s="367"/>
    </row>
    <row r="208" spans="2:2">
      <c r="B208" s="367"/>
    </row>
    <row r="209" spans="2:2">
      <c r="B209" s="367"/>
    </row>
    <row r="210" spans="2:2">
      <c r="B210" s="367"/>
    </row>
    <row r="211" spans="2:2">
      <c r="B211" s="367"/>
    </row>
    <row r="212" spans="2:2">
      <c r="B212" s="367"/>
    </row>
    <row r="213" spans="2:2">
      <c r="B213" s="367"/>
    </row>
    <row r="214" spans="2:2">
      <c r="B214" s="367"/>
    </row>
    <row r="215" spans="2:2">
      <c r="B215" s="367"/>
    </row>
    <row r="216" spans="2:2">
      <c r="B216" s="367"/>
    </row>
    <row r="217" spans="2:2">
      <c r="B217" s="367"/>
    </row>
    <row r="218" spans="2:2">
      <c r="B218" s="367"/>
    </row>
    <row r="219" spans="2:2">
      <c r="B219" s="367"/>
    </row>
    <row r="220" spans="2:2">
      <c r="B220" s="367"/>
    </row>
    <row r="221" spans="2:2">
      <c r="B221" s="367"/>
    </row>
    <row r="222" spans="2:2">
      <c r="B222" s="367"/>
    </row>
    <row r="223" spans="2:2">
      <c r="B223" s="367"/>
    </row>
    <row r="224" spans="2:2">
      <c r="B224" s="367"/>
    </row>
    <row r="225" spans="2:2">
      <c r="B225" s="367"/>
    </row>
    <row r="226" spans="2:2">
      <c r="B226" s="367"/>
    </row>
    <row r="227" spans="2:2">
      <c r="B227" s="367"/>
    </row>
    <row r="228" spans="2:2">
      <c r="B228" s="367"/>
    </row>
    <row r="229" spans="2:2">
      <c r="B229" s="367"/>
    </row>
    <row r="230" spans="2:2">
      <c r="B230" s="367"/>
    </row>
    <row r="231" spans="2:2">
      <c r="B231" s="367"/>
    </row>
    <row r="232" spans="2:2">
      <c r="B232" s="367"/>
    </row>
    <row r="233" spans="2:2">
      <c r="B233" s="367"/>
    </row>
    <row r="234" spans="2:2">
      <c r="B234" s="367"/>
    </row>
    <row r="235" spans="2:2">
      <c r="B235" s="367"/>
    </row>
    <row r="236" spans="2:2">
      <c r="B236" s="367"/>
    </row>
    <row r="237" spans="2:2">
      <c r="B237" s="367"/>
    </row>
    <row r="238" spans="2:2">
      <c r="B238" s="367"/>
    </row>
    <row r="239" spans="2:2">
      <c r="B239" s="367"/>
    </row>
    <row r="240" spans="2:2">
      <c r="B240" s="367"/>
    </row>
    <row r="241" spans="2:2">
      <c r="B241" s="367"/>
    </row>
    <row r="242" spans="2:2">
      <c r="B242" s="367"/>
    </row>
    <row r="243" spans="2:2">
      <c r="B243" s="367"/>
    </row>
    <row r="244" spans="2:2">
      <c r="B244" s="367"/>
    </row>
    <row r="245" spans="2:2">
      <c r="B245" s="367"/>
    </row>
    <row r="246" spans="2:2">
      <c r="B246" s="367"/>
    </row>
    <row r="247" spans="2:2">
      <c r="B247" s="367"/>
    </row>
    <row r="248" spans="2:2">
      <c r="B248" s="367"/>
    </row>
    <row r="249" spans="2:2">
      <c r="B249" s="367"/>
    </row>
    <row r="250" spans="2:2">
      <c r="B250" s="367"/>
    </row>
    <row r="251" spans="2:2">
      <c r="B251" s="367"/>
    </row>
    <row r="252" spans="2:2">
      <c r="B252" s="367"/>
    </row>
    <row r="253" spans="2:2">
      <c r="B253" s="367"/>
    </row>
    <row r="254" spans="2:2">
      <c r="B254" s="367"/>
    </row>
    <row r="255" spans="2:2">
      <c r="B255" s="367"/>
    </row>
    <row r="256" spans="2:2">
      <c r="B256" s="367"/>
    </row>
    <row r="257" spans="2:2">
      <c r="B257" s="367"/>
    </row>
    <row r="258" spans="2:2">
      <c r="B258" s="367"/>
    </row>
    <row r="259" spans="2:2">
      <c r="B259" s="367"/>
    </row>
    <row r="260" spans="2:2">
      <c r="B260" s="367"/>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1" workbookViewId="0">
      <selection activeCell="J2" sqref="J2:J3"/>
    </sheetView>
  </sheetViews>
  <sheetFormatPr defaultRowHeight="12.75"/>
  <cols>
    <col min="1" max="1" width="15.28515625" bestFit="1" customWidth="1"/>
    <col min="2" max="2" width="23.28515625" bestFit="1" customWidth="1"/>
    <col min="3" max="3" width="34.28515625" style="572" customWidth="1"/>
    <col min="4" max="8" width="13.5703125" customWidth="1"/>
    <col min="10" max="10" width="15.28515625" bestFit="1" customWidth="1"/>
    <col min="11" max="11" width="23.28515625" bestFit="1" customWidth="1"/>
    <col min="12" max="12" width="34.28515625" style="572" customWidth="1"/>
    <col min="13" max="17" width="13.5703125" customWidth="1"/>
  </cols>
  <sheetData>
    <row r="1" spans="1:17" ht="15">
      <c r="A1" s="457" t="s">
        <v>388</v>
      </c>
      <c r="E1" s="459"/>
      <c r="F1" s="1"/>
      <c r="J1" s="457" t="s">
        <v>389</v>
      </c>
      <c r="N1" s="459"/>
      <c r="O1" s="1"/>
    </row>
    <row r="2" spans="1:17" ht="30">
      <c r="A2" s="759" t="s">
        <v>233</v>
      </c>
      <c r="B2" s="759" t="s">
        <v>234</v>
      </c>
      <c r="C2" s="760" t="s">
        <v>235</v>
      </c>
      <c r="D2" s="460" t="s">
        <v>236</v>
      </c>
      <c r="E2" s="569" t="s">
        <v>237</v>
      </c>
      <c r="F2" s="462" t="s">
        <v>238</v>
      </c>
      <c r="G2" s="569" t="s">
        <v>239</v>
      </c>
      <c r="H2" s="569" t="s">
        <v>240</v>
      </c>
      <c r="J2" s="759" t="s">
        <v>233</v>
      </c>
      <c r="K2" s="759" t="s">
        <v>234</v>
      </c>
      <c r="L2" s="758" t="s">
        <v>235</v>
      </c>
      <c r="M2" s="460" t="s">
        <v>236</v>
      </c>
      <c r="N2" s="569" t="s">
        <v>237</v>
      </c>
      <c r="O2" s="462" t="s">
        <v>238</v>
      </c>
      <c r="P2" s="569" t="s">
        <v>239</v>
      </c>
      <c r="Q2" s="569" t="s">
        <v>240</v>
      </c>
    </row>
    <row r="3" spans="1:17" ht="15">
      <c r="A3" s="759"/>
      <c r="B3" s="759"/>
      <c r="C3" s="761"/>
      <c r="D3" s="460" t="s">
        <v>405</v>
      </c>
      <c r="E3" s="460" t="str">
        <f>+D3</f>
        <v>NOVEMBER</v>
      </c>
      <c r="F3" s="460" t="str">
        <f>+E3</f>
        <v>NOVEMBER</v>
      </c>
      <c r="G3" s="460" t="str">
        <f>+F3</f>
        <v>NOVEMBER</v>
      </c>
      <c r="H3" s="460" t="str">
        <f>+G3</f>
        <v>NOVEMBER</v>
      </c>
      <c r="J3" s="759"/>
      <c r="K3" s="759"/>
      <c r="L3" s="758"/>
      <c r="M3" s="460" t="str">
        <f>+H3</f>
        <v>NOVEMBER</v>
      </c>
      <c r="N3" s="460" t="str">
        <f>+M3</f>
        <v>NOVEMBER</v>
      </c>
      <c r="O3" s="460" t="str">
        <f>+N3</f>
        <v>NOVEMBER</v>
      </c>
      <c r="P3" s="460" t="str">
        <f>+O3</f>
        <v>NOVEMBER</v>
      </c>
      <c r="Q3" s="460" t="str">
        <f>+P3</f>
        <v>NOVEMBER</v>
      </c>
    </row>
    <row r="4" spans="1:17" ht="15">
      <c r="A4" s="743" t="s">
        <v>241</v>
      </c>
      <c r="B4" s="571" t="s">
        <v>299</v>
      </c>
      <c r="C4" s="573"/>
      <c r="D4" s="6">
        <f>SUMIFS(Sheet1!$C$2:$C$180,Sheet1!$F$2:$F$180,B4,Sheet1!$E$2:$E$180,C4)</f>
        <v>0</v>
      </c>
      <c r="E4" s="6">
        <f>D4/Sheet1!$I$9*Sheet1!$I$10</f>
        <v>0</v>
      </c>
      <c r="F4" s="473">
        <f>D4/Sheet1!$I$9*Sheet1!$I$11</f>
        <v>0</v>
      </c>
      <c r="G4" s="570">
        <f>F4</f>
        <v>0</v>
      </c>
      <c r="H4" s="757">
        <f>SUM(G4:G11)</f>
        <v>0</v>
      </c>
      <c r="J4" s="743" t="s">
        <v>241</v>
      </c>
      <c r="K4" s="571" t="s">
        <v>299</v>
      </c>
      <c r="L4" s="573"/>
      <c r="M4" s="6">
        <f>SUMIFS(Sheet1!$N$2:$N$180,Sheet1!$Q$2:$Q$180,K4,Sheet1!$P$2:$P$180,L4)</f>
        <v>0</v>
      </c>
      <c r="N4" s="6">
        <f>M4/Sheet1!$T$9*Sheet1!$T$10</f>
        <v>0</v>
      </c>
      <c r="O4" s="473">
        <f>M4/Sheet1!$T$9*Sheet1!$T$11</f>
        <v>0</v>
      </c>
      <c r="P4" s="570">
        <f>O4</f>
        <v>0</v>
      </c>
      <c r="Q4" s="757">
        <f>SUM(P4:P11)</f>
        <v>0</v>
      </c>
    </row>
    <row r="5" spans="1:17" ht="15">
      <c r="A5" s="743"/>
      <c r="B5" s="571" t="s">
        <v>242</v>
      </c>
      <c r="C5" s="573"/>
      <c r="D5" s="6">
        <f>SUMIFS(Sheet1!$C$2:$C$180,Sheet1!$F$2:$F$180,B5,Sheet1!$E$2:$E$180,C5)</f>
        <v>0</v>
      </c>
      <c r="E5" s="6">
        <f>D5/Sheet1!$I$9*Sheet1!$I$10</f>
        <v>0</v>
      </c>
      <c r="F5" s="473">
        <f>D5/Sheet1!$I$9*Sheet1!$I$11</f>
        <v>0</v>
      </c>
      <c r="G5" s="574">
        <f t="shared" ref="G5:G14" si="0">F5</f>
        <v>0</v>
      </c>
      <c r="H5" s="743"/>
      <c r="J5" s="743"/>
      <c r="K5" s="571" t="s">
        <v>242</v>
      </c>
      <c r="L5" s="573"/>
      <c r="M5" s="6">
        <f>SUMIFS(Sheet1!$N$2:$N$180,Sheet1!$Q$2:$Q$180,K5,Sheet1!$P$2:$P$180,L5)</f>
        <v>0</v>
      </c>
      <c r="N5" s="6">
        <f>M5/Sheet1!$T$9*Sheet1!$T$10</f>
        <v>0</v>
      </c>
      <c r="O5" s="473">
        <f>M5/Sheet1!$T$9*Sheet1!$T$11</f>
        <v>0</v>
      </c>
      <c r="P5" s="574">
        <f t="shared" ref="P5:P14" si="1">O5</f>
        <v>0</v>
      </c>
      <c r="Q5" s="743"/>
    </row>
    <row r="6" spans="1:17" ht="15">
      <c r="A6" s="743"/>
      <c r="B6" s="746" t="s">
        <v>303</v>
      </c>
      <c r="C6" s="573"/>
      <c r="D6" s="6">
        <f>SUMIFS(Sheet1!$C$2:$C$180,Sheet1!$F$2:$F$180,B6,Sheet1!$E$2:$E$180,C6)</f>
        <v>0</v>
      </c>
      <c r="E6" s="6">
        <f>D6/Sheet1!$I$9*Sheet1!$I$10</f>
        <v>0</v>
      </c>
      <c r="F6" s="473">
        <f>D6/Sheet1!$I$9*Sheet1!$I$11</f>
        <v>0</v>
      </c>
      <c r="G6" s="574">
        <f t="shared" si="0"/>
        <v>0</v>
      </c>
      <c r="H6" s="743"/>
      <c r="J6" s="743"/>
      <c r="K6" s="746" t="s">
        <v>303</v>
      </c>
      <c r="L6" s="573"/>
      <c r="M6" s="6">
        <f>SUMIFS(Sheet1!$N$2:$N$180,Sheet1!$Q$2:$Q$180,K6,Sheet1!$P$2:$P$180,L6)</f>
        <v>0</v>
      </c>
      <c r="N6" s="6">
        <f>M6/Sheet1!$T$9*Sheet1!$T$10</f>
        <v>0</v>
      </c>
      <c r="O6" s="473">
        <f>M6/Sheet1!$T$9*Sheet1!$T$11</f>
        <v>0</v>
      </c>
      <c r="P6" s="574">
        <f t="shared" si="1"/>
        <v>0</v>
      </c>
      <c r="Q6" s="743"/>
    </row>
    <row r="7" spans="1:17" ht="15">
      <c r="A7" s="743"/>
      <c r="B7" s="747"/>
      <c r="C7" s="573"/>
      <c r="D7" s="6">
        <f>SUMIFS(Sheet1!$C$2:$C$180,Sheet1!$F$2:$F$180,B6,Sheet1!$E$2:$E$180,C7)</f>
        <v>0</v>
      </c>
      <c r="E7" s="6">
        <f>D7/Sheet1!$I$9*Sheet1!$I$10</f>
        <v>0</v>
      </c>
      <c r="F7" s="473">
        <f>D7/Sheet1!$I$9*Sheet1!$I$11</f>
        <v>0</v>
      </c>
      <c r="G7" s="574">
        <f t="shared" si="0"/>
        <v>0</v>
      </c>
      <c r="H7" s="743"/>
      <c r="J7" s="743"/>
      <c r="K7" s="747"/>
      <c r="L7" s="573"/>
      <c r="M7" s="6">
        <f>SUMIFS(Sheet1!$N$2:$N$180,Sheet1!$Q$2:$Q$180,K6,Sheet1!$P$2:$P$180,L7)</f>
        <v>0</v>
      </c>
      <c r="N7" s="6">
        <f>M7/Sheet1!$T$9*Sheet1!$T$10</f>
        <v>0</v>
      </c>
      <c r="O7" s="473">
        <f>M7/Sheet1!$T$9*Sheet1!$T$11</f>
        <v>0</v>
      </c>
      <c r="P7" s="574">
        <f t="shared" si="1"/>
        <v>0</v>
      </c>
      <c r="Q7" s="743"/>
    </row>
    <row r="8" spans="1:17">
      <c r="A8" s="743"/>
      <c r="B8" s="746" t="s">
        <v>302</v>
      </c>
      <c r="C8" s="573"/>
      <c r="D8" s="6">
        <f>SUMIFS(Sheet1!$C$2:$C$180,Sheet1!$F$2:$F$180,B8,Sheet1!$E$2:$E$180,C8)</f>
        <v>0</v>
      </c>
      <c r="E8" s="6">
        <f>D8/Sheet1!$I$9*Sheet1!$I$10</f>
        <v>0</v>
      </c>
      <c r="F8" s="473">
        <f>D8/Sheet1!$I$9*Sheet1!$I$11</f>
        <v>0</v>
      </c>
      <c r="G8" s="575">
        <f t="shared" si="0"/>
        <v>0</v>
      </c>
      <c r="H8" s="743"/>
      <c r="J8" s="743"/>
      <c r="K8" s="746" t="s">
        <v>302</v>
      </c>
      <c r="L8" s="573"/>
      <c r="M8" s="6">
        <f>SUMIFS(Sheet1!$N$2:$N$180,Sheet1!$Q$2:$Q$180,K8,Sheet1!$P$2:$P$180,L8)</f>
        <v>0</v>
      </c>
      <c r="N8" s="6">
        <f>M8/Sheet1!$T$9*Sheet1!$T$10</f>
        <v>0</v>
      </c>
      <c r="O8" s="473">
        <f>M8/Sheet1!$T$9*Sheet1!$T$11</f>
        <v>0</v>
      </c>
      <c r="P8" s="575">
        <f t="shared" si="1"/>
        <v>0</v>
      </c>
      <c r="Q8" s="743"/>
    </row>
    <row r="9" spans="1:17">
      <c r="A9" s="743"/>
      <c r="B9" s="747"/>
      <c r="C9" s="573"/>
      <c r="D9" s="6">
        <f>SUMIFS(Sheet1!$C$2:$C$180,Sheet1!$F$2:$F$180,B8,Sheet1!$E$2:$E$180,C9)</f>
        <v>0</v>
      </c>
      <c r="E9" s="6">
        <f>D9/Sheet1!$I$9*Sheet1!$I$10</f>
        <v>0</v>
      </c>
      <c r="F9" s="473">
        <f>D9/Sheet1!$I$9*Sheet1!$I$11</f>
        <v>0</v>
      </c>
      <c r="G9" s="575">
        <f t="shared" si="0"/>
        <v>0</v>
      </c>
      <c r="H9" s="743"/>
      <c r="J9" s="743"/>
      <c r="K9" s="747"/>
      <c r="L9" s="573"/>
      <c r="M9" s="6">
        <f>SUMIFS(Sheet1!$N$2:$N$180,Sheet1!$Q$2:$Q$180,K8,Sheet1!$P$2:$P$180,L9)</f>
        <v>0</v>
      </c>
      <c r="N9" s="6">
        <f>M9/Sheet1!$T$9*Sheet1!$T$10</f>
        <v>0</v>
      </c>
      <c r="O9" s="473">
        <f>M9/Sheet1!$T$9*Sheet1!$T$11</f>
        <v>0</v>
      </c>
      <c r="P9" s="575">
        <f t="shared" si="1"/>
        <v>0</v>
      </c>
      <c r="Q9" s="743"/>
    </row>
    <row r="10" spans="1:17" ht="15" customHeight="1">
      <c r="A10" s="743"/>
      <c r="B10" s="746" t="s">
        <v>365</v>
      </c>
      <c r="C10" s="573"/>
      <c r="D10" s="6">
        <f>SUMIFS(Sheet1!$C$2:$C$180,Sheet1!$F$2:$F$180,B10,Sheet1!$E$2:$E$180,C10)</f>
        <v>0</v>
      </c>
      <c r="E10" s="6">
        <f>D10/Sheet1!$I$9*Sheet1!$I$10</f>
        <v>0</v>
      </c>
      <c r="F10" s="473">
        <f>D10/Sheet1!$I$9*Sheet1!$I$11</f>
        <v>0</v>
      </c>
      <c r="G10" s="575">
        <f t="shared" si="0"/>
        <v>0</v>
      </c>
      <c r="H10" s="743"/>
      <c r="J10" s="743"/>
      <c r="K10" s="746" t="s">
        <v>365</v>
      </c>
      <c r="L10" s="573"/>
      <c r="M10" s="6">
        <f>SUMIFS(Sheet1!$N$2:$N$180,Sheet1!$Q$2:$Q$180,K10,Sheet1!$P$2:$P$180,L10)</f>
        <v>0</v>
      </c>
      <c r="N10" s="6">
        <f>M10/Sheet1!$T$9*Sheet1!$T$10</f>
        <v>0</v>
      </c>
      <c r="O10" s="473">
        <f>M10/Sheet1!$T$9*Sheet1!$T$11</f>
        <v>0</v>
      </c>
      <c r="P10" s="575">
        <f t="shared" si="1"/>
        <v>0</v>
      </c>
      <c r="Q10" s="743"/>
    </row>
    <row r="11" spans="1:17" ht="15" customHeight="1">
      <c r="A11" s="743"/>
      <c r="B11" s="747"/>
      <c r="C11" s="573"/>
      <c r="D11" s="6">
        <f>SUMIFS(Sheet1!$C$2:$C$180,Sheet1!$F$2:$F$180,B10,Sheet1!$E$2:$E$180,C11)</f>
        <v>0</v>
      </c>
      <c r="E11" s="6">
        <f>D11/Sheet1!$I$9*Sheet1!$I$10</f>
        <v>0</v>
      </c>
      <c r="F11" s="473">
        <f>D11/Sheet1!$I$9*Sheet1!$I$11</f>
        <v>0</v>
      </c>
      <c r="G11" s="575">
        <f t="shared" si="0"/>
        <v>0</v>
      </c>
      <c r="H11" s="743"/>
      <c r="J11" s="743"/>
      <c r="K11" s="747"/>
      <c r="L11" s="573"/>
      <c r="M11" s="6">
        <f>SUMIFS(Sheet1!$N$2:$N$180,Sheet1!$Q$2:$Q$180,K10,Sheet1!$P$2:$P$180,L11)</f>
        <v>0</v>
      </c>
      <c r="N11" s="6">
        <f>M11/Sheet1!$T$9*Sheet1!$T$10</f>
        <v>0</v>
      </c>
      <c r="O11" s="473">
        <f>M11/Sheet1!$T$9*Sheet1!$T$11</f>
        <v>0</v>
      </c>
      <c r="P11" s="575">
        <f t="shared" si="1"/>
        <v>0</v>
      </c>
      <c r="Q11" s="743"/>
    </row>
    <row r="12" spans="1:17" ht="15">
      <c r="A12" s="743" t="s">
        <v>11</v>
      </c>
      <c r="B12" s="571" t="s">
        <v>160</v>
      </c>
      <c r="C12" s="573" t="s">
        <v>160</v>
      </c>
      <c r="D12" s="6"/>
      <c r="E12" s="6">
        <f>+Sheet1!I2</f>
        <v>3.992016282460769</v>
      </c>
      <c r="F12" s="473">
        <f>E12/Sheet1!$I$8</f>
        <v>2.4380392802380597E-3</v>
      </c>
      <c r="G12" s="574">
        <f t="shared" si="0"/>
        <v>2.4380392802380597E-3</v>
      </c>
      <c r="H12" s="751">
        <f>SUM(G12:G13)</f>
        <v>9.6019642974331035E-3</v>
      </c>
      <c r="J12" s="743" t="s">
        <v>11</v>
      </c>
      <c r="K12" s="571" t="s">
        <v>160</v>
      </c>
      <c r="L12" s="573" t="s">
        <v>160</v>
      </c>
      <c r="M12" s="6"/>
      <c r="N12" s="6">
        <f>+Sheet1!T2</f>
        <v>3.992016282460769</v>
      </c>
      <c r="O12" s="473">
        <f>+Sheet1!U2</f>
        <v>2.4380392802380597E-3</v>
      </c>
      <c r="P12" s="574">
        <f t="shared" si="1"/>
        <v>2.4380392802380597E-3</v>
      </c>
      <c r="Q12" s="751">
        <f>SUM(P12:P13)</f>
        <v>9.6019642974331035E-3</v>
      </c>
    </row>
    <row r="13" spans="1:17" ht="15">
      <c r="A13" s="743"/>
      <c r="B13" s="571" t="s">
        <v>243</v>
      </c>
      <c r="C13" s="573" t="s">
        <v>244</v>
      </c>
      <c r="D13" s="6"/>
      <c r="E13" s="6">
        <f>+Sheet1!I3</f>
        <v>11.7301249191433</v>
      </c>
      <c r="F13" s="473">
        <f>E13/Sheet1!$I$8</f>
        <v>7.1639250171950438E-3</v>
      </c>
      <c r="G13" s="574">
        <f t="shared" si="0"/>
        <v>7.1639250171950438E-3</v>
      </c>
      <c r="H13" s="752"/>
      <c r="J13" s="743"/>
      <c r="K13" s="571" t="s">
        <v>243</v>
      </c>
      <c r="L13" s="573" t="s">
        <v>244</v>
      </c>
      <c r="M13" s="6"/>
      <c r="N13" s="6">
        <f>+Sheet1!T3</f>
        <v>11.7301249191433</v>
      </c>
      <c r="O13" s="473">
        <f>+Sheet1!U3</f>
        <v>7.1639250171950438E-3</v>
      </c>
      <c r="P13" s="574">
        <f t="shared" si="1"/>
        <v>7.1639250171950438E-3</v>
      </c>
      <c r="Q13" s="752"/>
    </row>
    <row r="14" spans="1:17" ht="15">
      <c r="A14" s="753" t="s">
        <v>13</v>
      </c>
      <c r="B14" s="571" t="s">
        <v>245</v>
      </c>
      <c r="C14" s="573" t="s">
        <v>245</v>
      </c>
      <c r="D14" s="6"/>
      <c r="E14" s="6">
        <f>+Sheet1!I4</f>
        <v>-5.1726851703462717</v>
      </c>
      <c r="F14" s="473">
        <f>E14/Sheet1!$I$8</f>
        <v>-3.1591077634170557E-3</v>
      </c>
      <c r="G14" s="574">
        <f t="shared" si="0"/>
        <v>-3.1591077634170557E-3</v>
      </c>
      <c r="H14" s="749">
        <f>SUM(G14:G23)</f>
        <v>7.504191638487312E-2</v>
      </c>
      <c r="J14" s="753" t="s">
        <v>13</v>
      </c>
      <c r="K14" s="571" t="s">
        <v>245</v>
      </c>
      <c r="L14" s="573" t="s">
        <v>245</v>
      </c>
      <c r="M14" s="6"/>
      <c r="N14" s="6">
        <f>+Sheet1!T4</f>
        <v>-5.1726851703462717</v>
      </c>
      <c r="O14" s="473">
        <f>+Sheet1!U4</f>
        <v>-3.1591077634170557E-3</v>
      </c>
      <c r="P14" s="574">
        <f t="shared" si="1"/>
        <v>-3.1591077634170557E-3</v>
      </c>
      <c r="Q14" s="749">
        <f>SUM(P14:P23)</f>
        <v>7.504191638487312E-2</v>
      </c>
    </row>
    <row r="15" spans="1:17" ht="15">
      <c r="A15" s="754"/>
      <c r="B15" s="571" t="s">
        <v>246</v>
      </c>
      <c r="C15" s="573" t="s">
        <v>246</v>
      </c>
      <c r="D15" s="6"/>
      <c r="E15" s="6">
        <f>+Sheet1!I5</f>
        <v>53.036039353612985</v>
      </c>
      <c r="F15" s="473">
        <f>E15/Sheet1!$I$8</f>
        <v>3.2390636225725543E-2</v>
      </c>
      <c r="G15" s="574">
        <f>F15</f>
        <v>3.2390636225725543E-2</v>
      </c>
      <c r="H15" s="749"/>
      <c r="J15" s="754"/>
      <c r="K15" s="571" t="s">
        <v>246</v>
      </c>
      <c r="L15" s="573" t="s">
        <v>246</v>
      </c>
      <c r="M15" s="6"/>
      <c r="N15" s="6">
        <f>+Sheet1!T5</f>
        <v>53.036039353612985</v>
      </c>
      <c r="O15" s="473">
        <f>+Sheet1!U5</f>
        <v>3.2390636225725543E-2</v>
      </c>
      <c r="P15" s="574">
        <f>O15</f>
        <v>3.2390636225725543E-2</v>
      </c>
      <c r="Q15" s="749"/>
    </row>
    <row r="16" spans="1:17">
      <c r="A16" s="754"/>
      <c r="B16" s="750" t="s">
        <v>247</v>
      </c>
      <c r="C16" t="s">
        <v>688</v>
      </c>
      <c r="D16" s="6">
        <f>SUMIFS(Sheet1!$C$2:$C$180,Sheet1!$F$2:$F$180,B16,Sheet1!$E$2:$E$180,C16)</f>
        <v>597</v>
      </c>
      <c r="E16" s="6">
        <f>D16/Sheet1!$I$9*Sheet1!$I$10</f>
        <v>22.446415928980656</v>
      </c>
      <c r="F16" s="473">
        <f>D16/Sheet1!$I$9*Sheet1!$I$11</f>
        <v>1.3708672476075734E-2</v>
      </c>
      <c r="G16" s="748">
        <f>SUM(F16:F17)</f>
        <v>1.3708672476075734E-2</v>
      </c>
      <c r="H16" s="749"/>
      <c r="J16" s="754"/>
      <c r="K16" s="750" t="s">
        <v>247</v>
      </c>
      <c r="L16" t="s">
        <v>688</v>
      </c>
      <c r="M16" s="6">
        <f>SUMIFS(Sheet1!$N$2:$N$180,Sheet1!$Q$2:$Q$180,K16,Sheet1!$P$2:$P$180,L16)</f>
        <v>597</v>
      </c>
      <c r="N16" s="6">
        <f>M16/Sheet1!$T$9*Sheet1!$T$10</f>
        <v>22.446415928980656</v>
      </c>
      <c r="O16" s="473">
        <f>M16/Sheet1!$T$9*Sheet1!$T$11</f>
        <v>1.3708672476075734E-2</v>
      </c>
      <c r="P16" s="748">
        <f>SUM(O16:O17)</f>
        <v>1.3708672476075734E-2</v>
      </c>
      <c r="Q16" s="749"/>
    </row>
    <row r="17" spans="1:17">
      <c r="A17" s="754"/>
      <c r="B17" s="750"/>
      <c r="C17" s="573"/>
      <c r="D17" s="6">
        <f>SUMIFS(Sheet1!$C$2:$C$180,Sheet1!$F$2:$F$180,B16,Sheet1!$E$2:$E$180,C17)</f>
        <v>0</v>
      </c>
      <c r="E17" s="6">
        <f>D17/Sheet1!$I$9*Sheet1!$I$10</f>
        <v>0</v>
      </c>
      <c r="F17" s="473">
        <f>D17/Sheet1!$I$9*Sheet1!$I$11</f>
        <v>0</v>
      </c>
      <c r="G17" s="748"/>
      <c r="H17" s="749"/>
      <c r="J17" s="754"/>
      <c r="K17" s="750"/>
      <c r="L17" s="573"/>
      <c r="M17" s="6">
        <f>SUMIFS(Sheet1!$N$2:$N$180,Sheet1!$Q$2:$Q$180,K16,Sheet1!$P$2:$P$180,L17)</f>
        <v>0</v>
      </c>
      <c r="N17" s="6">
        <f>M17/Sheet1!$T$9*Sheet1!$T$10</f>
        <v>0</v>
      </c>
      <c r="O17" s="473">
        <f>M17/Sheet1!$T$9*Sheet1!$T$11</f>
        <v>0</v>
      </c>
      <c r="P17" s="748"/>
      <c r="Q17" s="749"/>
    </row>
    <row r="18" spans="1:17" ht="15">
      <c r="A18" s="754"/>
      <c r="B18" s="571" t="s">
        <v>248</v>
      </c>
      <c r="C18" s="573" t="s">
        <v>202</v>
      </c>
      <c r="D18" s="6">
        <f>SUMIFS(Sheet1!$C$2:$C$180,Sheet1!$F$2:$F$180,B18,Sheet1!$E$2:$E$180,C18)</f>
        <v>0</v>
      </c>
      <c r="E18" s="6">
        <f>D18/Sheet1!$I$9*Sheet1!$I$10</f>
        <v>0</v>
      </c>
      <c r="F18" s="473">
        <f>D18/Sheet1!$I$9*Sheet1!$I$11</f>
        <v>0</v>
      </c>
      <c r="G18" s="574">
        <f>F18</f>
        <v>0</v>
      </c>
      <c r="H18" s="749"/>
      <c r="J18" s="754"/>
      <c r="K18" s="571" t="s">
        <v>248</v>
      </c>
      <c r="L18" s="573" t="s">
        <v>202</v>
      </c>
      <c r="M18" s="6">
        <f>SUMIFS(Sheet1!$N$2:$N$180,Sheet1!$Q$2:$Q$180,K18,Sheet1!$P$2:$P$180,L18)</f>
        <v>0</v>
      </c>
      <c r="N18" s="6">
        <f>M18/Sheet1!$T$9*Sheet1!$T$10</f>
        <v>0</v>
      </c>
      <c r="O18" s="473">
        <f>M18/Sheet1!$T$9*Sheet1!$T$11</f>
        <v>0</v>
      </c>
      <c r="P18" s="574">
        <f>O18</f>
        <v>0</v>
      </c>
      <c r="Q18" s="749"/>
    </row>
    <row r="19" spans="1:17">
      <c r="A19" s="754"/>
      <c r="B19" s="746" t="s">
        <v>249</v>
      </c>
      <c r="C19" s="573" t="s">
        <v>250</v>
      </c>
      <c r="D19" s="6">
        <f>SUMIFS(Sheet1!$C$2:$C$180,Sheet1!$F$2:$F$180,B19,Sheet1!$E$2:$E$180,C19)</f>
        <v>326</v>
      </c>
      <c r="E19" s="6">
        <f>D19/Sheet1!$I$9*Sheet1!$I$10</f>
        <v>12.257171847316071</v>
      </c>
      <c r="F19" s="473">
        <f>D19/Sheet1!$I$9*Sheet1!$I$11</f>
        <v>7.4858077507549232E-3</v>
      </c>
      <c r="G19" s="744">
        <f>SUM(F19:F23)</f>
        <v>3.2101715446488904E-2</v>
      </c>
      <c r="H19" s="749"/>
      <c r="J19" s="754"/>
      <c r="K19" s="746" t="s">
        <v>249</v>
      </c>
      <c r="L19" s="573" t="s">
        <v>250</v>
      </c>
      <c r="M19" s="6">
        <f>SUMIFS(Sheet1!$N$2:$N$180,Sheet1!$Q$2:$Q$180,$K$19,Sheet1!$P$2:$P$180,L19)</f>
        <v>326</v>
      </c>
      <c r="N19" s="6">
        <f>M19/Sheet1!$T$9*Sheet1!$T$10</f>
        <v>12.257171847316071</v>
      </c>
      <c r="O19" s="473">
        <f>M19/Sheet1!$T$9*Sheet1!$T$11</f>
        <v>7.4858077507549232E-3</v>
      </c>
      <c r="P19" s="744">
        <f>SUM(O19:O23)</f>
        <v>3.2101715446488904E-2</v>
      </c>
      <c r="Q19" s="749"/>
    </row>
    <row r="20" spans="1:17">
      <c r="A20" s="754"/>
      <c r="B20" s="755"/>
      <c r="C20" s="573" t="s">
        <v>366</v>
      </c>
      <c r="D20" s="6">
        <f>SUMIFS(Sheet1!$C$2:$C$180,Sheet1!$F$2:$F$180,B19,Sheet1!$E$2:$E$180,C20)</f>
        <v>680</v>
      </c>
      <c r="E20" s="6">
        <f>D20/Sheet1!$I$9*Sheet1!$I$10</f>
        <v>25.567106920781985</v>
      </c>
      <c r="F20" s="473">
        <f>D20/Sheet1!$I$9*Sheet1!$I$11</f>
        <v>1.5614568314458122E-2</v>
      </c>
      <c r="G20" s="756"/>
      <c r="H20" s="749"/>
      <c r="J20" s="754"/>
      <c r="K20" s="755"/>
      <c r="L20" s="573" t="s">
        <v>366</v>
      </c>
      <c r="M20" s="6">
        <f>SUMIFS(Sheet1!$N$2:$N$180,Sheet1!$Q$2:$Q$180,$K$19,Sheet1!$P$2:$P$180,L20)</f>
        <v>680</v>
      </c>
      <c r="N20" s="6">
        <f>M20/Sheet1!$T$9*Sheet1!$T$10</f>
        <v>25.567106920781985</v>
      </c>
      <c r="O20" s="473">
        <f>M20/Sheet1!$T$9*Sheet1!$T$11</f>
        <v>1.5614568314458122E-2</v>
      </c>
      <c r="P20" s="756"/>
      <c r="Q20" s="749"/>
    </row>
    <row r="21" spans="1:17">
      <c r="A21" s="754"/>
      <c r="B21" s="755"/>
      <c r="C21" s="573" t="s">
        <v>251</v>
      </c>
      <c r="D21" s="6">
        <f>SUMIFS(Sheet1!$C$2:$C$180,Sheet1!$F$2:$F$180,B19,Sheet1!$E$2:$E$180,C21)</f>
        <v>9</v>
      </c>
      <c r="E21" s="6">
        <f>D21/Sheet1!$I$9*Sheet1!$I$10</f>
        <v>0.33838817983387925</v>
      </c>
      <c r="F21" s="473">
        <f>D21/Sheet1!$I$9*Sheet1!$I$11</f>
        <v>2.0666340416194574E-4</v>
      </c>
      <c r="G21" s="756"/>
      <c r="H21" s="749"/>
      <c r="J21" s="754"/>
      <c r="K21" s="755"/>
      <c r="L21" s="573" t="s">
        <v>251</v>
      </c>
      <c r="M21" s="6">
        <f>SUMIFS(Sheet1!$N$2:$N$180,Sheet1!$Q$2:$Q$180,$K$19,Sheet1!$P$2:$P$180,L21)</f>
        <v>9</v>
      </c>
      <c r="N21" s="6">
        <f>M21/Sheet1!$T$9*Sheet1!$T$10</f>
        <v>0.33838817983387925</v>
      </c>
      <c r="O21" s="473">
        <f>M21/Sheet1!$T$9*Sheet1!$T$11</f>
        <v>2.0666340416194574E-4</v>
      </c>
      <c r="P21" s="756"/>
      <c r="Q21" s="749"/>
    </row>
    <row r="22" spans="1:17">
      <c r="A22" s="754"/>
      <c r="B22" s="755"/>
      <c r="C22" s="573" t="s">
        <v>14</v>
      </c>
      <c r="D22" s="6">
        <f>SUMIFS(Sheet1!$C$2:$C$180,Sheet1!$F$2:$F$180,B19,Sheet1!$E$2:$E$180,C22)</f>
        <v>383</v>
      </c>
      <c r="E22" s="6">
        <f>D22/Sheet1!$I$9*Sheet1!$I$10</f>
        <v>14.400296986263971</v>
      </c>
      <c r="F22" s="473">
        <f>D22/Sheet1!$I$9*Sheet1!$I$11</f>
        <v>8.7946759771139124E-3</v>
      </c>
      <c r="G22" s="756"/>
      <c r="H22" s="749"/>
      <c r="J22" s="754"/>
      <c r="K22" s="755"/>
      <c r="L22" s="573" t="s">
        <v>14</v>
      </c>
      <c r="M22" s="6">
        <f>SUMIFS(Sheet1!$N$2:$N$180,Sheet1!$Q$2:$Q$180,$K$19,Sheet1!$P$2:$P$180,L22)</f>
        <v>383</v>
      </c>
      <c r="N22" s="6">
        <f>M22/Sheet1!$T$9*Sheet1!$T$10</f>
        <v>14.400296986263971</v>
      </c>
      <c r="O22" s="473">
        <f>M22/Sheet1!$T$9*Sheet1!$T$11</f>
        <v>8.7946759771139124E-3</v>
      </c>
      <c r="P22" s="756"/>
      <c r="Q22" s="749"/>
    </row>
    <row r="23" spans="1:17">
      <c r="A23" s="754"/>
      <c r="B23" s="747"/>
      <c r="C23" s="573"/>
      <c r="D23" s="6">
        <f>SUMIFS(Sheet1!$C$2:$C$180,Sheet1!$F$2:$F$180,B19,Sheet1!$E$2:$E$180,C23)</f>
        <v>0</v>
      </c>
      <c r="E23" s="6">
        <f>D23/Sheet1!$I$9*Sheet1!$I$10</f>
        <v>0</v>
      </c>
      <c r="F23" s="473">
        <f>D23/Sheet1!$I$9*Sheet1!$I$11</f>
        <v>0</v>
      </c>
      <c r="G23" s="745"/>
      <c r="H23" s="749"/>
      <c r="J23" s="754"/>
      <c r="K23" s="747"/>
      <c r="L23" s="573"/>
      <c r="M23" s="6">
        <f>SUMIFS(Sheet1!$N$2:$N$180,Sheet1!$Q$2:$Q$180,$K$19,Sheet1!$P$2:$P$180,L23)</f>
        <v>0</v>
      </c>
      <c r="N23" s="6">
        <f>M23/Sheet1!$T$9*Sheet1!$T$10</f>
        <v>0</v>
      </c>
      <c r="O23" s="473">
        <f>M23/Sheet1!$T$9*Sheet1!$T$11</f>
        <v>0</v>
      </c>
      <c r="P23" s="745"/>
      <c r="Q23" s="749"/>
    </row>
    <row r="24" spans="1:17" ht="12.75" customHeight="1">
      <c r="A24" s="743" t="s">
        <v>252</v>
      </c>
      <c r="B24" s="750" t="s">
        <v>253</v>
      </c>
      <c r="C24" t="s">
        <v>690</v>
      </c>
      <c r="D24" s="6">
        <f>SUMIFS(Sheet1!$C$2:$C$180,Sheet1!$F$2:$F$180,B24,Sheet1!$E$2:$E$180,C24)</f>
        <v>170</v>
      </c>
      <c r="E24" s="6">
        <f>D24/Sheet1!$I$9*Sheet1!$I$10</f>
        <v>6.3917767301954962</v>
      </c>
      <c r="F24" s="473">
        <f>D24/Sheet1!$I$9*Sheet1!$I$11</f>
        <v>3.9036420786145304E-3</v>
      </c>
      <c r="G24" s="748">
        <f>SUM(F24:F30)</f>
        <v>3.9036420786145304E-3</v>
      </c>
      <c r="H24" s="749">
        <f>SUM(G24:G37)</f>
        <v>4.6614078938749977E-3</v>
      </c>
      <c r="J24" s="743" t="s">
        <v>252</v>
      </c>
      <c r="K24" s="750" t="s">
        <v>253</v>
      </c>
      <c r="L24" t="s">
        <v>690</v>
      </c>
      <c r="M24" s="6">
        <f>SUMIFS(Sheet1!$N$2:$N$180,Sheet1!$Q$2:$Q$180,$K$24,Sheet1!$P$2:$P$180,L24)</f>
        <v>170</v>
      </c>
      <c r="N24" s="6">
        <f>M24/Sheet1!$T$9*Sheet1!$T$10</f>
        <v>6.3917767301954962</v>
      </c>
      <c r="O24" s="473">
        <f>M24/Sheet1!$T$9*Sheet1!$T$11</f>
        <v>3.9036420786145304E-3</v>
      </c>
      <c r="P24" s="748">
        <f>SUM(O24:O30)</f>
        <v>3.9036420786145304E-3</v>
      </c>
      <c r="Q24" s="749">
        <f>SUM(P24:P37)</f>
        <v>4.6614078938749977E-3</v>
      </c>
    </row>
    <row r="25" spans="1:17" ht="12.75" customHeight="1">
      <c r="A25" s="743"/>
      <c r="B25" s="750"/>
      <c r="C25" s="576"/>
      <c r="D25" s="6">
        <f>SUMIFS(Sheet1!$C$2:$C$180,Sheet1!$F$2:$F$180,B24,Sheet1!$E$2:$E$180,C25)</f>
        <v>0</v>
      </c>
      <c r="E25" s="6">
        <f>D25/Sheet1!$I$9*Sheet1!$I$10</f>
        <v>0</v>
      </c>
      <c r="F25" s="473">
        <f>D25/Sheet1!$I$9*Sheet1!$I$11</f>
        <v>0</v>
      </c>
      <c r="G25" s="748"/>
      <c r="H25" s="749"/>
      <c r="J25" s="743"/>
      <c r="K25" s="750"/>
      <c r="L25" s="576"/>
      <c r="M25" s="6">
        <f>SUMIFS(Sheet1!$N$2:$N$180,Sheet1!$Q$2:$Q$180,$K$24,Sheet1!$P$2:$P$180,L25)</f>
        <v>0</v>
      </c>
      <c r="N25" s="6">
        <f>M25/Sheet1!$T$9*Sheet1!$T$10</f>
        <v>0</v>
      </c>
      <c r="O25" s="473">
        <f>M25/Sheet1!$T$9*Sheet1!$T$11</f>
        <v>0</v>
      </c>
      <c r="P25" s="748"/>
      <c r="Q25" s="749"/>
    </row>
    <row r="26" spans="1:17" ht="12.75" customHeight="1">
      <c r="A26" s="743"/>
      <c r="B26" s="750"/>
      <c r="C26" s="534"/>
      <c r="D26" s="6">
        <f>SUMIFS(Sheet1!$C$2:$C$180,Sheet1!$F$2:$F$180,B24,Sheet1!$E$2:$E$180,C26)</f>
        <v>0</v>
      </c>
      <c r="E26" s="6">
        <f>D26/Sheet1!$I$9*Sheet1!$I$10</f>
        <v>0</v>
      </c>
      <c r="F26" s="473">
        <f>D26/Sheet1!$I$9*Sheet1!$I$11</f>
        <v>0</v>
      </c>
      <c r="G26" s="748"/>
      <c r="H26" s="749"/>
      <c r="J26" s="743"/>
      <c r="K26" s="750"/>
      <c r="L26" s="534"/>
      <c r="M26" s="6">
        <f>SUMIFS(Sheet1!$N$2:$N$180,Sheet1!$Q$2:$Q$180,$K$24,Sheet1!$P$2:$P$180,L26)</f>
        <v>0</v>
      </c>
      <c r="N26" s="6">
        <f>M26/Sheet1!$T$9*Sheet1!$T$10</f>
        <v>0</v>
      </c>
      <c r="O26" s="473">
        <f>M26/Sheet1!$T$9*Sheet1!$T$11</f>
        <v>0</v>
      </c>
      <c r="P26" s="748"/>
      <c r="Q26" s="749"/>
    </row>
    <row r="27" spans="1:17" ht="12.75" customHeight="1">
      <c r="A27" s="743"/>
      <c r="B27" s="750"/>
      <c r="D27" s="6">
        <f>SUMIFS(Sheet1!$C$2:$C$180,Sheet1!$F$2:$F$180,B24,Sheet1!$E$2:$E$180,C27)</f>
        <v>0</v>
      </c>
      <c r="E27" s="6">
        <f>D27/Sheet1!$I$9*Sheet1!$I$10</f>
        <v>0</v>
      </c>
      <c r="F27" s="473">
        <f>D27/Sheet1!$I$9*Sheet1!$I$11</f>
        <v>0</v>
      </c>
      <c r="G27" s="748"/>
      <c r="H27" s="749"/>
      <c r="J27" s="743"/>
      <c r="K27" s="750"/>
      <c r="M27" s="6">
        <f>SUMIFS(Sheet1!$N$2:$N$180,Sheet1!$Q$2:$Q$180,$K$24,Sheet1!$P$2:$P$180,L27)</f>
        <v>0</v>
      </c>
      <c r="N27" s="6">
        <f>M27/Sheet1!$T$9*Sheet1!$T$10</f>
        <v>0</v>
      </c>
      <c r="O27" s="473">
        <f>M27/Sheet1!$T$9*Sheet1!$T$11</f>
        <v>0</v>
      </c>
      <c r="P27" s="748"/>
      <c r="Q27" s="749"/>
    </row>
    <row r="28" spans="1:17" ht="12.75" customHeight="1">
      <c r="A28" s="743"/>
      <c r="B28" s="750"/>
      <c r="C28" s="573"/>
      <c r="D28" s="6">
        <f>SUMIFS(Sheet1!$C$2:$C$180,Sheet1!$F$2:$F$180,B24,Sheet1!$E$2:$E$180,C28)</f>
        <v>0</v>
      </c>
      <c r="E28" s="6">
        <f>D28/Sheet1!$I$9*Sheet1!$I$10</f>
        <v>0</v>
      </c>
      <c r="F28" s="473">
        <f>D28/Sheet1!$I$9*Sheet1!$I$11</f>
        <v>0</v>
      </c>
      <c r="G28" s="748"/>
      <c r="H28" s="749"/>
      <c r="J28" s="743"/>
      <c r="K28" s="750"/>
      <c r="L28" s="573"/>
      <c r="M28" s="6">
        <f>SUMIFS(Sheet1!$N$2:$N$180,Sheet1!$Q$2:$Q$180,$K$24,Sheet1!$P$2:$P$180,L28)</f>
        <v>0</v>
      </c>
      <c r="N28" s="6">
        <f>M28/Sheet1!$T$9*Sheet1!$T$10</f>
        <v>0</v>
      </c>
      <c r="O28" s="473">
        <f>M28/Sheet1!$T$9*Sheet1!$T$11</f>
        <v>0</v>
      </c>
      <c r="P28" s="748"/>
      <c r="Q28" s="749"/>
    </row>
    <row r="29" spans="1:17" ht="12.75" customHeight="1">
      <c r="A29" s="743"/>
      <c r="B29" s="750"/>
      <c r="C29" s="573"/>
      <c r="D29" s="6">
        <f>SUMIFS(Sheet1!$C$2:$C$180,Sheet1!$F$2:$F$180,B24,Sheet1!$E$2:$E$180,C29)</f>
        <v>0</v>
      </c>
      <c r="E29" s="6">
        <f>D29/Sheet1!$I$9*Sheet1!$I$10</f>
        <v>0</v>
      </c>
      <c r="F29" s="473">
        <f>D29/Sheet1!$I$9*Sheet1!$I$11</f>
        <v>0</v>
      </c>
      <c r="G29" s="748"/>
      <c r="H29" s="749"/>
      <c r="J29" s="743"/>
      <c r="K29" s="750"/>
      <c r="L29" s="573"/>
      <c r="M29" s="6">
        <f>SUMIFS(Sheet1!$N$2:$N$180,Sheet1!$Q$2:$Q$180,$K$24,Sheet1!$P$2:$P$180,L29)</f>
        <v>0</v>
      </c>
      <c r="N29" s="6">
        <f>M29/Sheet1!$T$9*Sheet1!$T$10</f>
        <v>0</v>
      </c>
      <c r="O29" s="473">
        <f>M29/Sheet1!$T$9*Sheet1!$T$11</f>
        <v>0</v>
      </c>
      <c r="P29" s="748"/>
      <c r="Q29" s="749"/>
    </row>
    <row r="30" spans="1:17" ht="12.75" customHeight="1">
      <c r="A30" s="743"/>
      <c r="B30" s="750"/>
      <c r="C30" s="573"/>
      <c r="D30" s="6">
        <f>SUMIFS(Sheet1!$C$2:$C$180,Sheet1!$F$2:$F$180,B24,Sheet1!$E$2:$E$180,C30)</f>
        <v>0</v>
      </c>
      <c r="E30" s="6">
        <f>D30/Sheet1!$I$9*Sheet1!$I$10</f>
        <v>0</v>
      </c>
      <c r="F30" s="473">
        <f>D30/Sheet1!$I$9*Sheet1!$I$11</f>
        <v>0</v>
      </c>
      <c r="G30" s="748"/>
      <c r="H30" s="749"/>
      <c r="J30" s="743"/>
      <c r="K30" s="750"/>
      <c r="L30" s="573"/>
      <c r="M30" s="6">
        <f>SUMIFS(Sheet1!$N$2:$N$180,Sheet1!$Q$2:$Q$180,$K$24,Sheet1!$P$2:$P$180,L30)</f>
        <v>0</v>
      </c>
      <c r="N30" s="6">
        <f>M30/Sheet1!$T$9*Sheet1!$T$10</f>
        <v>0</v>
      </c>
      <c r="O30" s="473">
        <f>M30/Sheet1!$T$9*Sheet1!$T$11</f>
        <v>0</v>
      </c>
      <c r="P30" s="748"/>
      <c r="Q30" s="749"/>
    </row>
    <row r="31" spans="1:17" ht="12.75" customHeight="1">
      <c r="A31" s="743"/>
      <c r="B31" s="746" t="s">
        <v>254</v>
      </c>
      <c r="D31" s="6">
        <f>SUMIFS(Sheet1!$C$2:$C$180,Sheet1!$F$2:$F$180,B31,Sheet1!$E$2:$E$180,C31)</f>
        <v>0</v>
      </c>
      <c r="E31" s="6">
        <f>D31/Sheet1!$I$9*Sheet1!$I$10</f>
        <v>0</v>
      </c>
      <c r="F31" s="473">
        <f>D31/Sheet1!$I$9*Sheet1!$I$11</f>
        <v>0</v>
      </c>
      <c r="G31" s="744">
        <f>SUM(F31:F32)</f>
        <v>0</v>
      </c>
      <c r="H31" s="749"/>
      <c r="J31" s="743"/>
      <c r="K31" s="746" t="s">
        <v>254</v>
      </c>
      <c r="M31" s="6">
        <f>SUMIFS(Sheet1!$N$2:$N$180,Sheet1!$Q$2:$Q$180,$K$31,Sheet1!$P$2:$P$180,L31)</f>
        <v>0</v>
      </c>
      <c r="N31" s="6">
        <f>M31/Sheet1!$T$9*Sheet1!$T$10</f>
        <v>0</v>
      </c>
      <c r="O31" s="473">
        <f>M31/Sheet1!$T$9*Sheet1!$T$11</f>
        <v>0</v>
      </c>
      <c r="P31" s="744">
        <f>SUM(O31:O32)</f>
        <v>0</v>
      </c>
      <c r="Q31" s="749"/>
    </row>
    <row r="32" spans="1:17" ht="12.75" customHeight="1">
      <c r="A32" s="743"/>
      <c r="B32" s="747"/>
      <c r="C32" s="573"/>
      <c r="D32" s="6">
        <f>SUMIFS(Sheet1!$C$2:$C$180,Sheet1!$F$2:$F$180,B31,Sheet1!$E$2:$E$180,C32)</f>
        <v>0</v>
      </c>
      <c r="E32" s="6">
        <f>D32/Sheet1!$I$9*Sheet1!$I$10</f>
        <v>0</v>
      </c>
      <c r="F32" s="473">
        <f>D32/Sheet1!$I$9*Sheet1!$I$11</f>
        <v>0</v>
      </c>
      <c r="G32" s="745"/>
      <c r="H32" s="749"/>
      <c r="J32" s="743"/>
      <c r="K32" s="747"/>
      <c r="L32" s="573"/>
      <c r="M32" s="6">
        <f>SUMIFS(Sheet1!$N$2:$N$180,Sheet1!$Q$2:$Q$180,$K$31,Sheet1!$P$2:$P$180,L32)</f>
        <v>0</v>
      </c>
      <c r="N32" s="6">
        <f>M32/Sheet1!$T$9*Sheet1!$T$10</f>
        <v>0</v>
      </c>
      <c r="O32" s="473">
        <f>M32/Sheet1!$T$9*Sheet1!$T$11</f>
        <v>0</v>
      </c>
      <c r="P32" s="745"/>
      <c r="Q32" s="749"/>
    </row>
    <row r="33" spans="1:17" ht="12.75" customHeight="1">
      <c r="A33" s="743"/>
      <c r="B33" s="750" t="s">
        <v>255</v>
      </c>
      <c r="C33" s="573" t="s">
        <v>691</v>
      </c>
      <c r="D33" s="6">
        <f>SUMIFS(Sheet1!$C$2:$C$180,Sheet1!$F$2:$F$180,B33,Sheet1!$E$2:$E$180,C33)</f>
        <v>33</v>
      </c>
      <c r="E33" s="6">
        <f>D33/Sheet1!$I$9*Sheet1!$I$10</f>
        <v>1.2407566593908905</v>
      </c>
      <c r="F33" s="473">
        <f>D33/Sheet1!$I$9*Sheet1!$I$11</f>
        <v>7.5776581526046773E-4</v>
      </c>
      <c r="G33" s="748">
        <f>SUM(F33:F35)</f>
        <v>7.5776581526046773E-4</v>
      </c>
      <c r="H33" s="749"/>
      <c r="J33" s="743"/>
      <c r="K33" s="750" t="s">
        <v>255</v>
      </c>
      <c r="L33" s="573" t="s">
        <v>691</v>
      </c>
      <c r="M33" s="6">
        <f>SUMIFS(Sheet1!$N$2:$N$180,Sheet1!$Q$2:$Q$180,$K$33,Sheet1!$P$2:$P$180,L33)</f>
        <v>33</v>
      </c>
      <c r="N33" s="6">
        <f>M33/Sheet1!$T$9*Sheet1!$T$10</f>
        <v>1.2407566593908905</v>
      </c>
      <c r="O33" s="473">
        <f>M33/Sheet1!$T$9*Sheet1!$T$11</f>
        <v>7.5776581526046773E-4</v>
      </c>
      <c r="P33" s="748">
        <f>SUM(O33:O35)</f>
        <v>7.5776581526046773E-4</v>
      </c>
      <c r="Q33" s="749"/>
    </row>
    <row r="34" spans="1:17" ht="12.75" customHeight="1">
      <c r="A34" s="743"/>
      <c r="B34" s="750"/>
      <c r="C34" s="573"/>
      <c r="D34" s="6">
        <f>SUMIFS(Sheet1!$C$2:$C$180,Sheet1!$F$2:$F$180,B33,Sheet1!$E$2:$E$180,C34)</f>
        <v>0</v>
      </c>
      <c r="E34" s="6">
        <f>D34/Sheet1!$I$9*Sheet1!$I$10</f>
        <v>0</v>
      </c>
      <c r="F34" s="473">
        <f>D34/Sheet1!$I$9*Sheet1!$I$11</f>
        <v>0</v>
      </c>
      <c r="G34" s="748"/>
      <c r="H34" s="749"/>
      <c r="J34" s="743"/>
      <c r="K34" s="750"/>
      <c r="L34" s="573"/>
      <c r="M34" s="6">
        <f>SUMIFS(Sheet1!$N$2:$N$180,Sheet1!$Q$2:$Q$180,$K$33,Sheet1!$P$2:$P$180,L34)</f>
        <v>0</v>
      </c>
      <c r="N34" s="6">
        <f>M34/Sheet1!$T$9*Sheet1!$T$10</f>
        <v>0</v>
      </c>
      <c r="O34" s="473">
        <f>M34/Sheet1!$T$9*Sheet1!$T$11</f>
        <v>0</v>
      </c>
      <c r="P34" s="748"/>
      <c r="Q34" s="749"/>
    </row>
    <row r="35" spans="1:17" ht="12.75" customHeight="1">
      <c r="A35" s="743"/>
      <c r="B35" s="750"/>
      <c r="C35" s="573"/>
      <c r="D35" s="6">
        <f>SUMIFS(Sheet1!$C$2:$C$180,Sheet1!$F$2:$F$180,B33,Sheet1!$E$2:$E$180,C35)</f>
        <v>0</v>
      </c>
      <c r="E35" s="6">
        <f>D35/Sheet1!$I$9*Sheet1!$I$10</f>
        <v>0</v>
      </c>
      <c r="F35" s="473">
        <f>D35/Sheet1!$I$9*Sheet1!$I$11</f>
        <v>0</v>
      </c>
      <c r="G35" s="748"/>
      <c r="H35" s="749"/>
      <c r="J35" s="743"/>
      <c r="K35" s="750"/>
      <c r="L35" s="573"/>
      <c r="M35" s="6">
        <f>SUMIFS(Sheet1!$N$2:$N$180,Sheet1!$Q$2:$Q$180,$K$33,Sheet1!$P$2:$P$180,L35)</f>
        <v>0</v>
      </c>
      <c r="N35" s="6">
        <f>M35/Sheet1!$T$9*Sheet1!$T$10</f>
        <v>0</v>
      </c>
      <c r="O35" s="473">
        <f>M35/Sheet1!$T$9*Sheet1!$T$11</f>
        <v>0</v>
      </c>
      <c r="P35" s="748"/>
      <c r="Q35" s="749"/>
    </row>
    <row r="36" spans="1:17" ht="12.75" customHeight="1">
      <c r="A36" s="743"/>
      <c r="B36" s="746" t="s">
        <v>256</v>
      </c>
      <c r="C36" s="573"/>
      <c r="D36" s="6">
        <f>SUMIFS(Sheet1!$C$2:$C$180,Sheet1!$F$2:$F$180,B36,Sheet1!$E$2:$E$180,C36)</f>
        <v>0</v>
      </c>
      <c r="E36" s="6">
        <f>D36/Sheet1!$I$9*Sheet1!$I$10</f>
        <v>0</v>
      </c>
      <c r="F36" s="473">
        <f>D36/Sheet1!$I$9*Sheet1!$I$11</f>
        <v>0</v>
      </c>
      <c r="G36" s="744">
        <f>SUM(F36:F37)</f>
        <v>0</v>
      </c>
      <c r="H36" s="749"/>
      <c r="J36" s="743"/>
      <c r="K36" s="746" t="s">
        <v>256</v>
      </c>
      <c r="L36" s="573"/>
      <c r="M36" s="6">
        <f>SUMIFS(Sheet1!$N$2:$N$180,Sheet1!$Q$2:$Q$180,$K$36,Sheet1!$P$2:$P$180,L36)</f>
        <v>0</v>
      </c>
      <c r="N36" s="6">
        <f>M36/Sheet1!$T$9*Sheet1!$T$10</f>
        <v>0</v>
      </c>
      <c r="O36" s="473">
        <f>M36/Sheet1!$T$9*Sheet1!$T$11</f>
        <v>0</v>
      </c>
      <c r="P36" s="744">
        <f>SUM(O36:O37)</f>
        <v>0</v>
      </c>
      <c r="Q36" s="749"/>
    </row>
    <row r="37" spans="1:17" ht="12.75" customHeight="1">
      <c r="A37" s="743"/>
      <c r="B37" s="747"/>
      <c r="C37" s="573"/>
      <c r="D37" s="6">
        <f>SUMIFS(Sheet1!$C$2:$C$180,Sheet1!$F$2:$F$180,B36,Sheet1!$E$2:$E$180,C37)</f>
        <v>0</v>
      </c>
      <c r="E37" s="6">
        <f>D37/Sheet1!$I$9*Sheet1!$I$10</f>
        <v>0</v>
      </c>
      <c r="F37" s="473">
        <f>D37/Sheet1!$I$9*Sheet1!$I$11</f>
        <v>0</v>
      </c>
      <c r="G37" s="745"/>
      <c r="H37" s="749"/>
      <c r="J37" s="743"/>
      <c r="K37" s="747"/>
      <c r="L37" s="573"/>
      <c r="M37" s="6">
        <f>SUMIFS(Sheet1!$N$2:$N$180,Sheet1!$Q$2:$Q$180,$K$36,Sheet1!$P$2:$P$180,L37)</f>
        <v>0</v>
      </c>
      <c r="N37" s="6">
        <f>M37/Sheet1!$T$9*Sheet1!$T$10</f>
        <v>0</v>
      </c>
      <c r="O37" s="473">
        <f>M37/Sheet1!$T$9*Sheet1!$T$11</f>
        <v>0</v>
      </c>
      <c r="P37" s="745"/>
      <c r="Q37" s="749"/>
    </row>
    <row r="38" spans="1:17" ht="12.75" customHeight="1">
      <c r="A38" s="743" t="s">
        <v>401</v>
      </c>
      <c r="B38" s="746" t="s">
        <v>257</v>
      </c>
      <c r="C38" t="s">
        <v>689</v>
      </c>
      <c r="D38" s="6">
        <f>SUMIFS(Sheet1!$C$2:$C$180,Sheet1!$F$2:$F$180,B38,Sheet1!$E$2:$E$180,C38)</f>
        <v>609</v>
      </c>
      <c r="E38" s="6">
        <f>D38/Sheet1!$I$9*Sheet1!$I$10</f>
        <v>22.897600168759162</v>
      </c>
      <c r="F38" s="473">
        <f>D38/Sheet1!$I$9*Sheet1!$I$11</f>
        <v>1.3984223681624997E-2</v>
      </c>
      <c r="G38" s="744">
        <f>SUM(F38:F39)</f>
        <v>1.3984223681624997E-2</v>
      </c>
      <c r="H38" s="740">
        <f>SUM(G38:G39)</f>
        <v>1.3984223681624997E-2</v>
      </c>
      <c r="J38" s="743" t="s">
        <v>401</v>
      </c>
      <c r="K38" s="746" t="s">
        <v>257</v>
      </c>
      <c r="L38" t="s">
        <v>689</v>
      </c>
      <c r="M38" s="6">
        <f>SUMIFS(Sheet1!$N$2:$N$180,Sheet1!$Q$2:$Q$180,K38,Sheet1!$P$2:$P$180,L38)</f>
        <v>609</v>
      </c>
      <c r="N38" s="6">
        <f>M38/Sheet1!$T$9*Sheet1!$T$10</f>
        <v>22.897600168759162</v>
      </c>
      <c r="O38" s="473">
        <f>M38/Sheet1!$T$9*Sheet1!$T$11</f>
        <v>1.3984223681624997E-2</v>
      </c>
      <c r="P38" s="744">
        <f>SUM(O38:O39)</f>
        <v>1.3984223681624997E-2</v>
      </c>
      <c r="Q38" s="740">
        <f>SUM(P38:P39)</f>
        <v>1.3984223681624997E-2</v>
      </c>
    </row>
    <row r="39" spans="1:17" ht="12.75" customHeight="1">
      <c r="A39" s="743"/>
      <c r="B39" s="747"/>
      <c r="C39" s="576"/>
      <c r="D39" s="6">
        <f>SUMIFS(Sheet1!$C$2:$C$180,Sheet1!$F$2:$F$180,B38,Sheet1!$E$2:$E$180,C39)</f>
        <v>0</v>
      </c>
      <c r="E39" s="6">
        <f>D39/Sheet1!$I$9*Sheet1!$I$10</f>
        <v>0</v>
      </c>
      <c r="F39" s="473">
        <f>D39/Sheet1!$I$9*Sheet1!$I$11</f>
        <v>0</v>
      </c>
      <c r="G39" s="745"/>
      <c r="H39" s="741"/>
      <c r="J39" s="743"/>
      <c r="K39" s="747"/>
      <c r="L39" s="576"/>
      <c r="M39" s="6">
        <f>SUMIFS(Sheet1!$N$2:$N$180,Sheet1!$Q$2:$Q$180,K38,Sheet1!$P$2:$P$180,L39)</f>
        <v>0</v>
      </c>
      <c r="N39" s="6">
        <f>M39/Sheet1!$T$9*Sheet1!$T$10</f>
        <v>0</v>
      </c>
      <c r="O39" s="473">
        <f>M39/Sheet1!$T$9*Sheet1!$T$11</f>
        <v>0</v>
      </c>
      <c r="P39" s="745"/>
      <c r="Q39" s="741"/>
    </row>
    <row r="40" spans="1:17" ht="15">
      <c r="A40" s="577"/>
      <c r="B40" s="742" t="s">
        <v>3</v>
      </c>
      <c r="C40" s="742"/>
      <c r="D40" s="347">
        <f>SUM(D4:D39)</f>
        <v>2807</v>
      </c>
      <c r="E40" s="347">
        <f>SUM(E4:E39)</f>
        <v>169.12500880639288</v>
      </c>
      <c r="F40" s="471">
        <f>SUM(F4:F39)</f>
        <v>0.10328951225780623</v>
      </c>
      <c r="G40" s="471">
        <f>SUM(G4:G39)</f>
        <v>0.10328951225780622</v>
      </c>
      <c r="H40" s="471">
        <f>SUM(H4:H39)</f>
        <v>0.10328951225780621</v>
      </c>
      <c r="J40" s="577"/>
      <c r="K40" s="742" t="s">
        <v>3</v>
      </c>
      <c r="L40" s="742"/>
      <c r="M40" s="347">
        <f>SUM(M4:M39)</f>
        <v>2807</v>
      </c>
      <c r="N40" s="347">
        <f>SUM(N4:N39)</f>
        <v>169.12500880639288</v>
      </c>
      <c r="O40" s="471">
        <f>SUM(O4:O39)</f>
        <v>0.10328951225780623</v>
      </c>
      <c r="P40" s="471">
        <f>SUM(P4:P39)</f>
        <v>0.10328951225780622</v>
      </c>
      <c r="Q40" s="471">
        <f>SUM(Q4:Q39)</f>
        <v>0.10328951225780621</v>
      </c>
    </row>
    <row r="41" spans="1:17" ht="15">
      <c r="A41" s="577"/>
      <c r="B41" s="742" t="s">
        <v>2</v>
      </c>
      <c r="C41" s="742"/>
      <c r="D41" s="742"/>
      <c r="E41" s="742"/>
      <c r="F41" s="578">
        <f>+Efficiency1!X164</f>
        <v>0.89671048774219342</v>
      </c>
      <c r="G41" s="578">
        <f>+F41</f>
        <v>0.89671048774219342</v>
      </c>
      <c r="H41" s="578">
        <f>+G41</f>
        <v>0.89671048774219342</v>
      </c>
      <c r="J41" s="577"/>
      <c r="K41" s="742" t="s">
        <v>2</v>
      </c>
      <c r="L41" s="742"/>
      <c r="M41" s="742"/>
      <c r="N41" s="742"/>
      <c r="O41" s="578">
        <f>+Efficiency2!X164</f>
        <v>0.89671048774219342</v>
      </c>
      <c r="P41" s="578">
        <f>+O41</f>
        <v>0.89671048774219342</v>
      </c>
      <c r="Q41" s="578">
        <f>+P41</f>
        <v>0.89671048774219342</v>
      </c>
    </row>
    <row r="42" spans="1:17" ht="15">
      <c r="A42" s="577"/>
      <c r="B42" s="742" t="s">
        <v>70</v>
      </c>
      <c r="C42" s="742"/>
      <c r="D42" s="742"/>
      <c r="E42" s="742"/>
      <c r="F42" s="474">
        <f>SUM(F40:F41)</f>
        <v>0.99999999999999967</v>
      </c>
      <c r="G42" s="474">
        <f>SUM(G40:G41)</f>
        <v>0.99999999999999967</v>
      </c>
      <c r="H42" s="570">
        <f>SUM(H40:H41)</f>
        <v>0.99999999999999967</v>
      </c>
      <c r="J42" s="577"/>
      <c r="K42" s="742" t="s">
        <v>70</v>
      </c>
      <c r="L42" s="742"/>
      <c r="M42" s="742"/>
      <c r="N42" s="742"/>
      <c r="O42" s="474">
        <f>SUM(O40:O41)</f>
        <v>0.99999999999999967</v>
      </c>
      <c r="P42" s="474">
        <f>SUM(P40:P41)</f>
        <v>0.99999999999999967</v>
      </c>
      <c r="Q42" s="570">
        <f>SUM(Q40:Q41)</f>
        <v>0.99999999999999967</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A12:A13"/>
    <mergeCell ref="H12:H13"/>
    <mergeCell ref="J12:J13"/>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B42:E42"/>
    <mergeCell ref="K42:N42"/>
    <mergeCell ref="P36:P37"/>
    <mergeCell ref="B38:B39"/>
    <mergeCell ref="G38:G39"/>
    <mergeCell ref="H38:H39"/>
    <mergeCell ref="K38:K39"/>
    <mergeCell ref="P38:P39"/>
    <mergeCell ref="J24:J37"/>
    <mergeCell ref="P24:P30"/>
    <mergeCell ref="Q38:Q39"/>
    <mergeCell ref="B40:C40"/>
    <mergeCell ref="K40:L40"/>
    <mergeCell ref="B41:E41"/>
    <mergeCell ref="K41:N41"/>
    <mergeCell ref="J38:J39"/>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Y61"/>
  <sheetViews>
    <sheetView topLeftCell="A7" zoomScale="80" zoomScaleNormal="80" workbookViewId="0">
      <selection activeCell="H27" sqref="H2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7109375" style="150" customWidth="1"/>
    <col min="11" max="11" width="12.5703125" style="150" bestFit="1" customWidth="1"/>
    <col min="12" max="12" width="8.28515625" style="150" customWidth="1"/>
    <col min="13" max="13" width="14.7109375" style="150"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30</v>
      </c>
      <c r="H4" s="155" t="str">
        <f>+'1'!H4</f>
        <v>.11.25</v>
      </c>
      <c r="J4" s="150">
        <f>674.1+688.3+609.8</f>
        <v>1972.2</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1280</v>
      </c>
      <c r="P6" s="150">
        <f>+O6-O6*0.22</f>
        <v>998.4</v>
      </c>
      <c r="Q6" s="150">
        <f>60*3+45</f>
        <v>225</v>
      </c>
      <c r="R6" s="150">
        <f>+O6*Q6</f>
        <v>288000</v>
      </c>
      <c r="S6" s="150">
        <f>+P6*Q6</f>
        <v>224640</v>
      </c>
      <c r="T6" s="150" t="s">
        <v>415</v>
      </c>
      <c r="U6" s="150">
        <v>1280</v>
      </c>
      <c r="V6" s="150">
        <f>+U6-U6*0.22</f>
        <v>998.4</v>
      </c>
      <c r="W6" s="150">
        <f>60*3+45</f>
        <v>225</v>
      </c>
      <c r="X6" s="150">
        <f>+U6*W6</f>
        <v>288000</v>
      </c>
      <c r="Y6" s="150">
        <f>+V6*W6</f>
        <v>224640</v>
      </c>
    </row>
    <row r="7" spans="1:25" ht="13.5" customHeight="1" thickBot="1">
      <c r="A7" s="775" t="s">
        <v>444</v>
      </c>
      <c r="B7" s="216" t="s">
        <v>448</v>
      </c>
      <c r="C7" s="217">
        <v>14505</v>
      </c>
      <c r="D7" s="218"/>
      <c r="E7" s="219"/>
      <c r="F7" s="229"/>
      <c r="G7" s="230" t="s">
        <v>13</v>
      </c>
      <c r="H7" s="231" t="s">
        <v>390</v>
      </c>
      <c r="I7" s="778" t="s">
        <v>722</v>
      </c>
      <c r="J7" s="215" t="str">
        <f>+'29'!J7</f>
        <v>T 13,5 RC HW</v>
      </c>
      <c r="K7" s="239">
        <f>+C7+C16+C25</f>
        <v>38479</v>
      </c>
      <c r="L7" s="243"/>
      <c r="M7" s="118">
        <f>+K7+'29'!M7+L7</f>
        <v>535621</v>
      </c>
      <c r="N7" s="150" t="s">
        <v>416</v>
      </c>
      <c r="O7" s="150">
        <v>1260</v>
      </c>
      <c r="P7" s="150">
        <f>+O7-O7*0.22</f>
        <v>982.8</v>
      </c>
      <c r="Q7" s="150">
        <f>60-45+40</f>
        <v>55</v>
      </c>
      <c r="R7" s="150">
        <f>+O7*Q7</f>
        <v>69300</v>
      </c>
      <c r="S7" s="150">
        <f>+P7*Q7</f>
        <v>54054</v>
      </c>
      <c r="T7" s="150" t="s">
        <v>415</v>
      </c>
      <c r="U7" s="150">
        <v>1260</v>
      </c>
      <c r="V7" s="150">
        <v>982.8</v>
      </c>
      <c r="W7" s="150">
        <v>200</v>
      </c>
      <c r="X7" s="150">
        <f>+U7*W7</f>
        <v>252000</v>
      </c>
      <c r="Y7" s="150">
        <f>+V7*W7</f>
        <v>196560</v>
      </c>
    </row>
    <row r="8" spans="1:25" ht="13.5" thickBot="1">
      <c r="A8" s="776"/>
      <c r="B8" s="216" t="s">
        <v>447</v>
      </c>
      <c r="C8" s="217">
        <v>4016</v>
      </c>
      <c r="D8" s="218"/>
      <c r="E8" s="220"/>
      <c r="F8" s="232">
        <v>3</v>
      </c>
      <c r="G8" s="579" t="s">
        <v>13</v>
      </c>
      <c r="H8" s="231" t="s">
        <v>398</v>
      </c>
      <c r="I8" s="779"/>
      <c r="J8" s="215" t="str">
        <f>+'29'!J8</f>
        <v>T 14 RC HW</v>
      </c>
      <c r="K8" s="240">
        <f>+C8+C17</f>
        <v>11262</v>
      </c>
      <c r="L8" s="240"/>
      <c r="M8" s="118">
        <f>+K8+'29'!M8+L8</f>
        <v>109043</v>
      </c>
      <c r="N8" s="150" t="s">
        <v>415</v>
      </c>
      <c r="O8" s="150">
        <v>1260</v>
      </c>
      <c r="P8" s="150">
        <f>+O8-O8*0.22</f>
        <v>982.8</v>
      </c>
      <c r="Q8" s="150">
        <f>60-40+180</f>
        <v>200</v>
      </c>
      <c r="R8" s="150">
        <f>+O8*Q8</f>
        <v>252000</v>
      </c>
      <c r="S8" s="150">
        <f>+P8*Q8</f>
        <v>196560</v>
      </c>
      <c r="T8" s="150" t="s">
        <v>415</v>
      </c>
      <c r="U8" s="150">
        <v>1270</v>
      </c>
      <c r="V8" s="150">
        <v>990.6</v>
      </c>
      <c r="W8" s="150">
        <v>480</v>
      </c>
      <c r="X8" s="150">
        <f>+U8*W8</f>
        <v>609600</v>
      </c>
      <c r="Y8" s="150">
        <f>+V8*W8</f>
        <v>475488</v>
      </c>
    </row>
    <row r="9" spans="1:25" ht="13.5" thickBot="1">
      <c r="A9" s="776"/>
      <c r="B9" s="216"/>
      <c r="C9" s="217"/>
      <c r="D9" s="218"/>
      <c r="E9" s="221"/>
      <c r="F9" s="229">
        <v>4</v>
      </c>
      <c r="G9" s="579" t="s">
        <v>13</v>
      </c>
      <c r="H9" s="234" t="s">
        <v>427</v>
      </c>
      <c r="I9" s="779"/>
      <c r="J9" s="215" t="str">
        <f>+'29'!J9</f>
        <v>T 15 RC HW</v>
      </c>
      <c r="K9" s="240"/>
      <c r="L9" s="240"/>
      <c r="M9" s="118">
        <f>+K9+'29'!M9+L9</f>
        <v>182718</v>
      </c>
      <c r="P9" s="150">
        <f t="shared" ref="P9" si="0">+O9-O9*0.17</f>
        <v>0</v>
      </c>
      <c r="T9" s="150" t="s">
        <v>415</v>
      </c>
      <c r="U9" s="150">
        <v>1280</v>
      </c>
      <c r="V9" s="150">
        <v>998.4</v>
      </c>
      <c r="W9" s="150">
        <v>480</v>
      </c>
      <c r="X9" s="150">
        <f>+U9*W9</f>
        <v>614400</v>
      </c>
      <c r="Y9" s="150">
        <f>+V9*W9</f>
        <v>479232</v>
      </c>
    </row>
    <row r="10" spans="1:25" ht="26.25" thickBot="1">
      <c r="A10" s="776"/>
      <c r="B10" s="216"/>
      <c r="C10" s="217"/>
      <c r="D10" s="218"/>
      <c r="E10" s="220"/>
      <c r="F10" s="229">
        <v>10</v>
      </c>
      <c r="G10" s="238" t="s">
        <v>14</v>
      </c>
      <c r="H10" s="234" t="s">
        <v>726</v>
      </c>
      <c r="I10" s="779"/>
      <c r="J10" s="215" t="str">
        <f>+'29'!J10</f>
        <v>TW 29 RC HW</v>
      </c>
      <c r="K10" s="240"/>
      <c r="L10" s="240"/>
      <c r="M10" s="118">
        <f>+K10+'29'!M10+L10</f>
        <v>21998</v>
      </c>
    </row>
    <row r="11" spans="1:25" ht="39" thickBot="1">
      <c r="A11" s="776"/>
      <c r="B11" s="216"/>
      <c r="C11" s="217"/>
      <c r="D11" s="218"/>
      <c r="E11" s="220"/>
      <c r="F11" s="229"/>
      <c r="G11" s="233"/>
      <c r="H11" s="234" t="s">
        <v>727</v>
      </c>
      <c r="I11" s="779"/>
      <c r="J11" s="215" t="str">
        <f>+'29'!J11</f>
        <v>TW 20 RC HW</v>
      </c>
      <c r="K11" s="240"/>
      <c r="L11" s="240"/>
      <c r="M11" s="118">
        <f>+K11+'29'!M11+L11</f>
        <v>104164</v>
      </c>
    </row>
    <row r="12" spans="1:25" ht="13.5" thickBot="1">
      <c r="A12" s="776"/>
      <c r="B12" s="216"/>
      <c r="C12" s="217"/>
      <c r="D12" s="218"/>
      <c r="E12" s="220"/>
      <c r="F12" s="229"/>
      <c r="G12" s="233"/>
      <c r="H12" s="234"/>
      <c r="I12" s="779"/>
      <c r="J12" s="215" t="str">
        <f>+'29'!J12</f>
        <v>TW 19 RC HW</v>
      </c>
      <c r="K12" s="240"/>
      <c r="L12" s="240"/>
      <c r="M12" s="118">
        <f>+K12+'29'!M12+L12</f>
        <v>18863</v>
      </c>
    </row>
    <row r="13" spans="1:25" ht="13.5" thickBot="1">
      <c r="A13" s="776"/>
      <c r="B13" s="216"/>
      <c r="C13" s="217"/>
      <c r="D13" s="217"/>
      <c r="E13" s="220"/>
      <c r="F13" s="229"/>
      <c r="G13" s="233"/>
      <c r="H13" s="234"/>
      <c r="I13" s="780"/>
      <c r="J13" s="215" t="str">
        <f>+'29'!J13</f>
        <v>TW 17 RC HW</v>
      </c>
      <c r="K13" s="240"/>
      <c r="L13" s="240"/>
      <c r="M13" s="118">
        <f>+K13+'29'!M13+L13</f>
        <v>67816</v>
      </c>
    </row>
    <row r="14" spans="1:25" ht="13.5" thickBot="1">
      <c r="A14" s="777"/>
      <c r="B14" s="166" t="s">
        <v>3</v>
      </c>
      <c r="C14" s="100">
        <f>SUM(C7:C13)</f>
        <v>18521</v>
      </c>
      <c r="D14" s="112">
        <f>SUM(D7:D13)</f>
        <v>0</v>
      </c>
      <c r="E14" s="113">
        <f>SUM(E5:E13)</f>
        <v>0</v>
      </c>
      <c r="F14" s="117">
        <f>SUM(F7:F13)</f>
        <v>17</v>
      </c>
      <c r="G14" s="160"/>
      <c r="H14" s="167"/>
      <c r="I14" s="168"/>
      <c r="J14" s="215" t="str">
        <f>+'29'!J14</f>
        <v>F 14 RC HW</v>
      </c>
      <c r="K14" s="240"/>
      <c r="L14" s="240"/>
      <c r="M14" s="118">
        <f>+K14+'29'!M14+L14</f>
        <v>10232</v>
      </c>
    </row>
    <row r="15" spans="1:25" ht="13.5" customHeight="1" thickBot="1">
      <c r="A15" s="775" t="s">
        <v>446</v>
      </c>
      <c r="B15" s="166"/>
      <c r="C15" s="114">
        <f>C14/($C$23+$D$23+$E$23)</f>
        <v>1.1822417975232988</v>
      </c>
      <c r="D15" s="115">
        <f>D14/($C$23+$D$23+$E$23)</f>
        <v>0</v>
      </c>
      <c r="E15" s="116">
        <f>E14/($C$23+$D$23+$E$23)</f>
        <v>0</v>
      </c>
      <c r="F15" s="229"/>
      <c r="G15" s="230" t="s">
        <v>13</v>
      </c>
      <c r="H15" s="231" t="s">
        <v>390</v>
      </c>
      <c r="I15" s="778" t="s">
        <v>721</v>
      </c>
      <c r="J15" s="215" t="str">
        <f>+'29'!J15</f>
        <v>T 16,5 RC HW</v>
      </c>
      <c r="K15" s="240"/>
      <c r="L15" s="240"/>
      <c r="M15" s="118">
        <f>+K15+'29'!M15+L15</f>
        <v>10954</v>
      </c>
    </row>
    <row r="16" spans="1:25" ht="13.5" thickBot="1">
      <c r="A16" s="781"/>
      <c r="B16" s="222" t="s">
        <v>448</v>
      </c>
      <c r="C16" s="223">
        <v>8420</v>
      </c>
      <c r="D16" s="224"/>
      <c r="E16" s="225"/>
      <c r="F16" s="229">
        <v>4</v>
      </c>
      <c r="G16" s="579" t="s">
        <v>13</v>
      </c>
      <c r="H16" s="231" t="s">
        <v>426</v>
      </c>
      <c r="I16" s="779"/>
      <c r="J16" s="215" t="str">
        <f>+'29'!J16</f>
        <v>T 15,5 RC HW</v>
      </c>
      <c r="K16" s="230"/>
      <c r="L16" s="230"/>
      <c r="M16" s="118">
        <f>+K16+'29'!M16+L16</f>
        <v>263708</v>
      </c>
      <c r="Q16" s="150">
        <f>SUM(Q6:Q14)</f>
        <v>480</v>
      </c>
      <c r="R16" s="150">
        <f>SUM(R6:R14)</f>
        <v>609300</v>
      </c>
      <c r="S16" s="150">
        <f>SUM(S6:S14)</f>
        <v>475254</v>
      </c>
      <c r="W16" s="150">
        <f>SUM(W6:W14)</f>
        <v>1385</v>
      </c>
      <c r="X16" s="150">
        <f>SUM(X6:X14)</f>
        <v>1764000</v>
      </c>
      <c r="Y16" s="150">
        <f>SUM(Y6:Y14)</f>
        <v>1375920</v>
      </c>
    </row>
    <row r="17" spans="1:25" ht="13.5" thickBot="1">
      <c r="A17" s="781"/>
      <c r="B17" s="216" t="s">
        <v>447</v>
      </c>
      <c r="C17" s="217">
        <v>7246</v>
      </c>
      <c r="D17" s="218"/>
      <c r="E17" s="226"/>
      <c r="F17" s="229">
        <v>10</v>
      </c>
      <c r="G17" s="579" t="s">
        <v>13</v>
      </c>
      <c r="H17" s="234" t="s">
        <v>427</v>
      </c>
      <c r="I17" s="779"/>
      <c r="J17" s="215" t="str">
        <f>+'29'!J17</f>
        <v>T 16 RC HW</v>
      </c>
      <c r="K17" s="230"/>
      <c r="L17" s="230"/>
      <c r="M17" s="118">
        <f>+K17+'29'!M17+L17</f>
        <v>43235</v>
      </c>
      <c r="Q17" s="150">
        <f>480-Q16</f>
        <v>0</v>
      </c>
      <c r="R17" s="150">
        <f>+R16/Q16</f>
        <v>1269.375</v>
      </c>
      <c r="S17" s="150">
        <f>+S16/Q16</f>
        <v>990.11249999999995</v>
      </c>
      <c r="W17" s="150">
        <f>480-W16</f>
        <v>-905</v>
      </c>
      <c r="X17" s="150">
        <f>+X16/W16</f>
        <v>1273.6462093862815</v>
      </c>
      <c r="Y17" s="150">
        <f>+Y16/W16</f>
        <v>993.44404332129966</v>
      </c>
    </row>
    <row r="18" spans="1:25" ht="26.25" thickBot="1">
      <c r="A18" s="781"/>
      <c r="B18" s="216"/>
      <c r="C18" s="217"/>
      <c r="D18" s="218"/>
      <c r="E18" s="226"/>
      <c r="F18" s="229"/>
      <c r="G18" s="238" t="s">
        <v>14</v>
      </c>
      <c r="H18" s="234" t="s">
        <v>725</v>
      </c>
      <c r="I18" s="779"/>
      <c r="J18" s="215" t="str">
        <f>+'29'!J18</f>
        <v>T 19 RC HW</v>
      </c>
      <c r="K18" s="240"/>
      <c r="L18" s="240"/>
      <c r="M18" s="118">
        <f>+K18+'29'!M18+L18</f>
        <v>66753</v>
      </c>
      <c r="N18" s="150" t="s">
        <v>415</v>
      </c>
      <c r="O18" s="150">
        <v>1270</v>
      </c>
      <c r="P18" s="150">
        <f>+O18-O18*0.22</f>
        <v>990.6</v>
      </c>
      <c r="Q18" s="150">
        <v>480</v>
      </c>
      <c r="R18" s="150">
        <f>+O18*Q18</f>
        <v>609600</v>
      </c>
      <c r="S18" s="150">
        <f>+P18*Q18</f>
        <v>475488</v>
      </c>
    </row>
    <row r="19" spans="1:25" ht="13.5" thickBot="1">
      <c r="A19" s="781"/>
      <c r="B19" s="216"/>
      <c r="C19" s="217"/>
      <c r="D19" s="218"/>
      <c r="E19" s="226"/>
      <c r="F19" s="236"/>
      <c r="G19" s="233"/>
      <c r="H19" s="234"/>
      <c r="I19" s="779"/>
      <c r="J19" s="215" t="str">
        <f>+'29'!J19</f>
        <v>T 20 RC HW</v>
      </c>
      <c r="K19" s="240"/>
      <c r="L19" s="240"/>
      <c r="M19" s="118">
        <f>+K19+'29'!M19+L19</f>
        <v>33158</v>
      </c>
    </row>
    <row r="20" spans="1:25" ht="13.5" thickBot="1">
      <c r="A20" s="781"/>
      <c r="B20" s="216"/>
      <c r="C20" s="217"/>
      <c r="D20" s="218"/>
      <c r="E20" s="226"/>
      <c r="F20" s="229"/>
      <c r="G20" s="233"/>
      <c r="H20" s="234"/>
      <c r="I20" s="779"/>
      <c r="J20" s="215">
        <f>+'29'!J20</f>
        <v>0</v>
      </c>
      <c r="K20" s="241"/>
      <c r="L20" s="241"/>
      <c r="M20" s="118">
        <f>+K20+'29'!M20+L20</f>
        <v>0</v>
      </c>
    </row>
    <row r="21" spans="1:25" ht="13.5" thickBot="1">
      <c r="A21" s="781"/>
      <c r="B21" s="216"/>
      <c r="C21" s="217"/>
      <c r="D21" s="218"/>
      <c r="E21" s="226"/>
      <c r="F21" s="232"/>
      <c r="G21" s="233"/>
      <c r="H21" s="234"/>
      <c r="I21" s="779"/>
      <c r="J21" s="215">
        <f>+'29'!J21</f>
        <v>0</v>
      </c>
      <c r="K21" s="240"/>
      <c r="L21" s="240"/>
      <c r="M21" s="118">
        <f>+K21+'29'!M21+L21</f>
        <v>0</v>
      </c>
      <c r="P21" s="150">
        <f t="shared" ref="P21" si="1">+O21-O21*0.17</f>
        <v>0</v>
      </c>
    </row>
    <row r="22" spans="1:25" ht="13.5" thickBot="1">
      <c r="A22" s="781"/>
      <c r="B22" s="216"/>
      <c r="C22" s="217"/>
      <c r="D22" s="218"/>
      <c r="E22" s="226"/>
      <c r="F22" s="237"/>
      <c r="G22" s="233"/>
      <c r="H22" s="234"/>
      <c r="I22" s="780"/>
      <c r="J22" s="215">
        <f>+'29'!J22</f>
        <v>0</v>
      </c>
      <c r="K22" s="240"/>
      <c r="L22" s="240"/>
      <c r="M22" s="118">
        <f>+K22+'29'!M22+L22</f>
        <v>0</v>
      </c>
    </row>
    <row r="23" spans="1:25" ht="13.5" thickBot="1">
      <c r="A23" s="782"/>
      <c r="B23" s="169" t="s">
        <v>3</v>
      </c>
      <c r="C23" s="101">
        <f>SUM(C16:C22)</f>
        <v>15666</v>
      </c>
      <c r="D23" s="112">
        <f>SUM(D16:D22)</f>
        <v>0</v>
      </c>
      <c r="E23" s="113">
        <f>SUM(E18:E22)</f>
        <v>0</v>
      </c>
      <c r="F23" s="117">
        <f>SUM(F15:F22)</f>
        <v>14</v>
      </c>
      <c r="G23" s="160"/>
      <c r="H23" s="167"/>
      <c r="I23" s="170"/>
      <c r="J23" s="215">
        <f>+'29'!J23</f>
        <v>0</v>
      </c>
      <c r="K23" s="240"/>
      <c r="L23" s="240"/>
      <c r="M23" s="118">
        <f>+K23+'29'!M23+L23</f>
        <v>0</v>
      </c>
    </row>
    <row r="24" spans="1:25" ht="13.5" customHeight="1" thickBot="1">
      <c r="A24" s="775" t="s">
        <v>460</v>
      </c>
      <c r="B24" s="171"/>
      <c r="C24" s="114">
        <f>C23/($C$23+$D$23+$E$23)</f>
        <v>1</v>
      </c>
      <c r="D24" s="115">
        <f>D23/($C$23+$D$23+$E$23)</f>
        <v>0</v>
      </c>
      <c r="E24" s="116">
        <f>E23/($C$23+$D$23+$E$23)</f>
        <v>0</v>
      </c>
      <c r="F24" s="237"/>
      <c r="G24" s="230" t="s">
        <v>13</v>
      </c>
      <c r="H24" s="231" t="s">
        <v>390</v>
      </c>
      <c r="I24" s="778" t="s">
        <v>720</v>
      </c>
      <c r="J24" s="215">
        <f>+'29'!J24</f>
        <v>0</v>
      </c>
      <c r="K24" s="240"/>
      <c r="L24" s="240"/>
      <c r="M24" s="118">
        <f>+K24+'29'!M24+L24</f>
        <v>0</v>
      </c>
    </row>
    <row r="25" spans="1:25" ht="13.5" thickBot="1">
      <c r="A25" s="781"/>
      <c r="B25" s="216" t="s">
        <v>448</v>
      </c>
      <c r="C25" s="227">
        <v>15554</v>
      </c>
      <c r="D25" s="218"/>
      <c r="E25" s="226"/>
      <c r="F25" s="232">
        <v>3</v>
      </c>
      <c r="G25" s="579" t="s">
        <v>13</v>
      </c>
      <c r="H25" s="231" t="s">
        <v>424</v>
      </c>
      <c r="I25" s="779"/>
      <c r="J25" s="215">
        <f>+'29'!J25</f>
        <v>0</v>
      </c>
      <c r="K25" s="240"/>
      <c r="L25" s="240"/>
      <c r="M25" s="118">
        <f>+K25+'29'!M25+L25</f>
        <v>0</v>
      </c>
    </row>
    <row r="26" spans="1:25" ht="13.5" thickBot="1">
      <c r="A26" s="781"/>
      <c r="B26" s="216"/>
      <c r="C26" s="227"/>
      <c r="D26" s="218"/>
      <c r="E26" s="228"/>
      <c r="F26" s="232">
        <v>8</v>
      </c>
      <c r="G26" s="579" t="s">
        <v>13</v>
      </c>
      <c r="H26" s="234" t="s">
        <v>425</v>
      </c>
      <c r="I26" s="779"/>
      <c r="J26" s="215">
        <f>+'29'!J26</f>
        <v>0</v>
      </c>
      <c r="K26" s="240"/>
      <c r="L26" s="240"/>
      <c r="M26" s="118">
        <f>+K26+'29'!M26+L26</f>
        <v>0</v>
      </c>
    </row>
    <row r="27" spans="1:25" ht="26.25" thickBot="1">
      <c r="A27" s="781"/>
      <c r="B27" s="216"/>
      <c r="C27" s="217"/>
      <c r="D27" s="218"/>
      <c r="E27" s="226"/>
      <c r="F27" s="232">
        <v>8</v>
      </c>
      <c r="G27" s="238" t="s">
        <v>14</v>
      </c>
      <c r="H27" s="234" t="s">
        <v>724</v>
      </c>
      <c r="I27" s="779"/>
      <c r="J27" s="215">
        <f>+'29'!J27</f>
        <v>0</v>
      </c>
      <c r="K27" s="240"/>
      <c r="L27" s="240"/>
      <c r="M27" s="118">
        <f>+K27+'29'!M27+L27</f>
        <v>0</v>
      </c>
    </row>
    <row r="28" spans="1:25" ht="13.5" thickBot="1">
      <c r="A28" s="781"/>
      <c r="B28" s="216"/>
      <c r="C28" s="217"/>
      <c r="D28" s="218"/>
      <c r="E28" s="226"/>
      <c r="F28" s="232"/>
      <c r="G28" s="233"/>
      <c r="H28" s="234"/>
      <c r="I28" s="779"/>
      <c r="J28" s="215">
        <f>+'29'!J28</f>
        <v>0</v>
      </c>
      <c r="K28" s="240"/>
      <c r="L28" s="240"/>
      <c r="M28" s="118">
        <f>+K28+'29'!M28+L28</f>
        <v>0</v>
      </c>
      <c r="Q28" s="150">
        <f>SUM(Q18:Q26)</f>
        <v>480</v>
      </c>
      <c r="R28" s="150">
        <f>SUM(R18:R26)</f>
        <v>609600</v>
      </c>
      <c r="S28" s="150">
        <f>SUM(S18:S26)</f>
        <v>475488</v>
      </c>
    </row>
    <row r="29" spans="1:25" ht="13.5" thickBot="1">
      <c r="A29" s="781"/>
      <c r="B29" s="216"/>
      <c r="C29" s="217"/>
      <c r="D29" s="218"/>
      <c r="E29" s="226"/>
      <c r="F29" s="237"/>
      <c r="G29" s="233"/>
      <c r="H29" s="234"/>
      <c r="I29" s="779"/>
      <c r="J29" s="215">
        <f>+'29'!J29</f>
        <v>0</v>
      </c>
      <c r="K29" s="240"/>
      <c r="L29" s="240"/>
      <c r="M29" s="118">
        <f>+K29+'29'!M29+L29</f>
        <v>0</v>
      </c>
      <c r="Q29" s="150">
        <f>480-Q28</f>
        <v>0</v>
      </c>
      <c r="R29" s="150">
        <f>+R28/Q28</f>
        <v>1270</v>
      </c>
      <c r="S29" s="150">
        <f>+S28/Q28</f>
        <v>990.6</v>
      </c>
    </row>
    <row r="30" spans="1:25" ht="13.5" thickBot="1">
      <c r="A30" s="781"/>
      <c r="B30" s="216"/>
      <c r="C30" s="227"/>
      <c r="D30" s="218"/>
      <c r="E30" s="226"/>
      <c r="F30" s="237"/>
      <c r="G30" s="233"/>
      <c r="H30" s="234"/>
      <c r="I30" s="779"/>
      <c r="J30" s="215">
        <f>+'29'!J30</f>
        <v>0</v>
      </c>
      <c r="K30" s="240"/>
      <c r="L30" s="240"/>
      <c r="M30" s="118">
        <f>+K30+'29'!M30+L30</f>
        <v>0</v>
      </c>
      <c r="N30" s="156"/>
    </row>
    <row r="31" spans="1:25" ht="13.5" thickBot="1">
      <c r="A31" s="781"/>
      <c r="B31" s="216"/>
      <c r="C31" s="227"/>
      <c r="D31" s="218"/>
      <c r="E31" s="226"/>
      <c r="F31" s="237"/>
      <c r="G31" s="238"/>
      <c r="H31" s="235"/>
      <c r="I31" s="780"/>
      <c r="J31" s="215">
        <f>+'29'!J31</f>
        <v>0</v>
      </c>
      <c r="K31" s="240"/>
      <c r="L31" s="240"/>
      <c r="M31" s="118">
        <f>+K31+'29'!M31+L31</f>
        <v>0</v>
      </c>
      <c r="N31" s="150" t="s">
        <v>415</v>
      </c>
      <c r="O31" s="150">
        <v>1280</v>
      </c>
      <c r="P31" s="150">
        <f>+O31-O31*0.22</f>
        <v>998.4</v>
      </c>
      <c r="Q31" s="150">
        <v>480</v>
      </c>
      <c r="R31" s="150">
        <f>+O31*Q31</f>
        <v>614400</v>
      </c>
      <c r="S31" s="150">
        <f>+P31*Q31</f>
        <v>479232</v>
      </c>
    </row>
    <row r="32" spans="1:25" ht="13.5" thickBot="1">
      <c r="A32" s="782"/>
      <c r="B32" s="166" t="s">
        <v>3</v>
      </c>
      <c r="C32" s="100">
        <f>SUM(C25:C31)</f>
        <v>15554</v>
      </c>
      <c r="D32" s="101">
        <f>SUM(D25:D31)</f>
        <v>0</v>
      </c>
      <c r="E32" s="102">
        <f>SUM(E25:E31)</f>
        <v>0</v>
      </c>
      <c r="F32" s="103">
        <f>SUM(F24:F31)</f>
        <v>19</v>
      </c>
      <c r="G32" s="172"/>
      <c r="H32" s="173"/>
      <c r="I32" s="170"/>
      <c r="J32" s="215"/>
      <c r="K32" s="240"/>
      <c r="L32" s="244"/>
      <c r="M32" s="118">
        <f>+K32+'29'!M32+L32</f>
        <v>0</v>
      </c>
    </row>
    <row r="33" spans="1:19" ht="13.5" thickBot="1">
      <c r="A33" s="174"/>
      <c r="B33" s="175"/>
      <c r="C33" s="104">
        <f>C32/($C$32+$D$32+$E$32)</f>
        <v>1</v>
      </c>
      <c r="D33" s="105">
        <f>D32/($C$32+$D$32+$E$32)</f>
        <v>0</v>
      </c>
      <c r="E33" s="106">
        <f>E32/($C$32+$D$32+$E$32)</f>
        <v>0</v>
      </c>
      <c r="F33" s="107"/>
      <c r="G33" s="176"/>
      <c r="H33" s="177"/>
      <c r="I33" s="178"/>
      <c r="J33" s="122"/>
      <c r="K33" s="123"/>
      <c r="L33" s="214"/>
      <c r="M33" s="120"/>
    </row>
    <row r="34" spans="1:19" ht="13.5" thickBot="1">
      <c r="A34" s="771" t="s">
        <v>70</v>
      </c>
      <c r="B34" s="772"/>
      <c r="C34" s="108">
        <f>C14+C23+C32</f>
        <v>49741</v>
      </c>
      <c r="D34" s="108">
        <f>D14+D23+D32</f>
        <v>0</v>
      </c>
      <c r="E34" s="108">
        <f>E14+E23+E32</f>
        <v>0</v>
      </c>
      <c r="F34" s="109">
        <f>F14+F23+F32</f>
        <v>50</v>
      </c>
      <c r="H34" s="179"/>
      <c r="I34" s="179"/>
      <c r="J34" s="124" t="s">
        <v>29</v>
      </c>
      <c r="K34" s="125">
        <f>SUM(K7:K32)</f>
        <v>49741</v>
      </c>
      <c r="L34" s="213">
        <f>SUM(L7:L32)</f>
        <v>0</v>
      </c>
      <c r="M34" s="121">
        <f>SUM(M7:M32)</f>
        <v>1468263</v>
      </c>
      <c r="P34" s="150">
        <f t="shared" ref="P34" si="2">+O34-O34*0.17</f>
        <v>0</v>
      </c>
    </row>
    <row r="35" spans="1:19" ht="13.5" thickBot="1">
      <c r="A35" s="180"/>
      <c r="B35" s="181"/>
      <c r="C35" s="105">
        <f>C34/($C$34+$D$34+$E$34)</f>
        <v>1</v>
      </c>
      <c r="D35" s="105">
        <f>D34/($C$34+$D$34+$E$34)</f>
        <v>0</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row>
    <row r="37" spans="1:19" ht="17.45" customHeight="1" thickBot="1">
      <c r="A37" s="773" t="s">
        <v>71</v>
      </c>
      <c r="B37" s="774"/>
      <c r="C37" s="163" t="s">
        <v>72</v>
      </c>
      <c r="D37" s="184" t="s">
        <v>73</v>
      </c>
      <c r="E37" s="185" t="s">
        <v>74</v>
      </c>
      <c r="F37" s="361"/>
      <c r="G37" s="363"/>
      <c r="H37" s="187" t="s">
        <v>75</v>
      </c>
      <c r="I37" s="245">
        <f>(13.5*1385+14*55)/1440*G42*2.77*1440/1000000</f>
        <v>53.549522361562495</v>
      </c>
      <c r="J37" s="126">
        <f>+I37+'29'!J37</f>
        <v>1584.6567882989636</v>
      </c>
      <c r="K37" s="127" t="s">
        <v>76</v>
      </c>
      <c r="L37" s="421"/>
      <c r="M37" s="422"/>
    </row>
    <row r="38" spans="1:19" ht="17.45" customHeight="1">
      <c r="A38" s="767" t="s">
        <v>13</v>
      </c>
      <c r="B38" s="768"/>
      <c r="C38" s="165">
        <f>SUMIF($G$7:$G$31,"Process",$F$7:$F$31)</f>
        <v>32</v>
      </c>
      <c r="D38" s="119">
        <f>+C38+'29'!D38</f>
        <v>1612</v>
      </c>
      <c r="E38" s="144">
        <f t="shared" ref="E38:E51" si="3">D38/60</f>
        <v>26.866666666666667</v>
      </c>
      <c r="F38" s="361">
        <v>1269.375</v>
      </c>
      <c r="G38" s="361">
        <v>990.11249999999995</v>
      </c>
      <c r="H38" s="188" t="s">
        <v>77</v>
      </c>
      <c r="I38" s="246">
        <f>15.846+17.084+18.007</f>
        <v>50.936999999999998</v>
      </c>
      <c r="J38" s="128">
        <f>+I38+'29'!J38</f>
        <v>1506.0089999999998</v>
      </c>
      <c r="K38" s="129" t="s">
        <v>76</v>
      </c>
      <c r="L38" s="423"/>
      <c r="M38" s="424"/>
    </row>
    <row r="39" spans="1:19" ht="17.45" customHeight="1">
      <c r="A39" s="763" t="s">
        <v>14</v>
      </c>
      <c r="B39" s="764"/>
      <c r="C39" s="165">
        <f>SUMIF($G$7:$G$31,"Cleaning",$F$7:$F$31)</f>
        <v>18</v>
      </c>
      <c r="D39" s="119">
        <f>+C39+'29'!D39</f>
        <v>373</v>
      </c>
      <c r="E39" s="144">
        <f t="shared" si="3"/>
        <v>6.2166666666666668</v>
      </c>
      <c r="F39" s="361">
        <v>1270</v>
      </c>
      <c r="G39" s="361">
        <v>990.6</v>
      </c>
      <c r="H39" s="188" t="s">
        <v>78</v>
      </c>
      <c r="I39" s="143"/>
      <c r="J39" s="130">
        <f>J37/G4</f>
        <v>52.821892943298785</v>
      </c>
      <c r="K39" s="131" t="s">
        <v>76</v>
      </c>
      <c r="L39" s="423"/>
      <c r="M39" s="424"/>
    </row>
    <row r="40" spans="1:19" ht="17.45" customHeight="1">
      <c r="A40" s="763" t="s">
        <v>79</v>
      </c>
      <c r="B40" s="764"/>
      <c r="C40" s="165">
        <f>SUMIF($G$7:$G$31,"Mechanical",$F$7:$F$31)</f>
        <v>0</v>
      </c>
      <c r="D40" s="119">
        <f>+C40+'29'!D40</f>
        <v>0</v>
      </c>
      <c r="E40" s="144">
        <f t="shared" si="3"/>
        <v>0</v>
      </c>
      <c r="F40" s="361">
        <v>1280</v>
      </c>
      <c r="G40" s="361">
        <v>998.4</v>
      </c>
      <c r="H40" s="188" t="s">
        <v>80</v>
      </c>
      <c r="I40" s="119">
        <f>(K34+L34)/1000</f>
        <v>49.741</v>
      </c>
      <c r="J40" s="132">
        <f>+I40+'29'!J40</f>
        <v>1468.2629999999999</v>
      </c>
      <c r="K40" s="131" t="s">
        <v>76</v>
      </c>
      <c r="L40" s="423"/>
      <c r="M40" s="424"/>
    </row>
    <row r="41" spans="1:19" ht="17.45" customHeight="1">
      <c r="A41" s="763" t="s">
        <v>81</v>
      </c>
      <c r="B41" s="764"/>
      <c r="C41" s="165">
        <f>SUMIF($G$7:$G$31,"Electrical",$F$7:$F$31)</f>
        <v>0</v>
      </c>
      <c r="D41" s="119">
        <f>+C41+'29'!D41</f>
        <v>203</v>
      </c>
      <c r="E41" s="144">
        <f t="shared" si="3"/>
        <v>3.3833333333333333</v>
      </c>
      <c r="F41" s="361"/>
      <c r="G41" s="361"/>
      <c r="H41" s="188" t="s">
        <v>82</v>
      </c>
      <c r="I41" s="143"/>
      <c r="J41" s="130">
        <f>J40/G4</f>
        <v>48.942099999999996</v>
      </c>
      <c r="K41" s="131" t="s">
        <v>76</v>
      </c>
      <c r="L41" s="423"/>
      <c r="M41" s="424"/>
      <c r="Q41" s="150">
        <f>SUM(Q31:Q39)</f>
        <v>480</v>
      </c>
      <c r="R41" s="150">
        <f>SUM(R31:R39)</f>
        <v>614400</v>
      </c>
      <c r="S41" s="150">
        <f>SUM(S31:S39)</f>
        <v>479232</v>
      </c>
    </row>
    <row r="42" spans="1:19" ht="17.45" customHeight="1">
      <c r="A42" s="763" t="s">
        <v>17</v>
      </c>
      <c r="B42" s="764"/>
      <c r="C42" s="165">
        <f>SUMIF($G$7:$G$31,"Instrument",$F$7:$F$31)</f>
        <v>0</v>
      </c>
      <c r="D42" s="119">
        <f>+C42+'29'!D42</f>
        <v>0</v>
      </c>
      <c r="E42" s="144">
        <f t="shared" si="3"/>
        <v>0</v>
      </c>
      <c r="F42" s="361">
        <f>+(F38*480+F39*480+F40*480)/1440</f>
        <v>1273.125</v>
      </c>
      <c r="G42" s="361">
        <f>+(G38*480+G39*480+G40*480)/1440</f>
        <v>993.03750000000002</v>
      </c>
      <c r="H42" s="188" t="s">
        <v>83</v>
      </c>
      <c r="I42" s="247"/>
      <c r="J42" s="133"/>
      <c r="K42" s="131" t="s">
        <v>84</v>
      </c>
      <c r="L42" s="423"/>
      <c r="M42" s="424"/>
      <c r="Q42" s="150">
        <f>480-Q41</f>
        <v>0</v>
      </c>
      <c r="R42" s="150">
        <f>+R41/Q41</f>
        <v>1280</v>
      </c>
      <c r="S42" s="150">
        <f>+S41/Q41</f>
        <v>998.4</v>
      </c>
    </row>
    <row r="43" spans="1:19" ht="17.45" customHeight="1">
      <c r="A43" s="763" t="s">
        <v>85</v>
      </c>
      <c r="B43" s="764"/>
      <c r="C43" s="165">
        <f>SUMIF($G$7:$G$31,"Water",$F$7:$F$31)</f>
        <v>0</v>
      </c>
      <c r="D43" s="119">
        <f>+C43+'29'!D43</f>
        <v>0</v>
      </c>
      <c r="E43" s="144">
        <f t="shared" si="3"/>
        <v>0</v>
      </c>
      <c r="F43" s="361"/>
      <c r="G43" s="362"/>
      <c r="H43" s="189" t="s">
        <v>86</v>
      </c>
      <c r="I43" s="119">
        <f>+Report1!AH38</f>
        <v>66.7</v>
      </c>
      <c r="J43" s="134">
        <f>+I43+'29'!J43</f>
        <v>2015.3000000000002</v>
      </c>
      <c r="K43" s="131" t="s">
        <v>76</v>
      </c>
      <c r="L43" s="425">
        <f>+Report1!AN38</f>
        <v>9.8000000000000007</v>
      </c>
      <c r="M43" s="426">
        <f>+L43+'29'!M43</f>
        <v>297.3</v>
      </c>
    </row>
    <row r="44" spans="1:19" ht="17.45" customHeight="1">
      <c r="A44" s="763" t="s">
        <v>18</v>
      </c>
      <c r="B44" s="764"/>
      <c r="C44" s="165">
        <f>SUMIF($G$7:$G$31,"PLN",$F$7:$F$31)</f>
        <v>0</v>
      </c>
      <c r="D44" s="119">
        <f>+C44+'29'!D44</f>
        <v>0</v>
      </c>
      <c r="E44" s="144">
        <f t="shared" si="3"/>
        <v>0</v>
      </c>
      <c r="F44" s="361"/>
      <c r="G44" s="362"/>
      <c r="H44" s="189" t="s">
        <v>87</v>
      </c>
      <c r="I44" s="119">
        <f>I43/I38</f>
        <v>1.3094607063627619</v>
      </c>
      <c r="J44" s="135">
        <f>J43/J38</f>
        <v>1.3381726138422814</v>
      </c>
      <c r="K44" s="131" t="s">
        <v>76</v>
      </c>
      <c r="L44" s="427">
        <f>+L43/I38</f>
        <v>0.19239452657203998</v>
      </c>
      <c r="M44" s="428">
        <f>+M43/J38</f>
        <v>0.19740917882960862</v>
      </c>
    </row>
    <row r="45" spans="1:19" ht="17.45" customHeight="1">
      <c r="A45" s="763" t="s">
        <v>19</v>
      </c>
      <c r="B45" s="764"/>
      <c r="C45" s="165">
        <f>SUMIF($G$7:$G$31,"Boiler",$F$7:$F$31)</f>
        <v>0</v>
      </c>
      <c r="D45" s="119">
        <f>+C45+'29'!D45</f>
        <v>0</v>
      </c>
      <c r="E45" s="144">
        <f t="shared" si="3"/>
        <v>0</v>
      </c>
      <c r="F45" s="361"/>
      <c r="G45" s="364"/>
      <c r="H45" s="189" t="s">
        <v>88</v>
      </c>
      <c r="I45" s="119">
        <f>I43/I40</f>
        <v>1.3409461008021553</v>
      </c>
      <c r="J45" s="135">
        <f>J43/J40</f>
        <v>1.3725742595161767</v>
      </c>
      <c r="K45" s="131" t="s">
        <v>76</v>
      </c>
      <c r="L45" s="427">
        <f>+L43/I40</f>
        <v>0.1970205665346495</v>
      </c>
      <c r="M45" s="428">
        <f>+M43/J40</f>
        <v>0.20248415985419507</v>
      </c>
      <c r="N45" s="150" t="s">
        <v>415</v>
      </c>
      <c r="O45" s="150">
        <v>1273.6462093862815</v>
      </c>
      <c r="P45" s="150">
        <v>993.44404332129966</v>
      </c>
      <c r="Q45" s="150">
        <v>1385</v>
      </c>
    </row>
    <row r="46" spans="1:19" ht="17.45" customHeight="1">
      <c r="A46" s="763" t="s">
        <v>89</v>
      </c>
      <c r="B46" s="764"/>
      <c r="C46" s="165">
        <f>SUMIF($G$7:$G$31,"Gas",$F$7:$F$31)</f>
        <v>0</v>
      </c>
      <c r="D46" s="119">
        <f>+C46+'29'!D46</f>
        <v>0</v>
      </c>
      <c r="E46" s="144">
        <f t="shared" si="3"/>
        <v>0</v>
      </c>
      <c r="F46" s="361"/>
      <c r="G46" s="362"/>
      <c r="H46" s="189" t="s">
        <v>90</v>
      </c>
      <c r="I46" s="141">
        <f>+SUMIF(Listrik!P37,"&gt;0")</f>
        <v>44026.60000000002</v>
      </c>
      <c r="J46" s="136">
        <f>+I46+'29'!J46</f>
        <v>1208538.1399999999</v>
      </c>
      <c r="K46" s="131" t="s">
        <v>91</v>
      </c>
      <c r="L46" s="427">
        <f>+Listrik!AF37</f>
        <v>0</v>
      </c>
      <c r="M46" s="429">
        <f>+L46+'29'!M46</f>
        <v>0</v>
      </c>
      <c r="N46" s="150" t="s">
        <v>416</v>
      </c>
      <c r="O46" s="150">
        <v>1260</v>
      </c>
      <c r="P46" s="150">
        <v>982.8</v>
      </c>
      <c r="Q46" s="150">
        <v>55</v>
      </c>
    </row>
    <row r="47" spans="1:19" ht="17.45" customHeight="1">
      <c r="A47" s="763" t="s">
        <v>92</v>
      </c>
      <c r="B47" s="764"/>
      <c r="C47" s="165">
        <f>SUMIF($G$7:$G$31,"Gas",$F$7:$F$31)</f>
        <v>0</v>
      </c>
      <c r="D47" s="119">
        <f>+C47+'29'!D47</f>
        <v>0</v>
      </c>
      <c r="E47" s="144">
        <f t="shared" si="3"/>
        <v>0</v>
      </c>
      <c r="F47" s="361"/>
      <c r="G47" s="362"/>
      <c r="H47" s="189" t="s">
        <v>93</v>
      </c>
      <c r="I47" s="119">
        <f>I46/I38</f>
        <v>864.33437383434477</v>
      </c>
      <c r="J47" s="136">
        <f>J46/J38</f>
        <v>802.4773689931468</v>
      </c>
      <c r="K47" s="131" t="s">
        <v>25</v>
      </c>
      <c r="L47" s="427">
        <f>+L46/I38</f>
        <v>0</v>
      </c>
      <c r="M47" s="428">
        <f>+M46/J38</f>
        <v>0</v>
      </c>
      <c r="Q47" s="150">
        <f>+Q45+Q46</f>
        <v>1440</v>
      </c>
    </row>
    <row r="48" spans="1:19" ht="17.45" customHeight="1">
      <c r="A48" s="763" t="s">
        <v>15</v>
      </c>
      <c r="B48" s="764"/>
      <c r="C48" s="165">
        <f>SUMIF($G$7:$G$31,"Start Up",$F$7:$F$31)</f>
        <v>0</v>
      </c>
      <c r="D48" s="119">
        <f>+C48+'29'!D48</f>
        <v>0</v>
      </c>
      <c r="E48" s="144">
        <f t="shared" si="3"/>
        <v>0</v>
      </c>
      <c r="F48" s="361"/>
      <c r="G48" s="362"/>
      <c r="H48" s="189" t="s">
        <v>94</v>
      </c>
      <c r="I48" s="119">
        <f>I46/I40</f>
        <v>885.11690557085751</v>
      </c>
      <c r="J48" s="136">
        <f>J46/J40</f>
        <v>823.10739969610347</v>
      </c>
      <c r="K48" s="131" t="s">
        <v>25</v>
      </c>
      <c r="L48" s="427">
        <f>+L46/I38</f>
        <v>0</v>
      </c>
      <c r="M48" s="428">
        <f>+M46/J40</f>
        <v>0</v>
      </c>
    </row>
    <row r="49" spans="1:13" ht="17.45" customHeight="1">
      <c r="A49" s="763" t="s">
        <v>21</v>
      </c>
      <c r="B49" s="764"/>
      <c r="C49" s="165">
        <f>SUMIF($G$7:$G$31,"Others",$F$7:$F$31)</f>
        <v>0</v>
      </c>
      <c r="D49" s="119">
        <f>+C49+'29'!D49</f>
        <v>0</v>
      </c>
      <c r="E49" s="144">
        <f t="shared" si="3"/>
        <v>0</v>
      </c>
      <c r="F49" s="186"/>
      <c r="H49" s="189" t="s">
        <v>95</v>
      </c>
      <c r="I49" s="119">
        <f>+Report1!AB38</f>
        <v>4985.3484513274334</v>
      </c>
      <c r="J49" s="136">
        <f>+I49+'29'!J49</f>
        <v>146577.87261297746</v>
      </c>
      <c r="K49" s="131" t="s">
        <v>96</v>
      </c>
      <c r="L49" s="423"/>
      <c r="M49" s="424"/>
    </row>
    <row r="50" spans="1:13" ht="17.45" customHeight="1">
      <c r="A50" s="763" t="s">
        <v>20</v>
      </c>
      <c r="B50" s="764"/>
      <c r="C50" s="165">
        <f>SUMIF($G$7:$G$31,"Steam",$F$7:$F$31)</f>
        <v>0</v>
      </c>
      <c r="D50" s="119">
        <f>+C50+'29'!D50</f>
        <v>0</v>
      </c>
      <c r="E50" s="144">
        <f t="shared" si="3"/>
        <v>0</v>
      </c>
      <c r="F50" s="186"/>
      <c r="H50" s="189" t="s">
        <v>97</v>
      </c>
      <c r="I50" s="141">
        <f>I49/I38</f>
        <v>97.872832152019825</v>
      </c>
      <c r="J50" s="134">
        <f>J49/J38</f>
        <v>97.328683037735814</v>
      </c>
      <c r="K50" s="131" t="s">
        <v>96</v>
      </c>
      <c r="L50" s="423"/>
      <c r="M50" s="424"/>
    </row>
    <row r="51" spans="1:13" ht="17.45" customHeight="1" thickBot="1">
      <c r="A51" s="765" t="s">
        <v>98</v>
      </c>
      <c r="B51" s="766"/>
      <c r="C51" s="165">
        <f>SUMIF($G$7:$G$31,"Planned shut",$F$7:$F$31)</f>
        <v>0</v>
      </c>
      <c r="D51" s="119">
        <f>+C51+'29'!D51</f>
        <v>609</v>
      </c>
      <c r="E51" s="144">
        <f t="shared" si="3"/>
        <v>10.15</v>
      </c>
      <c r="F51" s="186"/>
      <c r="H51" s="191" t="s">
        <v>99</v>
      </c>
      <c r="I51" s="142">
        <f>I49/I40</f>
        <v>100.22614043399678</v>
      </c>
      <c r="J51" s="137">
        <f>J49/J40</f>
        <v>99.830801847473836</v>
      </c>
      <c r="K51" s="138" t="s">
        <v>96</v>
      </c>
      <c r="L51" s="423"/>
      <c r="M51" s="424"/>
    </row>
    <row r="52" spans="1:13" ht="13.5" thickBot="1">
      <c r="A52" s="767" t="s">
        <v>29</v>
      </c>
      <c r="B52" s="768"/>
      <c r="C52" s="145">
        <f>SUM(C38:C51)</f>
        <v>50</v>
      </c>
      <c r="D52" s="145">
        <f>SUM(D38:D51)</f>
        <v>2797</v>
      </c>
      <c r="E52" s="146">
        <f>SUM(E38:E51)</f>
        <v>46.616666666666667</v>
      </c>
      <c r="F52" s="186"/>
      <c r="H52" s="192"/>
      <c r="I52" s="193"/>
      <c r="J52" s="139"/>
      <c r="K52" s="140"/>
      <c r="L52" s="430"/>
      <c r="M52" s="431"/>
    </row>
    <row r="53" spans="1:13" ht="13.5" thickBot="1">
      <c r="A53" s="769"/>
      <c r="B53" s="770"/>
      <c r="C53" s="147">
        <f>C52/(24*60)</f>
        <v>3.4722222222222224E-2</v>
      </c>
      <c r="D53" s="147">
        <f>D52/(24*60*G4)</f>
        <v>6.474537037037037E-2</v>
      </c>
      <c r="E53" s="148">
        <f>E52/(G4*24)</f>
        <v>6.474537037037037E-2</v>
      </c>
      <c r="F53" s="186"/>
    </row>
    <row r="54" spans="1:13">
      <c r="E54" s="194"/>
      <c r="F54" s="186"/>
    </row>
    <row r="55" spans="1:13">
      <c r="E55" s="194"/>
    </row>
    <row r="56" spans="1:13">
      <c r="A56" s="195" t="s">
        <v>100</v>
      </c>
      <c r="B56" s="196"/>
      <c r="C56" s="197"/>
      <c r="D56" s="197"/>
      <c r="E56" s="197"/>
      <c r="F56" s="198"/>
      <c r="G56" s="197"/>
      <c r="H56" s="199"/>
      <c r="I56" s="200" t="s">
        <v>101</v>
      </c>
      <c r="J56" s="201">
        <f>+D34+'29'!J56</f>
        <v>3992</v>
      </c>
      <c r="K56" s="202">
        <f>J56/(J40+J56/1000)/1000</f>
        <v>2.7114868008599057E-3</v>
      </c>
    </row>
    <row r="57" spans="1:13">
      <c r="A57" s="177"/>
      <c r="I57" s="200" t="s">
        <v>102</v>
      </c>
      <c r="J57" s="201">
        <f>+E34+'29'!J57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Y61"/>
  <sheetViews>
    <sheetView zoomScale="80" zoomScaleNormal="80" workbookViewId="0">
      <selection activeCell="K32" sqref="K32"/>
    </sheetView>
  </sheetViews>
  <sheetFormatPr defaultColWidth="9.140625" defaultRowHeight="12.75"/>
  <cols>
    <col min="1" max="1" width="8" style="150" customWidth="1"/>
    <col min="2" max="2" width="10.42578125"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6.85546875" style="150" customWidth="1"/>
    <col min="11" max="11" width="12.5703125" style="150" bestFit="1" customWidth="1"/>
    <col min="12" max="12" width="8.28515625" style="150" customWidth="1"/>
    <col min="13" max="13" width="15.425781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29</v>
      </c>
      <c r="H4" s="155" t="str">
        <f>+'1'!H4</f>
        <v>.11.25</v>
      </c>
      <c r="J4" s="150">
        <f>506.1+793.8+685</f>
        <v>1984.9</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1280</v>
      </c>
      <c r="P6" s="150">
        <f>+O6-O6*0.22</f>
        <v>998.4</v>
      </c>
      <c r="Q6" s="150">
        <v>480</v>
      </c>
      <c r="R6" s="150">
        <f>+O6*Q6</f>
        <v>614400</v>
      </c>
      <c r="S6" s="150">
        <f>+P6*Q6</f>
        <v>479232</v>
      </c>
    </row>
    <row r="7" spans="1:19" ht="13.5" customHeight="1" thickBot="1">
      <c r="A7" s="775" t="s">
        <v>444</v>
      </c>
      <c r="B7" s="216" t="s">
        <v>448</v>
      </c>
      <c r="C7" s="217">
        <v>16953</v>
      </c>
      <c r="D7" s="218"/>
      <c r="E7" s="219"/>
      <c r="F7" s="229"/>
      <c r="G7" s="230" t="s">
        <v>13</v>
      </c>
      <c r="H7" s="231" t="s">
        <v>390</v>
      </c>
      <c r="I7" s="778" t="s">
        <v>720</v>
      </c>
      <c r="J7" s="215" t="str">
        <f>+'28'!J7</f>
        <v>T 13,5 RC HW</v>
      </c>
      <c r="K7" s="239">
        <f>+C34</f>
        <v>50955</v>
      </c>
      <c r="L7" s="243"/>
      <c r="M7" s="118">
        <f>+K7+'28'!M7+L7</f>
        <v>497142</v>
      </c>
      <c r="N7" s="150" t="s">
        <v>415</v>
      </c>
      <c r="O7" s="150">
        <v>1280</v>
      </c>
      <c r="P7" s="150">
        <f>+O7-O7*0.22</f>
        <v>998.4</v>
      </c>
      <c r="Q7" s="150">
        <v>480</v>
      </c>
      <c r="R7" s="150">
        <f>+O7*Q7</f>
        <v>614400</v>
      </c>
      <c r="S7" s="150">
        <f>+P7*Q7</f>
        <v>479232</v>
      </c>
    </row>
    <row r="8" spans="1:19" ht="13.5" thickBot="1">
      <c r="A8" s="776"/>
      <c r="B8" s="216"/>
      <c r="C8" s="217"/>
      <c r="D8" s="218"/>
      <c r="E8" s="220"/>
      <c r="F8" s="232">
        <v>3</v>
      </c>
      <c r="G8" s="579" t="s">
        <v>13</v>
      </c>
      <c r="H8" s="231" t="s">
        <v>429</v>
      </c>
      <c r="I8" s="779"/>
      <c r="J8" s="215" t="str">
        <f>+'28'!J8</f>
        <v>T 14 RC HW</v>
      </c>
      <c r="K8" s="240"/>
      <c r="L8" s="240"/>
      <c r="M8" s="118">
        <f>+K8+'28'!M8+L8</f>
        <v>97781</v>
      </c>
      <c r="N8" s="150" t="s">
        <v>415</v>
      </c>
      <c r="O8" s="150">
        <v>1280</v>
      </c>
      <c r="P8" s="150">
        <f>+O8-O8*0.22</f>
        <v>998.4</v>
      </c>
      <c r="Q8" s="150">
        <v>480</v>
      </c>
      <c r="R8" s="150">
        <f>+O8*Q8</f>
        <v>614400</v>
      </c>
      <c r="S8" s="150">
        <f>+P8*Q8</f>
        <v>479232</v>
      </c>
    </row>
    <row r="9" spans="1:19" ht="13.5" thickBot="1">
      <c r="A9" s="776"/>
      <c r="B9" s="216"/>
      <c r="C9" s="217"/>
      <c r="D9" s="218"/>
      <c r="E9" s="221"/>
      <c r="F9" s="229">
        <v>4</v>
      </c>
      <c r="G9" s="579" t="s">
        <v>13</v>
      </c>
      <c r="H9" s="234" t="s">
        <v>425</v>
      </c>
      <c r="I9" s="779"/>
      <c r="J9" s="215" t="str">
        <f>+'28'!J9</f>
        <v>T 15 RC HW</v>
      </c>
      <c r="K9" s="240"/>
      <c r="L9" s="240"/>
      <c r="M9" s="118">
        <f>+K9+'28'!M9+L9</f>
        <v>182718</v>
      </c>
      <c r="P9" s="150">
        <f t="shared" ref="P9" si="0">+O9-O9*0.17</f>
        <v>0</v>
      </c>
    </row>
    <row r="10" spans="1:19" ht="26.25" thickBot="1">
      <c r="A10" s="776"/>
      <c r="B10" s="216"/>
      <c r="C10" s="217"/>
      <c r="D10" s="218"/>
      <c r="E10" s="220"/>
      <c r="F10" s="229">
        <v>10</v>
      </c>
      <c r="G10" s="238" t="s">
        <v>14</v>
      </c>
      <c r="H10" s="234" t="s">
        <v>726</v>
      </c>
      <c r="I10" s="779"/>
      <c r="J10" s="215" t="str">
        <f>+'28'!J10</f>
        <v>TW 29 RC HW</v>
      </c>
      <c r="K10" s="240"/>
      <c r="L10" s="240"/>
      <c r="M10" s="118">
        <f>+K10+'28'!M10+L10</f>
        <v>21998</v>
      </c>
    </row>
    <row r="11" spans="1:19" ht="13.5" thickBot="1">
      <c r="A11" s="776"/>
      <c r="B11" s="216"/>
      <c r="C11" s="217"/>
      <c r="D11" s="218"/>
      <c r="E11" s="220"/>
      <c r="F11" s="229"/>
      <c r="G11" s="233"/>
      <c r="H11" s="234"/>
      <c r="I11" s="779"/>
      <c r="J11" s="215" t="str">
        <f>+'28'!J11</f>
        <v>TW 20 RC HW</v>
      </c>
      <c r="K11" s="240"/>
      <c r="L11" s="240"/>
      <c r="M11" s="118">
        <f>+K11+'28'!M11+L11</f>
        <v>104164</v>
      </c>
    </row>
    <row r="12" spans="1:19" ht="13.5" thickBot="1">
      <c r="A12" s="776"/>
      <c r="B12" s="216"/>
      <c r="C12" s="217"/>
      <c r="D12" s="218"/>
      <c r="E12" s="220"/>
      <c r="F12" s="229"/>
      <c r="G12" s="233"/>
      <c r="H12" s="234"/>
      <c r="I12" s="779"/>
      <c r="J12" s="215" t="str">
        <f>+'28'!J12</f>
        <v>TW 19 RC HW</v>
      </c>
      <c r="K12" s="240"/>
      <c r="L12" s="240"/>
      <c r="M12" s="118">
        <f>+K12+'28'!M12+L12</f>
        <v>18863</v>
      </c>
    </row>
    <row r="13" spans="1:19" ht="13.5" thickBot="1">
      <c r="A13" s="776"/>
      <c r="B13" s="216"/>
      <c r="C13" s="217"/>
      <c r="D13" s="217"/>
      <c r="E13" s="220"/>
      <c r="F13" s="229"/>
      <c r="G13" s="233"/>
      <c r="H13" s="234"/>
      <c r="I13" s="780"/>
      <c r="J13" s="215" t="str">
        <f>+'28'!J13</f>
        <v>TW 17 RC HW</v>
      </c>
      <c r="K13" s="240"/>
      <c r="L13" s="240"/>
      <c r="M13" s="118">
        <f>+K13+'28'!M13+L13</f>
        <v>67816</v>
      </c>
    </row>
    <row r="14" spans="1:19" ht="13.5" thickBot="1">
      <c r="A14" s="777"/>
      <c r="B14" s="166" t="s">
        <v>3</v>
      </c>
      <c r="C14" s="100">
        <f>SUM(C7:C13)</f>
        <v>16953</v>
      </c>
      <c r="D14" s="112">
        <f>SUM(D7:D13)</f>
        <v>0</v>
      </c>
      <c r="E14" s="113">
        <f>SUM(E5:E13)</f>
        <v>0</v>
      </c>
      <c r="F14" s="103">
        <f>SUM(F6:F13)</f>
        <v>17</v>
      </c>
      <c r="G14" s="160"/>
      <c r="H14" s="167"/>
      <c r="I14" s="168"/>
      <c r="J14" s="215" t="str">
        <f>+'28'!J14</f>
        <v>F 14 RC HW</v>
      </c>
      <c r="K14" s="240"/>
      <c r="L14" s="240"/>
      <c r="M14" s="118">
        <f>+K14+'28'!M14+L14</f>
        <v>10232</v>
      </c>
    </row>
    <row r="15" spans="1:19" ht="13.5" customHeight="1" thickBot="1">
      <c r="A15" s="775" t="s">
        <v>446</v>
      </c>
      <c r="B15" s="166"/>
      <c r="C15" s="114">
        <f>C14/($C$23+$D$23+$E$23)</f>
        <v>0.98932072829131656</v>
      </c>
      <c r="D15" s="115">
        <f>D14/($C$23+$D$23+$E$23)</f>
        <v>0</v>
      </c>
      <c r="E15" s="116">
        <f>E14/($C$23+$D$23+$E$23)</f>
        <v>0</v>
      </c>
      <c r="F15" s="229"/>
      <c r="G15" s="230" t="s">
        <v>13</v>
      </c>
      <c r="H15" s="231" t="s">
        <v>390</v>
      </c>
      <c r="I15" s="778" t="s">
        <v>720</v>
      </c>
      <c r="J15" s="215" t="str">
        <f>+'28'!J15</f>
        <v>T 16,5 RC HW</v>
      </c>
      <c r="K15" s="240"/>
      <c r="L15" s="240"/>
      <c r="M15" s="118">
        <f>+K15+'28'!M15+L15</f>
        <v>10954</v>
      </c>
    </row>
    <row r="16" spans="1:19" ht="13.5" thickBot="1">
      <c r="A16" s="781"/>
      <c r="B16" s="216" t="s">
        <v>448</v>
      </c>
      <c r="C16" s="223">
        <v>17136</v>
      </c>
      <c r="D16" s="224"/>
      <c r="E16" s="225"/>
      <c r="F16" s="232">
        <v>6</v>
      </c>
      <c r="G16" s="579" t="s">
        <v>13</v>
      </c>
      <c r="H16" s="231" t="s">
        <v>429</v>
      </c>
      <c r="I16" s="779"/>
      <c r="J16" s="215" t="str">
        <f>+'28'!J16</f>
        <v>T 15,5 RC HW</v>
      </c>
      <c r="K16" s="240"/>
      <c r="L16" s="240"/>
      <c r="M16" s="118">
        <f>+K16+'28'!M16+L16</f>
        <v>263708</v>
      </c>
      <c r="Q16" s="150">
        <f>SUM(Q6:Q14)</f>
        <v>1440</v>
      </c>
      <c r="R16" s="150">
        <f>SUM(R6:R14)</f>
        <v>1843200</v>
      </c>
      <c r="S16" s="150">
        <f>SUM(S6:S14)</f>
        <v>1437696</v>
      </c>
    </row>
    <row r="17" spans="1:25" ht="13.5" thickBot="1">
      <c r="A17" s="781"/>
      <c r="B17" s="216"/>
      <c r="C17" s="217"/>
      <c r="D17" s="218"/>
      <c r="E17" s="226"/>
      <c r="F17" s="229">
        <v>4</v>
      </c>
      <c r="G17" s="579" t="s">
        <v>13</v>
      </c>
      <c r="H17" s="234" t="s">
        <v>425</v>
      </c>
      <c r="I17" s="779"/>
      <c r="J17" s="215" t="str">
        <f>+'28'!J17</f>
        <v>T 16 RC HW</v>
      </c>
      <c r="K17" s="240"/>
      <c r="L17" s="240"/>
      <c r="M17" s="118">
        <f>+K17+'28'!M17+L17</f>
        <v>43235</v>
      </c>
      <c r="Q17" s="150">
        <f>480-Q16</f>
        <v>-960</v>
      </c>
      <c r="R17" s="150">
        <f>+R16/Q16</f>
        <v>1280</v>
      </c>
      <c r="S17" s="150">
        <f>+S16/Q16</f>
        <v>998.4</v>
      </c>
    </row>
    <row r="18" spans="1:25" ht="26.25" thickBot="1">
      <c r="A18" s="781"/>
      <c r="B18" s="216"/>
      <c r="C18" s="217"/>
      <c r="D18" s="218"/>
      <c r="E18" s="226"/>
      <c r="F18" s="229">
        <v>10</v>
      </c>
      <c r="G18" s="238" t="s">
        <v>14</v>
      </c>
      <c r="H18" s="234" t="s">
        <v>728</v>
      </c>
      <c r="I18" s="779"/>
      <c r="J18" s="215" t="str">
        <f>+'28'!J18</f>
        <v>T 19 RC HW</v>
      </c>
      <c r="K18" s="240"/>
      <c r="L18" s="240"/>
      <c r="M18" s="118">
        <f>+K18+'28'!M18+L18</f>
        <v>66753</v>
      </c>
    </row>
    <row r="19" spans="1:25" ht="13.5" thickBot="1">
      <c r="A19" s="781"/>
      <c r="B19" s="216"/>
      <c r="C19" s="217"/>
      <c r="D19" s="218"/>
      <c r="E19" s="226"/>
      <c r="F19" s="236"/>
      <c r="G19" s="233"/>
      <c r="H19" s="234"/>
      <c r="I19" s="779"/>
      <c r="J19" s="215" t="str">
        <f>+'28'!J19</f>
        <v>T 20 RC HW</v>
      </c>
      <c r="K19" s="240"/>
      <c r="L19" s="240"/>
      <c r="M19" s="118">
        <f>+K19+'28'!M19+L19</f>
        <v>33158</v>
      </c>
    </row>
    <row r="20" spans="1:25" ht="13.5" thickBot="1">
      <c r="A20" s="781"/>
      <c r="B20" s="216"/>
      <c r="C20" s="217"/>
      <c r="D20" s="218"/>
      <c r="E20" s="226"/>
      <c r="F20" s="229"/>
      <c r="G20" s="233"/>
      <c r="H20" s="234"/>
      <c r="I20" s="779"/>
      <c r="J20" s="215">
        <f>+'28'!J20</f>
        <v>0</v>
      </c>
      <c r="K20" s="240"/>
      <c r="L20" s="240"/>
      <c r="M20" s="118">
        <f>+K20+'28'!M20+L20</f>
        <v>0</v>
      </c>
      <c r="U20" s="150">
        <v>500</v>
      </c>
      <c r="V20" s="150">
        <f>+U20-U20*0.12</f>
        <v>440</v>
      </c>
      <c r="W20" s="150">
        <f>60+8</f>
        <v>68</v>
      </c>
      <c r="X20" s="150">
        <f>+U20*W20</f>
        <v>34000</v>
      </c>
      <c r="Y20" s="150">
        <f>+V20*W20</f>
        <v>29920</v>
      </c>
    </row>
    <row r="21" spans="1:25" ht="13.5" thickBot="1">
      <c r="A21" s="781"/>
      <c r="B21" s="216"/>
      <c r="C21" s="217"/>
      <c r="D21" s="218"/>
      <c r="E21" s="226"/>
      <c r="F21" s="232"/>
      <c r="G21" s="233"/>
      <c r="H21" s="234"/>
      <c r="I21" s="779"/>
      <c r="J21" s="215">
        <f>+'28'!J21</f>
        <v>0</v>
      </c>
      <c r="K21" s="240"/>
      <c r="L21" s="240"/>
      <c r="M21" s="118">
        <f>+K21+'28'!M21+L21</f>
        <v>0</v>
      </c>
      <c r="U21" s="150">
        <v>400</v>
      </c>
      <c r="V21" s="150">
        <f>+U21-U21*0.12</f>
        <v>352</v>
      </c>
      <c r="W21" s="150">
        <f>52+120</f>
        <v>172</v>
      </c>
      <c r="X21" s="150">
        <f>+U21*W21</f>
        <v>68800</v>
      </c>
      <c r="Y21" s="150">
        <f>+V21*W21</f>
        <v>60544</v>
      </c>
    </row>
    <row r="22" spans="1:25" ht="13.5" thickBot="1">
      <c r="A22" s="781"/>
      <c r="B22" s="216"/>
      <c r="C22" s="217"/>
      <c r="D22" s="218"/>
      <c r="E22" s="226"/>
      <c r="F22" s="237"/>
      <c r="G22" s="233"/>
      <c r="H22" s="234"/>
      <c r="I22" s="780"/>
      <c r="J22" s="215">
        <f>+'28'!J22</f>
        <v>0</v>
      </c>
      <c r="K22" s="240"/>
      <c r="L22" s="240"/>
      <c r="M22" s="118">
        <f>+K22+'28'!M22+L22</f>
        <v>0</v>
      </c>
      <c r="U22" s="150">
        <v>420</v>
      </c>
      <c r="V22" s="150">
        <f>+U22-U22*0.12</f>
        <v>369.6</v>
      </c>
      <c r="W22" s="150">
        <v>300</v>
      </c>
      <c r="X22" s="150">
        <f>+U22*W22</f>
        <v>126000</v>
      </c>
      <c r="Y22" s="150">
        <f>+V22*W22</f>
        <v>110880</v>
      </c>
    </row>
    <row r="23" spans="1:25" ht="13.5" thickBot="1">
      <c r="A23" s="782"/>
      <c r="B23" s="166" t="s">
        <v>3</v>
      </c>
      <c r="C23" s="101">
        <f>SUM(C16:C22)</f>
        <v>17136</v>
      </c>
      <c r="D23" s="112">
        <f>SUM(D16:D22)</f>
        <v>0</v>
      </c>
      <c r="E23" s="113">
        <f>SUM(E18:E22)</f>
        <v>0</v>
      </c>
      <c r="F23" s="103">
        <f>SUM(F15:F22)</f>
        <v>20</v>
      </c>
      <c r="G23" s="160"/>
      <c r="H23" s="167"/>
      <c r="I23" s="170"/>
      <c r="J23" s="215">
        <f>+'28'!J23</f>
        <v>0</v>
      </c>
      <c r="K23" s="240"/>
      <c r="L23" s="240"/>
      <c r="M23" s="118">
        <f>+K23+'28'!M23+L23</f>
        <v>0</v>
      </c>
      <c r="W23" s="150">
        <f>SUM(W20:W22)</f>
        <v>540</v>
      </c>
      <c r="X23" s="150">
        <f t="shared" ref="X23" si="1">SUM(X20:X22)</f>
        <v>228800</v>
      </c>
      <c r="Y23" s="150">
        <f t="shared" ref="Y23" si="2">SUM(Y20:Y22)</f>
        <v>201344</v>
      </c>
    </row>
    <row r="24" spans="1:25" ht="13.5" customHeight="1" thickBot="1">
      <c r="A24" s="775" t="s">
        <v>460</v>
      </c>
      <c r="B24" s="171"/>
      <c r="C24" s="114">
        <f>C23/($C$23+$D$23+$E$23)</f>
        <v>1</v>
      </c>
      <c r="D24" s="115">
        <f>D23/($C$23+$D$23+$E$23)</f>
        <v>0</v>
      </c>
      <c r="E24" s="116">
        <f>E23/($C$23+$D$23+$E$23)</f>
        <v>0</v>
      </c>
      <c r="F24" s="229"/>
      <c r="G24" s="230" t="s">
        <v>13</v>
      </c>
      <c r="H24" s="231" t="s">
        <v>390</v>
      </c>
      <c r="I24" s="778" t="s">
        <v>720</v>
      </c>
      <c r="J24" s="215">
        <f>+'28'!J24</f>
        <v>0</v>
      </c>
      <c r="K24" s="240"/>
      <c r="L24" s="240"/>
      <c r="M24" s="118">
        <f>+K24+'28'!M24+L24</f>
        <v>0</v>
      </c>
      <c r="X24" s="150">
        <f>+X23/W23</f>
        <v>423.7037037037037</v>
      </c>
      <c r="Y24" s="150">
        <f>+Y23/W23</f>
        <v>372.85925925925926</v>
      </c>
    </row>
    <row r="25" spans="1:25" ht="13.5" thickBot="1">
      <c r="A25" s="781"/>
      <c r="B25" s="216" t="s">
        <v>448</v>
      </c>
      <c r="C25" s="227">
        <v>16866</v>
      </c>
      <c r="D25" s="218"/>
      <c r="E25" s="226"/>
      <c r="F25" s="232">
        <v>3</v>
      </c>
      <c r="G25" s="579" t="s">
        <v>13</v>
      </c>
      <c r="H25" s="231" t="s">
        <v>429</v>
      </c>
      <c r="I25" s="779"/>
      <c r="J25" s="215">
        <f>+'28'!J25</f>
        <v>0</v>
      </c>
      <c r="K25" s="240"/>
      <c r="L25" s="240"/>
      <c r="M25" s="118">
        <f>+K25+'28'!M25+L25</f>
        <v>0</v>
      </c>
    </row>
    <row r="26" spans="1:25" ht="13.5" thickBot="1">
      <c r="A26" s="781"/>
      <c r="B26" s="216"/>
      <c r="C26" s="227"/>
      <c r="D26" s="218"/>
      <c r="E26" s="228"/>
      <c r="F26" s="229">
        <v>9</v>
      </c>
      <c r="G26" s="579" t="s">
        <v>13</v>
      </c>
      <c r="H26" s="234" t="s">
        <v>427</v>
      </c>
      <c r="I26" s="779"/>
      <c r="J26" s="215">
        <f>+'28'!J26</f>
        <v>0</v>
      </c>
      <c r="K26" s="240"/>
      <c r="L26" s="240"/>
      <c r="M26" s="118">
        <f>+K26+'28'!M26+L26</f>
        <v>0</v>
      </c>
    </row>
    <row r="27" spans="1:25" ht="26.25" thickBot="1">
      <c r="A27" s="781"/>
      <c r="B27" s="216"/>
      <c r="C27" s="217"/>
      <c r="D27" s="218"/>
      <c r="E27" s="226"/>
      <c r="F27" s="229">
        <v>8</v>
      </c>
      <c r="G27" s="238" t="s">
        <v>14</v>
      </c>
      <c r="H27" s="234" t="s">
        <v>717</v>
      </c>
      <c r="I27" s="779"/>
      <c r="J27" s="215">
        <f>+'28'!J27</f>
        <v>0</v>
      </c>
      <c r="K27" s="240"/>
      <c r="L27" s="240"/>
      <c r="M27" s="118">
        <f>+K27+'28'!M27+L27</f>
        <v>0</v>
      </c>
    </row>
    <row r="28" spans="1:25" ht="13.5" thickBot="1">
      <c r="A28" s="781"/>
      <c r="B28" s="216"/>
      <c r="C28" s="217"/>
      <c r="D28" s="218"/>
      <c r="E28" s="226"/>
      <c r="F28" s="232"/>
      <c r="G28" s="233"/>
      <c r="H28" s="234"/>
      <c r="I28" s="779"/>
      <c r="J28" s="215">
        <f>+'28'!J28</f>
        <v>0</v>
      </c>
      <c r="K28" s="240"/>
      <c r="L28" s="240"/>
      <c r="M28" s="118">
        <f>+K28+'28'!M28+L28</f>
        <v>0</v>
      </c>
    </row>
    <row r="29" spans="1:25" ht="13.5" thickBot="1">
      <c r="A29" s="781"/>
      <c r="B29" s="216"/>
      <c r="C29" s="217"/>
      <c r="D29" s="218"/>
      <c r="E29" s="226"/>
      <c r="F29" s="237"/>
      <c r="G29" s="233"/>
      <c r="H29" s="234"/>
      <c r="I29" s="779"/>
      <c r="J29" s="215">
        <f>+'28'!J29</f>
        <v>0</v>
      </c>
      <c r="K29" s="240"/>
      <c r="L29" s="240"/>
      <c r="M29" s="118">
        <f>+K29+'28'!M29+L29</f>
        <v>0</v>
      </c>
    </row>
    <row r="30" spans="1:25" ht="13.5" thickBot="1">
      <c r="A30" s="781"/>
      <c r="B30" s="216"/>
      <c r="C30" s="227"/>
      <c r="D30" s="218"/>
      <c r="E30" s="226"/>
      <c r="F30" s="237"/>
      <c r="G30" s="233"/>
      <c r="H30" s="234"/>
      <c r="I30" s="779"/>
      <c r="J30" s="215">
        <f>+'28'!J30</f>
        <v>0</v>
      </c>
      <c r="K30" s="240"/>
      <c r="L30" s="240"/>
      <c r="M30" s="118">
        <f>+K30+'28'!M30+L30</f>
        <v>0</v>
      </c>
      <c r="N30" s="156"/>
    </row>
    <row r="31" spans="1:25" ht="13.5" thickBot="1">
      <c r="A31" s="781"/>
      <c r="B31" s="216"/>
      <c r="C31" s="227"/>
      <c r="D31" s="218"/>
      <c r="E31" s="226"/>
      <c r="F31" s="237"/>
      <c r="G31" s="238"/>
      <c r="H31" s="235"/>
      <c r="I31" s="780"/>
      <c r="J31" s="215">
        <f>+'28'!J31</f>
        <v>0</v>
      </c>
      <c r="K31" s="240"/>
      <c r="L31" s="240"/>
      <c r="M31" s="118">
        <f>+K31+'28'!M31+L31</f>
        <v>0</v>
      </c>
    </row>
    <row r="32" spans="1:25" ht="13.5" thickBot="1">
      <c r="A32" s="782"/>
      <c r="B32" s="166" t="s">
        <v>3</v>
      </c>
      <c r="C32" s="100">
        <f>SUM(C25:C31)</f>
        <v>16866</v>
      </c>
      <c r="D32" s="101">
        <f>SUM(D25:D31)</f>
        <v>0</v>
      </c>
      <c r="E32" s="102">
        <f>SUM(E25:E31)</f>
        <v>0</v>
      </c>
      <c r="F32" s="103">
        <f>SUM(F24:F31)</f>
        <v>20</v>
      </c>
      <c r="G32" s="172"/>
      <c r="H32" s="173"/>
      <c r="I32" s="170"/>
      <c r="J32" s="215"/>
      <c r="K32" s="241"/>
      <c r="L32" s="244"/>
      <c r="M32" s="118">
        <f>+K32+'28'!M32+L32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50955</v>
      </c>
      <c r="D34" s="108">
        <f>D14+D23+D32</f>
        <v>0</v>
      </c>
      <c r="E34" s="108">
        <f>E14+E23+E32</f>
        <v>0</v>
      </c>
      <c r="F34" s="109">
        <f>F14+F23+F32</f>
        <v>57</v>
      </c>
      <c r="H34" s="179"/>
      <c r="I34" s="179"/>
      <c r="J34" s="124" t="s">
        <v>29</v>
      </c>
      <c r="K34" s="125">
        <f>SUM(K7:K32)</f>
        <v>50955</v>
      </c>
      <c r="L34" s="213">
        <f>SUM(L7:L32)</f>
        <v>0</v>
      </c>
      <c r="M34" s="121">
        <f>SUM(M7:M32)</f>
        <v>1418522</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(13.5*1440)/1440*G42*2.77*1440/1000000</f>
        <v>53.762641919999993</v>
      </c>
      <c r="J37" s="126">
        <f>+I37+'28'!J37</f>
        <v>1531.1072659374011</v>
      </c>
      <c r="K37" s="127" t="s">
        <v>76</v>
      </c>
      <c r="L37" s="421"/>
      <c r="M37" s="422"/>
    </row>
    <row r="38" spans="1:14" ht="17.45" customHeight="1">
      <c r="A38" s="767" t="s">
        <v>13</v>
      </c>
      <c r="B38" s="768"/>
      <c r="C38" s="165">
        <f>SUMIF($G$7:$G$31,"Process",$F$7:$F$31)</f>
        <v>29</v>
      </c>
      <c r="D38" s="119">
        <f>+C38+'28'!D38</f>
        <v>1580</v>
      </c>
      <c r="E38" s="144">
        <f t="shared" ref="E38:E51" si="3">D38/60</f>
        <v>26.333333333333332</v>
      </c>
      <c r="F38" s="361">
        <v>1280</v>
      </c>
      <c r="G38" s="361">
        <v>998.4</v>
      </c>
      <c r="H38" s="188" t="s">
        <v>77</v>
      </c>
      <c r="I38" s="543">
        <f>17.135+17.404+19.42</f>
        <v>53.959000000000003</v>
      </c>
      <c r="J38" s="128">
        <f>+I38+'28'!J38</f>
        <v>1455.0719999999999</v>
      </c>
      <c r="K38" s="129" t="s">
        <v>76</v>
      </c>
      <c r="L38" s="423"/>
      <c r="M38" s="424"/>
    </row>
    <row r="39" spans="1:14" ht="17.45" customHeight="1">
      <c r="A39" s="763" t="s">
        <v>14</v>
      </c>
      <c r="B39" s="764"/>
      <c r="C39" s="165">
        <f>SUMIF($G$7:$G$31,"Cleaning",$F$7:$F$31)</f>
        <v>28</v>
      </c>
      <c r="D39" s="119">
        <f>+C39+'28'!D39</f>
        <v>355</v>
      </c>
      <c r="E39" s="144">
        <f t="shared" si="3"/>
        <v>5.916666666666667</v>
      </c>
      <c r="F39" s="361">
        <v>1280</v>
      </c>
      <c r="G39" s="361">
        <v>998.4</v>
      </c>
      <c r="H39" s="188" t="s">
        <v>78</v>
      </c>
      <c r="I39" s="143"/>
      <c r="J39" s="130">
        <f>J37/G4</f>
        <v>52.796802273703484</v>
      </c>
      <c r="K39" s="131" t="s">
        <v>76</v>
      </c>
      <c r="L39" s="423"/>
      <c r="M39" s="424"/>
    </row>
    <row r="40" spans="1:14" ht="17.45" customHeight="1">
      <c r="A40" s="763" t="s">
        <v>79</v>
      </c>
      <c r="B40" s="764"/>
      <c r="C40" s="165">
        <f>SUMIF($G$7:$G$31,"Mechanical",$F$7:$F$31)</f>
        <v>0</v>
      </c>
      <c r="D40" s="119">
        <f>+C40+'28'!D40</f>
        <v>0</v>
      </c>
      <c r="E40" s="144">
        <f t="shared" si="3"/>
        <v>0</v>
      </c>
      <c r="F40" s="361">
        <v>1280</v>
      </c>
      <c r="G40" s="361">
        <v>998.4</v>
      </c>
      <c r="H40" s="188" t="s">
        <v>80</v>
      </c>
      <c r="I40" s="119">
        <f>(K34+L34)/1000</f>
        <v>50.954999999999998</v>
      </c>
      <c r="J40" s="132">
        <f>+I40+'28'!J40</f>
        <v>1418.5219999999999</v>
      </c>
      <c r="K40" s="131" t="s">
        <v>76</v>
      </c>
      <c r="L40" s="423"/>
      <c r="M40" s="424"/>
    </row>
    <row r="41" spans="1:14" ht="17.45" customHeight="1">
      <c r="A41" s="763" t="s">
        <v>81</v>
      </c>
      <c r="B41" s="764"/>
      <c r="C41" s="165">
        <f>SUMIF($G$7:$G$31,"Electrical",$F$7:$F$31)</f>
        <v>0</v>
      </c>
      <c r="D41" s="119">
        <f>+C41+'28'!D41</f>
        <v>203</v>
      </c>
      <c r="E41" s="144">
        <f t="shared" si="3"/>
        <v>3.3833333333333333</v>
      </c>
      <c r="F41" s="361"/>
      <c r="G41" s="361"/>
      <c r="H41" s="188" t="s">
        <v>82</v>
      </c>
      <c r="I41" s="143"/>
      <c r="J41" s="130">
        <f>J40/G4</f>
        <v>48.91455172413793</v>
      </c>
      <c r="K41" s="131" t="s">
        <v>76</v>
      </c>
      <c r="L41" s="423"/>
      <c r="M41" s="424"/>
    </row>
    <row r="42" spans="1:14" ht="17.45" customHeight="1">
      <c r="A42" s="763" t="s">
        <v>17</v>
      </c>
      <c r="B42" s="764"/>
      <c r="C42" s="165">
        <f>SUMIF($G$7:$G$31,"Instrument",$F$7:$F$31)</f>
        <v>0</v>
      </c>
      <c r="D42" s="119">
        <f>+C42+'28'!D42</f>
        <v>0</v>
      </c>
      <c r="E42" s="144">
        <f t="shared" si="3"/>
        <v>0</v>
      </c>
      <c r="F42" s="361">
        <f>+(480*F38+480*F39+480*F40)/1440</f>
        <v>1280</v>
      </c>
      <c r="G42" s="361">
        <f>+(480*G38+480*G39+480*G40)/1440</f>
        <v>998.4</v>
      </c>
      <c r="H42" s="188" t="s">
        <v>83</v>
      </c>
      <c r="I42" s="247"/>
      <c r="J42" s="133"/>
      <c r="K42" s="131" t="s">
        <v>84</v>
      </c>
      <c r="L42" s="423"/>
      <c r="M42" s="424"/>
    </row>
    <row r="43" spans="1:14" ht="17.45" customHeight="1">
      <c r="A43" s="763" t="s">
        <v>85</v>
      </c>
      <c r="B43" s="764"/>
      <c r="C43" s="165">
        <f>SUMIF($G$7:$G$31,"Water",$F$7:$F$31)</f>
        <v>0</v>
      </c>
      <c r="D43" s="119">
        <f>+C43+'28'!D43</f>
        <v>0</v>
      </c>
      <c r="E43" s="144">
        <f t="shared" si="3"/>
        <v>0</v>
      </c>
      <c r="F43" s="361"/>
      <c r="G43" s="362"/>
      <c r="H43" s="189" t="s">
        <v>86</v>
      </c>
      <c r="I43" s="119">
        <f>+Report1!AH37</f>
        <v>66.900000000000006</v>
      </c>
      <c r="J43" s="134">
        <f>+I43+'28'!J43</f>
        <v>1948.6000000000001</v>
      </c>
      <c r="K43" s="131" t="s">
        <v>76</v>
      </c>
      <c r="L43" s="425">
        <f>+Report1!AN37</f>
        <v>10.199999999999999</v>
      </c>
      <c r="M43" s="426">
        <f>+L43+'28'!M43</f>
        <v>287.5</v>
      </c>
    </row>
    <row r="44" spans="1:14" ht="17.45" customHeight="1">
      <c r="A44" s="763" t="s">
        <v>18</v>
      </c>
      <c r="B44" s="764"/>
      <c r="C44" s="165">
        <f>SUMIF($G$7:$G$31,"PLN",$F$7:$F$31)</f>
        <v>0</v>
      </c>
      <c r="D44" s="119">
        <f>+C44+'28'!D44</f>
        <v>0</v>
      </c>
      <c r="E44" s="144">
        <f t="shared" si="3"/>
        <v>0</v>
      </c>
      <c r="F44" s="361"/>
      <c r="G44" s="362"/>
      <c r="H44" s="189" t="s">
        <v>87</v>
      </c>
      <c r="I44" s="119">
        <f>I43/I38</f>
        <v>1.239830241479642</v>
      </c>
      <c r="J44" s="135">
        <f>J43/J38</f>
        <v>1.339177717666205</v>
      </c>
      <c r="K44" s="131" t="s">
        <v>76</v>
      </c>
      <c r="L44" s="427">
        <f>+L43/I38</f>
        <v>0.18903241349913821</v>
      </c>
      <c r="M44" s="428">
        <f>+M43/J38</f>
        <v>0.19758472432979263</v>
      </c>
    </row>
    <row r="45" spans="1:14" ht="17.45" customHeight="1">
      <c r="A45" s="763" t="s">
        <v>19</v>
      </c>
      <c r="B45" s="764"/>
      <c r="C45" s="165">
        <f>SUMIF($G$7:$G$31,"Boiler",$F$7:$F$31)</f>
        <v>0</v>
      </c>
      <c r="D45" s="119">
        <f>+C45+'28'!D45</f>
        <v>0</v>
      </c>
      <c r="E45" s="144">
        <f t="shared" si="3"/>
        <v>0</v>
      </c>
      <c r="F45" s="361"/>
      <c r="G45" s="364"/>
      <c r="H45" s="189" t="s">
        <v>88</v>
      </c>
      <c r="I45" s="119">
        <f>I43/I40</f>
        <v>1.312923167500736</v>
      </c>
      <c r="J45" s="135">
        <f>J43/J40</f>
        <v>1.3736833126310344</v>
      </c>
      <c r="K45" s="131" t="s">
        <v>76</v>
      </c>
      <c r="L45" s="427">
        <f>+L43/I40</f>
        <v>0.20017662643508977</v>
      </c>
      <c r="M45" s="428">
        <f>+M43/J40</f>
        <v>0.20267574278016134</v>
      </c>
    </row>
    <row r="46" spans="1:14" ht="17.45" customHeight="1">
      <c r="A46" s="763" t="s">
        <v>89</v>
      </c>
      <c r="B46" s="764"/>
      <c r="C46" s="165">
        <f>SUMIF($G$7:$G$31,"Gas",$F$7:$F$31)</f>
        <v>0</v>
      </c>
      <c r="D46" s="119">
        <f>+C46+'28'!D46</f>
        <v>0</v>
      </c>
      <c r="E46" s="144">
        <f t="shared" si="3"/>
        <v>0</v>
      </c>
      <c r="F46" s="361"/>
      <c r="G46" s="362"/>
      <c r="H46" s="189" t="s">
        <v>90</v>
      </c>
      <c r="I46" s="141">
        <f>+SUMIF(Listrik!P36,"&gt;0")</f>
        <v>45881.220000000074</v>
      </c>
      <c r="J46" s="136">
        <f>+I46+'28'!J46</f>
        <v>1164511.5399999998</v>
      </c>
      <c r="K46" s="131" t="s">
        <v>91</v>
      </c>
      <c r="L46" s="427">
        <f>+Listrik!AF36</f>
        <v>0</v>
      </c>
      <c r="M46" s="429">
        <f>+L46+'28'!M46</f>
        <v>0</v>
      </c>
    </row>
    <row r="47" spans="1:14" ht="17.45" customHeight="1">
      <c r="A47" s="763" t="s">
        <v>92</v>
      </c>
      <c r="B47" s="764"/>
      <c r="C47" s="165">
        <f>SUMIF($G$7:$G$31,"Gas",$F$7:$F$31)</f>
        <v>0</v>
      </c>
      <c r="D47" s="119">
        <f>+C47+'28'!D47</f>
        <v>0</v>
      </c>
      <c r="E47" s="144">
        <f t="shared" si="3"/>
        <v>0</v>
      </c>
      <c r="F47" s="361"/>
      <c r="G47" s="362"/>
      <c r="H47" s="189" t="s">
        <v>93</v>
      </c>
      <c r="I47" s="119">
        <f>I46/I38</f>
        <v>850.29781871421028</v>
      </c>
      <c r="J47" s="136">
        <f>J46/J38</f>
        <v>800.31197081656433</v>
      </c>
      <c r="K47" s="131" t="s">
        <v>25</v>
      </c>
      <c r="L47" s="427">
        <f>+L46/I38</f>
        <v>0</v>
      </c>
      <c r="M47" s="428">
        <f>+M46/J38</f>
        <v>0</v>
      </c>
    </row>
    <row r="48" spans="1:14" ht="17.45" customHeight="1">
      <c r="A48" s="763" t="s">
        <v>15</v>
      </c>
      <c r="B48" s="764"/>
      <c r="C48" s="165">
        <f>SUMIF($G$7:$G$31,"Start Up",$F$7:$F$31)</f>
        <v>0</v>
      </c>
      <c r="D48" s="119">
        <f>+C48+'28'!D48</f>
        <v>0</v>
      </c>
      <c r="E48" s="144">
        <f t="shared" si="3"/>
        <v>0</v>
      </c>
      <c r="F48" s="361"/>
      <c r="G48" s="362"/>
      <c r="H48" s="189" t="s">
        <v>94</v>
      </c>
      <c r="I48" s="119">
        <f>I46/I40</f>
        <v>900.42625846335147</v>
      </c>
      <c r="J48" s="136">
        <f>J46/J40</f>
        <v>820.93301337589401</v>
      </c>
      <c r="K48" s="131" t="s">
        <v>25</v>
      </c>
      <c r="L48" s="427">
        <f>+L46/I38</f>
        <v>0</v>
      </c>
      <c r="M48" s="428">
        <f>+M46/J40</f>
        <v>0</v>
      </c>
    </row>
    <row r="49" spans="1:13" ht="17.45" customHeight="1">
      <c r="A49" s="783" t="s">
        <v>21</v>
      </c>
      <c r="B49" s="764"/>
      <c r="C49" s="165">
        <f>SUMIF($G$7:$G$31,"Others",$F$7:$F$31)</f>
        <v>0</v>
      </c>
      <c r="D49" s="119">
        <f>+C49+'28'!D49</f>
        <v>0</v>
      </c>
      <c r="E49" s="144">
        <f t="shared" si="3"/>
        <v>0</v>
      </c>
      <c r="F49" s="186"/>
      <c r="H49" s="189" t="s">
        <v>95</v>
      </c>
      <c r="I49" s="119">
        <f>+Report1!AB37</f>
        <v>4830.1226655049813</v>
      </c>
      <c r="J49" s="136">
        <f>+I49+'28'!J49</f>
        <v>141592.52416165001</v>
      </c>
      <c r="K49" s="131" t="s">
        <v>96</v>
      </c>
      <c r="L49" s="423"/>
      <c r="M49" s="424"/>
    </row>
    <row r="50" spans="1:13" ht="17.45" customHeight="1">
      <c r="A50" s="763" t="s">
        <v>20</v>
      </c>
      <c r="B50" s="764"/>
      <c r="C50" s="165">
        <f>SUMIF($G$7:$G$31,"Steam",$F$7:$F$31)</f>
        <v>0</v>
      </c>
      <c r="D50" s="119">
        <f>+C50+'28'!D50</f>
        <v>0</v>
      </c>
      <c r="E50" s="144">
        <f t="shared" si="3"/>
        <v>0</v>
      </c>
      <c r="F50" s="186"/>
      <c r="H50" s="189" t="s">
        <v>97</v>
      </c>
      <c r="I50" s="141">
        <f>I49/I38</f>
        <v>89.514680878166402</v>
      </c>
      <c r="J50" s="134">
        <f>J49/J38</f>
        <v>97.309634273527379</v>
      </c>
      <c r="K50" s="131" t="s">
        <v>96</v>
      </c>
      <c r="L50" s="423"/>
      <c r="M50" s="424"/>
    </row>
    <row r="51" spans="1:13" ht="17.45" customHeight="1" thickBot="1">
      <c r="A51" s="765" t="s">
        <v>98</v>
      </c>
      <c r="B51" s="766"/>
      <c r="C51" s="165">
        <f>SUMIF($G$7:$G$31,"Planned shut",$F$7:$F$31)</f>
        <v>0</v>
      </c>
      <c r="D51" s="119">
        <f>+C51+'28'!D51</f>
        <v>609</v>
      </c>
      <c r="E51" s="144">
        <f t="shared" si="3"/>
        <v>10.15</v>
      </c>
      <c r="F51" s="186"/>
      <c r="H51" s="191" t="s">
        <v>99</v>
      </c>
      <c r="I51" s="142">
        <f>I49/I40</f>
        <v>94.791927494946165</v>
      </c>
      <c r="J51" s="137">
        <f>J49/J40</f>
        <v>99.816939153322977</v>
      </c>
      <c r="K51" s="138" t="s">
        <v>96</v>
      </c>
      <c r="L51" s="423"/>
      <c r="M51" s="424"/>
    </row>
    <row r="52" spans="1:13" ht="13.5" thickBot="1">
      <c r="A52" s="767" t="s">
        <v>29</v>
      </c>
      <c r="B52" s="768"/>
      <c r="C52" s="145">
        <f>SUM(C38:C51)</f>
        <v>57</v>
      </c>
      <c r="D52" s="145">
        <f>SUM(D38:D51)</f>
        <v>2747</v>
      </c>
      <c r="E52" s="146">
        <f>SUM(E38:E51)</f>
        <v>45.783333333333331</v>
      </c>
      <c r="F52" s="186"/>
      <c r="H52" s="192"/>
      <c r="I52" s="193"/>
      <c r="J52" s="139"/>
      <c r="K52" s="140"/>
      <c r="L52" s="430"/>
      <c r="M52" s="431"/>
    </row>
    <row r="53" spans="1:13" ht="13.5" thickBot="1">
      <c r="A53" s="769"/>
      <c r="B53" s="770"/>
      <c r="C53" s="147">
        <f>C52/(24*60)</f>
        <v>3.9583333333333331E-2</v>
      </c>
      <c r="D53" s="147">
        <f>D52/(24*60*G4)</f>
        <v>6.5780651340996171E-2</v>
      </c>
      <c r="E53" s="148">
        <f>E52/(G4*24)</f>
        <v>6.5780651340996171E-2</v>
      </c>
      <c r="F53" s="186"/>
    </row>
    <row r="54" spans="1:13">
      <c r="E54" s="194"/>
      <c r="F54" s="186"/>
    </row>
    <row r="55" spans="1:13">
      <c r="E55" s="194"/>
    </row>
    <row r="56" spans="1:13">
      <c r="A56" s="195" t="s">
        <v>100</v>
      </c>
      <c r="B56" s="196"/>
      <c r="C56" s="197"/>
      <c r="D56" s="197"/>
      <c r="E56" s="197"/>
      <c r="F56" s="198"/>
      <c r="G56" s="197"/>
      <c r="H56" s="199"/>
      <c r="I56" s="200" t="s">
        <v>101</v>
      </c>
      <c r="J56" s="201">
        <f>+D34+'28'!J56</f>
        <v>3992</v>
      </c>
      <c r="K56" s="202">
        <f>J56/(J40+J56/1000)/1000</f>
        <v>2.8062992701653553E-3</v>
      </c>
    </row>
    <row r="57" spans="1:13">
      <c r="A57" s="177"/>
      <c r="I57" s="200" t="s">
        <v>102</v>
      </c>
      <c r="J57" s="201">
        <f>+E34+'28'!J57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S61"/>
  <sheetViews>
    <sheetView zoomScale="80" zoomScaleNormal="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28515625" style="150" customWidth="1"/>
    <col min="11" max="11" width="12.5703125" style="150" bestFit="1" customWidth="1"/>
    <col min="12" max="12" width="8.28515625" style="150" customWidth="1"/>
    <col min="13" max="13" width="15.8554687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28</v>
      </c>
      <c r="H4" s="155" t="str">
        <f>+'1'!H4</f>
        <v>.11.25</v>
      </c>
      <c r="J4" s="150">
        <f>465.6+413.8+390.7</f>
        <v>1270.1000000000001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1250</v>
      </c>
      <c r="P6" s="150">
        <f>+O6-O6*0.22</f>
        <v>975</v>
      </c>
      <c r="Q6" s="150">
        <v>480</v>
      </c>
      <c r="R6" s="150">
        <f>+O6*Q6</f>
        <v>600000</v>
      </c>
      <c r="S6" s="150">
        <f>+P6*Q6</f>
        <v>468000</v>
      </c>
    </row>
    <row r="7" spans="1:19" ht="13.5" customHeight="1" thickBot="1">
      <c r="A7" s="775" t="s">
        <v>444</v>
      </c>
      <c r="B7" s="216" t="s">
        <v>448</v>
      </c>
      <c r="C7" s="217">
        <v>20844</v>
      </c>
      <c r="D7" s="218"/>
      <c r="E7" s="219"/>
      <c r="F7" s="229"/>
      <c r="G7" s="230" t="s">
        <v>13</v>
      </c>
      <c r="H7" s="231" t="s">
        <v>390</v>
      </c>
      <c r="I7" s="778" t="s">
        <v>713</v>
      </c>
      <c r="J7" s="215" t="str">
        <f>+'27'!J7</f>
        <v>T 13,5 RC HW</v>
      </c>
      <c r="K7" s="239">
        <f>+C34</f>
        <v>55177</v>
      </c>
      <c r="L7" s="243"/>
      <c r="M7" s="118">
        <f>+K7+'27'!M7+L7</f>
        <v>446187</v>
      </c>
      <c r="N7" s="150" t="s">
        <v>415</v>
      </c>
      <c r="O7" s="150">
        <v>1280</v>
      </c>
      <c r="P7" s="150">
        <f>+O7-O7*0.22</f>
        <v>998.4</v>
      </c>
      <c r="Q7" s="150">
        <v>480</v>
      </c>
      <c r="R7" s="150">
        <f>+O7*Q7</f>
        <v>614400</v>
      </c>
      <c r="S7" s="150">
        <f>+P7*Q7</f>
        <v>479232</v>
      </c>
    </row>
    <row r="8" spans="1:19" ht="13.5" thickBot="1">
      <c r="A8" s="776"/>
      <c r="B8" s="216"/>
      <c r="C8" s="217"/>
      <c r="D8" s="218"/>
      <c r="E8" s="220"/>
      <c r="F8" s="232">
        <v>3</v>
      </c>
      <c r="G8" s="579" t="s">
        <v>13</v>
      </c>
      <c r="H8" s="231" t="s">
        <v>429</v>
      </c>
      <c r="I8" s="779"/>
      <c r="J8" s="215" t="str">
        <f>+'27'!J8</f>
        <v>T 14 RC HW</v>
      </c>
      <c r="K8" s="240"/>
      <c r="L8" s="240"/>
      <c r="M8" s="118">
        <f>+K8+'27'!M8+L8</f>
        <v>97781</v>
      </c>
      <c r="N8" s="150" t="s">
        <v>415</v>
      </c>
      <c r="O8" s="150">
        <v>1280</v>
      </c>
      <c r="P8" s="150">
        <f>+O8-O8*0.22</f>
        <v>998.4</v>
      </c>
      <c r="Q8" s="150">
        <v>480</v>
      </c>
      <c r="R8" s="150">
        <f>+O8*Q8</f>
        <v>614400</v>
      </c>
      <c r="S8" s="150">
        <f>+P8*Q8</f>
        <v>479232</v>
      </c>
    </row>
    <row r="9" spans="1:19" ht="13.5" thickBot="1">
      <c r="A9" s="776"/>
      <c r="B9" s="216"/>
      <c r="C9" s="217"/>
      <c r="D9" s="218"/>
      <c r="E9" s="221"/>
      <c r="F9" s="229">
        <v>7</v>
      </c>
      <c r="G9" s="579" t="s">
        <v>13</v>
      </c>
      <c r="H9" s="234" t="s">
        <v>425</v>
      </c>
      <c r="I9" s="779"/>
      <c r="J9" s="215" t="str">
        <f>+'27'!J9</f>
        <v>T 15 RC HW</v>
      </c>
      <c r="K9" s="240"/>
      <c r="L9" s="240"/>
      <c r="M9" s="118">
        <f>+K9+'27'!M9+L9</f>
        <v>182718</v>
      </c>
      <c r="P9" s="150">
        <f t="shared" ref="P9" si="0">+O9-O9*0.17</f>
        <v>0</v>
      </c>
    </row>
    <row r="10" spans="1:19" ht="26.25" thickBot="1">
      <c r="A10" s="776"/>
      <c r="B10" s="216"/>
      <c r="C10" s="217"/>
      <c r="D10" s="218"/>
      <c r="E10" s="220"/>
      <c r="F10" s="229"/>
      <c r="G10" s="238" t="s">
        <v>14</v>
      </c>
      <c r="H10" s="234" t="s">
        <v>719</v>
      </c>
      <c r="I10" s="779"/>
      <c r="J10" s="215" t="str">
        <f>+'27'!J10</f>
        <v>TW 29 RC HW</v>
      </c>
      <c r="K10" s="240"/>
      <c r="L10" s="240"/>
      <c r="M10" s="118">
        <f>+K10+'27'!M10+L10</f>
        <v>21998</v>
      </c>
    </row>
    <row r="11" spans="1:19" ht="13.5" thickBot="1">
      <c r="A11" s="776"/>
      <c r="B11" s="216"/>
      <c r="C11" s="217"/>
      <c r="D11" s="218"/>
      <c r="E11" s="220"/>
      <c r="F11" s="229"/>
      <c r="G11" s="233"/>
      <c r="H11" s="234"/>
      <c r="I11" s="779"/>
      <c r="J11" s="215" t="str">
        <f>+'27'!J11</f>
        <v>TW 20 RC HW</v>
      </c>
      <c r="K11" s="240"/>
      <c r="L11" s="240"/>
      <c r="M11" s="118">
        <f>+K11+'27'!M11+L11</f>
        <v>104164</v>
      </c>
    </row>
    <row r="12" spans="1:19" ht="13.5" thickBot="1">
      <c r="A12" s="776"/>
      <c r="B12" s="216"/>
      <c r="C12" s="217"/>
      <c r="D12" s="218"/>
      <c r="E12" s="220"/>
      <c r="F12" s="229"/>
      <c r="G12" s="233"/>
      <c r="H12" s="234"/>
      <c r="I12" s="779"/>
      <c r="J12" s="215" t="str">
        <f>+'27'!J12</f>
        <v>TW 19 RC HW</v>
      </c>
      <c r="K12" s="240"/>
      <c r="L12" s="240"/>
      <c r="M12" s="118">
        <f>+K12+'27'!M12+L12</f>
        <v>18863</v>
      </c>
    </row>
    <row r="13" spans="1:19" ht="13.5" thickBot="1">
      <c r="A13" s="776"/>
      <c r="B13" s="216"/>
      <c r="C13" s="217"/>
      <c r="D13" s="217"/>
      <c r="E13" s="220"/>
      <c r="F13" s="229"/>
      <c r="G13" s="233"/>
      <c r="H13" s="234"/>
      <c r="I13" s="780"/>
      <c r="J13" s="215" t="str">
        <f>+'27'!J13</f>
        <v>TW 17 RC HW</v>
      </c>
      <c r="K13" s="240"/>
      <c r="L13" s="240"/>
      <c r="M13" s="118">
        <f>+K13+'27'!M13+L13</f>
        <v>67816</v>
      </c>
    </row>
    <row r="14" spans="1:19" ht="13.5" thickBot="1">
      <c r="A14" s="777"/>
      <c r="B14" s="166" t="s">
        <v>3</v>
      </c>
      <c r="C14" s="100">
        <f>SUM(C7:C13)</f>
        <v>20844</v>
      </c>
      <c r="D14" s="112">
        <f>SUM(D7:D13)</f>
        <v>0</v>
      </c>
      <c r="E14" s="113">
        <f>SUM(E5:E13)</f>
        <v>0</v>
      </c>
      <c r="F14" s="103">
        <f>SUM(F6:F13)</f>
        <v>10</v>
      </c>
      <c r="G14" s="160"/>
      <c r="H14" s="167"/>
      <c r="I14" s="168"/>
      <c r="J14" s="215" t="str">
        <f>+'27'!J14</f>
        <v>F 14 RC HW</v>
      </c>
      <c r="K14" s="240"/>
      <c r="L14" s="240"/>
      <c r="M14" s="118">
        <f>+K14+'27'!M14+L14</f>
        <v>10232</v>
      </c>
    </row>
    <row r="15" spans="1:19" ht="13.5" customHeight="1" thickBot="1">
      <c r="A15" s="775" t="s">
        <v>445</v>
      </c>
      <c r="B15" s="166"/>
      <c r="C15" s="114">
        <f>C14/($C$23+$D$23+$E$23)</f>
        <v>1.2002072896873381</v>
      </c>
      <c r="D15" s="115">
        <f>D14/($C$23+$D$23+$E$23)</f>
        <v>0</v>
      </c>
      <c r="E15" s="116">
        <f>E14/($C$23+$D$23+$E$23)</f>
        <v>0</v>
      </c>
      <c r="F15" s="229"/>
      <c r="G15" s="230" t="s">
        <v>13</v>
      </c>
      <c r="H15" s="231" t="s">
        <v>390</v>
      </c>
      <c r="I15" s="778" t="s">
        <v>720</v>
      </c>
      <c r="J15" s="215" t="str">
        <f>+'27'!J15</f>
        <v>T 16,5 RC HW</v>
      </c>
      <c r="K15" s="240"/>
      <c r="L15" s="240"/>
      <c r="M15" s="118">
        <f>+K15+'27'!M15+L15</f>
        <v>10954</v>
      </c>
    </row>
    <row r="16" spans="1:19" ht="13.5" thickBot="1">
      <c r="A16" s="781"/>
      <c r="B16" s="216" t="s">
        <v>448</v>
      </c>
      <c r="C16" s="223">
        <v>17367</v>
      </c>
      <c r="D16" s="224"/>
      <c r="E16" s="225"/>
      <c r="F16" s="232">
        <v>3</v>
      </c>
      <c r="G16" s="579" t="s">
        <v>13</v>
      </c>
      <c r="H16" s="231" t="s">
        <v>429</v>
      </c>
      <c r="I16" s="779"/>
      <c r="J16" s="215" t="str">
        <f>+'27'!J16</f>
        <v>T 15,5 RC HW</v>
      </c>
      <c r="K16" s="240"/>
      <c r="L16" s="230"/>
      <c r="M16" s="118">
        <f>+K16+'27'!M16+L16</f>
        <v>263708</v>
      </c>
      <c r="Q16" s="150">
        <f>SUM(Q6:Q14)</f>
        <v>1440</v>
      </c>
      <c r="R16" s="150">
        <f>SUM(R6:R14)</f>
        <v>1828800</v>
      </c>
      <c r="S16" s="150">
        <f>SUM(S6:S14)</f>
        <v>1426464</v>
      </c>
    </row>
    <row r="17" spans="1:19" ht="13.5" thickBot="1">
      <c r="A17" s="781"/>
      <c r="B17" s="216"/>
      <c r="C17" s="217"/>
      <c r="D17" s="218"/>
      <c r="E17" s="226"/>
      <c r="F17" s="229">
        <v>9</v>
      </c>
      <c r="G17" s="579" t="s">
        <v>13</v>
      </c>
      <c r="H17" s="234" t="s">
        <v>425</v>
      </c>
      <c r="I17" s="779"/>
      <c r="J17" s="215" t="str">
        <f>+'27'!J17</f>
        <v>T 16 RC HW</v>
      </c>
      <c r="K17" s="240"/>
      <c r="L17" s="230"/>
      <c r="M17" s="118">
        <f>+K17+'27'!M17+L17</f>
        <v>43235</v>
      </c>
      <c r="Q17" s="150">
        <f>480-Q16</f>
        <v>-960</v>
      </c>
      <c r="R17" s="150">
        <f>+R16/Q16</f>
        <v>1270</v>
      </c>
      <c r="S17" s="150">
        <f>+S16/Q16</f>
        <v>990.6</v>
      </c>
    </row>
    <row r="18" spans="1:19" ht="26.25" thickBot="1">
      <c r="A18" s="781"/>
      <c r="B18" s="216"/>
      <c r="C18" s="217"/>
      <c r="D18" s="218"/>
      <c r="E18" s="226"/>
      <c r="F18" s="229"/>
      <c r="G18" s="238" t="s">
        <v>14</v>
      </c>
      <c r="H18" s="234" t="s">
        <v>718</v>
      </c>
      <c r="I18" s="779"/>
      <c r="J18" s="215" t="str">
        <f>+'27'!J18</f>
        <v>T 19 RC HW</v>
      </c>
      <c r="K18" s="240"/>
      <c r="L18" s="240"/>
      <c r="M18" s="118">
        <f>+K18+'27'!M18+L18</f>
        <v>66753</v>
      </c>
    </row>
    <row r="19" spans="1:19" ht="13.5" thickBot="1">
      <c r="A19" s="781"/>
      <c r="B19" s="216"/>
      <c r="C19" s="217"/>
      <c r="D19" s="218"/>
      <c r="E19" s="226"/>
      <c r="F19" s="236"/>
      <c r="G19" s="233"/>
      <c r="H19" s="234"/>
      <c r="I19" s="779"/>
      <c r="J19" s="215" t="str">
        <f>+'27'!J19</f>
        <v>T 20 RC HW</v>
      </c>
      <c r="K19" s="240"/>
      <c r="L19" s="240"/>
      <c r="M19" s="118">
        <f>+K19+'27'!M19+L19</f>
        <v>33158</v>
      </c>
    </row>
    <row r="20" spans="1:19" ht="13.5" thickBot="1">
      <c r="A20" s="781"/>
      <c r="B20" s="216"/>
      <c r="C20" s="217"/>
      <c r="D20" s="218"/>
      <c r="E20" s="226"/>
      <c r="F20" s="229"/>
      <c r="G20" s="233"/>
      <c r="H20" s="234"/>
      <c r="I20" s="779"/>
      <c r="J20" s="215">
        <f>+'27'!J20</f>
        <v>0</v>
      </c>
      <c r="K20" s="240"/>
      <c r="L20" s="241"/>
      <c r="M20" s="118">
        <f>+K20+'27'!M20+L20</f>
        <v>0</v>
      </c>
    </row>
    <row r="21" spans="1:19" ht="13.5" thickBot="1">
      <c r="A21" s="781"/>
      <c r="B21" s="216"/>
      <c r="C21" s="217"/>
      <c r="D21" s="218"/>
      <c r="E21" s="226"/>
      <c r="F21" s="232"/>
      <c r="G21" s="233"/>
      <c r="H21" s="234"/>
      <c r="I21" s="779"/>
      <c r="J21" s="215">
        <f>+'27'!J21</f>
        <v>0</v>
      </c>
      <c r="K21" s="240"/>
      <c r="L21" s="240"/>
      <c r="M21" s="118">
        <f>+K21+'27'!M21+L21</f>
        <v>0</v>
      </c>
    </row>
    <row r="22" spans="1:19" ht="13.5" thickBot="1">
      <c r="A22" s="781"/>
      <c r="B22" s="216"/>
      <c r="C22" s="217"/>
      <c r="D22" s="218"/>
      <c r="E22" s="226"/>
      <c r="F22" s="237"/>
      <c r="G22" s="233"/>
      <c r="H22" s="234"/>
      <c r="I22" s="780"/>
      <c r="J22" s="215">
        <f>+'27'!J22</f>
        <v>0</v>
      </c>
      <c r="K22" s="240"/>
      <c r="L22" s="240"/>
      <c r="M22" s="118">
        <f>+K22+'27'!M22+L22</f>
        <v>0</v>
      </c>
    </row>
    <row r="23" spans="1:19" ht="13.5" thickBot="1">
      <c r="A23" s="782"/>
      <c r="B23" s="166" t="s">
        <v>3</v>
      </c>
      <c r="C23" s="101">
        <f>SUM(C16:C22)</f>
        <v>17367</v>
      </c>
      <c r="D23" s="112">
        <f>SUM(D16:D22)</f>
        <v>0</v>
      </c>
      <c r="E23" s="113">
        <f>SUM(E18:E22)</f>
        <v>0</v>
      </c>
      <c r="F23" s="103">
        <f>SUM(F15:F22)</f>
        <v>12</v>
      </c>
      <c r="G23" s="160"/>
      <c r="H23" s="167"/>
      <c r="I23" s="170"/>
      <c r="J23" s="215">
        <f>+'27'!J23</f>
        <v>0</v>
      </c>
      <c r="K23" s="240"/>
      <c r="L23" s="240"/>
      <c r="M23" s="118">
        <f>+K23+'27'!M23+L23</f>
        <v>0</v>
      </c>
    </row>
    <row r="24" spans="1:19" ht="13.5" customHeight="1" thickBot="1">
      <c r="A24" s="775" t="s">
        <v>460</v>
      </c>
      <c r="B24" s="171"/>
      <c r="C24" s="114">
        <f>C23/($C$23+$D$23+$E$23)</f>
        <v>1</v>
      </c>
      <c r="D24" s="115">
        <f>D23/($C$23+$D$23+$E$23)</f>
        <v>0</v>
      </c>
      <c r="E24" s="116">
        <f>E23/($C$23+$D$23+$E$23)</f>
        <v>0</v>
      </c>
      <c r="F24" s="229"/>
      <c r="G24" s="230" t="s">
        <v>13</v>
      </c>
      <c r="H24" s="231" t="s">
        <v>390</v>
      </c>
      <c r="I24" s="778" t="s">
        <v>720</v>
      </c>
      <c r="J24" s="215">
        <f>+'27'!J24</f>
        <v>0</v>
      </c>
      <c r="K24" s="240"/>
      <c r="L24" s="240"/>
      <c r="M24" s="118">
        <f>+K24+'27'!M24+L24</f>
        <v>0</v>
      </c>
    </row>
    <row r="25" spans="1:19" ht="13.5" customHeight="1" thickBot="1">
      <c r="A25" s="781"/>
      <c r="B25" s="216" t="s">
        <v>448</v>
      </c>
      <c r="C25" s="227">
        <v>16966</v>
      </c>
      <c r="D25" s="218"/>
      <c r="E25" s="226"/>
      <c r="F25" s="232">
        <v>3</v>
      </c>
      <c r="G25" s="579" t="s">
        <v>13</v>
      </c>
      <c r="H25" s="231" t="s">
        <v>424</v>
      </c>
      <c r="I25" s="779"/>
      <c r="J25" s="215">
        <f>+'27'!J25</f>
        <v>0</v>
      </c>
      <c r="K25" s="240"/>
      <c r="L25" s="240"/>
      <c r="M25" s="118">
        <f>+K25+'27'!M25+L25</f>
        <v>0</v>
      </c>
    </row>
    <row r="26" spans="1:19" ht="13.5" customHeight="1" thickBot="1">
      <c r="A26" s="781"/>
      <c r="B26" s="216"/>
      <c r="C26" s="227"/>
      <c r="D26" s="218"/>
      <c r="E26" s="228"/>
      <c r="F26" s="229">
        <v>9</v>
      </c>
      <c r="G26" s="579" t="s">
        <v>13</v>
      </c>
      <c r="H26" s="234" t="s">
        <v>427</v>
      </c>
      <c r="I26" s="779"/>
      <c r="J26" s="215">
        <f>+'27'!J26</f>
        <v>0</v>
      </c>
      <c r="K26" s="240"/>
      <c r="L26" s="240"/>
      <c r="M26" s="118">
        <f>+K26+'27'!M26+L26</f>
        <v>0</v>
      </c>
    </row>
    <row r="27" spans="1:19" ht="33" customHeight="1" thickBot="1">
      <c r="A27" s="781"/>
      <c r="B27" s="216"/>
      <c r="C27" s="217"/>
      <c r="D27" s="218"/>
      <c r="E27" s="226"/>
      <c r="F27" s="229">
        <v>8</v>
      </c>
      <c r="G27" s="238" t="s">
        <v>14</v>
      </c>
      <c r="H27" s="234" t="s">
        <v>717</v>
      </c>
      <c r="I27" s="779"/>
      <c r="J27" s="215">
        <f>+'27'!J27</f>
        <v>0</v>
      </c>
      <c r="K27" s="240"/>
      <c r="L27" s="240"/>
      <c r="M27" s="118">
        <f>+K27+'27'!M27+L27</f>
        <v>0</v>
      </c>
    </row>
    <row r="28" spans="1:19" ht="13.5" thickBot="1">
      <c r="A28" s="781"/>
      <c r="B28" s="216"/>
      <c r="C28" s="217"/>
      <c r="D28" s="218"/>
      <c r="E28" s="226"/>
      <c r="F28" s="232"/>
      <c r="G28" s="233"/>
      <c r="H28" s="234"/>
      <c r="I28" s="779"/>
      <c r="J28" s="215">
        <f>+'27'!J28</f>
        <v>0</v>
      </c>
      <c r="K28" s="240"/>
      <c r="L28" s="240"/>
      <c r="M28" s="118">
        <f>+K28+'27'!M28+L28</f>
        <v>0</v>
      </c>
    </row>
    <row r="29" spans="1:19" ht="13.5" customHeight="1" thickBot="1">
      <c r="A29" s="781"/>
      <c r="B29" s="216"/>
      <c r="C29" s="217"/>
      <c r="D29" s="218"/>
      <c r="E29" s="226"/>
      <c r="F29" s="237"/>
      <c r="G29" s="233"/>
      <c r="H29" s="234"/>
      <c r="I29" s="779"/>
      <c r="J29" s="215">
        <f>+'27'!J29</f>
        <v>0</v>
      </c>
      <c r="K29" s="240"/>
      <c r="L29" s="240"/>
      <c r="M29" s="118">
        <f>+K29+'27'!M29+L29</f>
        <v>0</v>
      </c>
    </row>
    <row r="30" spans="1:19" ht="13.5" customHeight="1" thickBot="1">
      <c r="A30" s="781"/>
      <c r="B30" s="216"/>
      <c r="C30" s="227"/>
      <c r="D30" s="218"/>
      <c r="E30" s="226"/>
      <c r="F30" s="237"/>
      <c r="G30" s="233"/>
      <c r="H30" s="234"/>
      <c r="I30" s="779"/>
      <c r="J30" s="215">
        <f>+'27'!J30</f>
        <v>0</v>
      </c>
      <c r="K30" s="240"/>
      <c r="L30" s="240"/>
      <c r="M30" s="118">
        <f>+K30+'27'!M30+L30</f>
        <v>0</v>
      </c>
      <c r="N30" s="156"/>
    </row>
    <row r="31" spans="1:19" ht="13.5" customHeight="1" thickBot="1">
      <c r="A31" s="781"/>
      <c r="B31" s="216"/>
      <c r="C31" s="227"/>
      <c r="D31" s="218"/>
      <c r="E31" s="226"/>
      <c r="F31" s="237"/>
      <c r="G31" s="238"/>
      <c r="H31" s="235"/>
      <c r="I31" s="780"/>
      <c r="J31" s="215">
        <f>+'27'!J31</f>
        <v>0</v>
      </c>
      <c r="K31" s="240"/>
      <c r="L31" s="240"/>
      <c r="M31" s="118">
        <f>+K31+'27'!M31+L31</f>
        <v>0</v>
      </c>
    </row>
    <row r="32" spans="1:19" ht="13.5" customHeight="1" thickBot="1">
      <c r="A32" s="782"/>
      <c r="B32" s="166" t="s">
        <v>3</v>
      </c>
      <c r="C32" s="100">
        <f>SUM(C25:C31)</f>
        <v>16966</v>
      </c>
      <c r="D32" s="101">
        <f>SUM(D25:D31)</f>
        <v>0</v>
      </c>
      <c r="E32" s="102">
        <f>SUM(E25:E31)</f>
        <v>0</v>
      </c>
      <c r="F32" s="103">
        <f>SUM(F24:F31)</f>
        <v>20</v>
      </c>
      <c r="G32" s="172"/>
      <c r="H32" s="173"/>
      <c r="I32" s="170"/>
      <c r="J32" s="215">
        <f>+'27'!J32</f>
        <v>0</v>
      </c>
      <c r="K32" s="240"/>
      <c r="L32" s="244"/>
      <c r="M32" s="118">
        <f>+K32+'27'!M32+L32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55177</v>
      </c>
      <c r="D34" s="108">
        <f>D14+D23+D32</f>
        <v>0</v>
      </c>
      <c r="E34" s="108">
        <f>E14+E23+E32</f>
        <v>0</v>
      </c>
      <c r="F34" s="109">
        <f>F14+F23+F32</f>
        <v>42</v>
      </c>
      <c r="H34" s="179"/>
      <c r="I34" s="179"/>
      <c r="J34" s="124" t="s">
        <v>29</v>
      </c>
      <c r="K34" s="125">
        <f>SUM(K7:K32)</f>
        <v>55177</v>
      </c>
      <c r="L34" s="213">
        <f>SUM(L7:L32)</f>
        <v>0</v>
      </c>
      <c r="M34" s="121">
        <f>SUM(M7:M32)</f>
        <v>1367567</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(13.5*1440)/1440*G42*2.77*1440/1000000</f>
        <v>53.342621280000003</v>
      </c>
      <c r="J37" s="126">
        <f>+I37+'27'!J37</f>
        <v>1477.344624017401</v>
      </c>
      <c r="K37" s="127" t="s">
        <v>76</v>
      </c>
      <c r="L37" s="421"/>
      <c r="M37" s="422"/>
    </row>
    <row r="38" spans="1:14" ht="17.45" customHeight="1">
      <c r="A38" s="767" t="s">
        <v>13</v>
      </c>
      <c r="B38" s="768"/>
      <c r="C38" s="165">
        <f>SUMIF($G$7:$G$31,"Process",$F$7:$F$31)</f>
        <v>34</v>
      </c>
      <c r="D38" s="119">
        <f>+C38+'27'!D38</f>
        <v>1551</v>
      </c>
      <c r="E38" s="144">
        <f t="shared" ref="E38:E51" si="1">D38/60</f>
        <v>25.85</v>
      </c>
      <c r="F38" s="361">
        <v>1250</v>
      </c>
      <c r="G38" s="361">
        <v>975</v>
      </c>
      <c r="H38" s="188" t="s">
        <v>77</v>
      </c>
      <c r="I38" s="543">
        <f>17.348+17.385+19.309</f>
        <v>54.042000000000002</v>
      </c>
      <c r="J38" s="128">
        <f>+I38+'27'!J38</f>
        <v>1401.1129999999998</v>
      </c>
      <c r="K38" s="129" t="s">
        <v>76</v>
      </c>
      <c r="L38" s="423"/>
      <c r="M38" s="424"/>
    </row>
    <row r="39" spans="1:14" ht="17.45" customHeight="1">
      <c r="A39" s="763" t="s">
        <v>14</v>
      </c>
      <c r="B39" s="764"/>
      <c r="C39" s="165">
        <f>SUMIF($G$7:$G$31,"Cleaning",$F$7:$F$31)</f>
        <v>8</v>
      </c>
      <c r="D39" s="119">
        <f>+C39+'27'!D39</f>
        <v>327</v>
      </c>
      <c r="E39" s="144">
        <f t="shared" si="1"/>
        <v>5.45</v>
      </c>
      <c r="F39" s="361">
        <v>1280</v>
      </c>
      <c r="G39" s="361">
        <v>998.4</v>
      </c>
      <c r="H39" s="188" t="s">
        <v>78</v>
      </c>
      <c r="I39" s="143"/>
      <c r="J39" s="130">
        <f>J37/G4</f>
        <v>52.762308000621466</v>
      </c>
      <c r="K39" s="131" t="s">
        <v>76</v>
      </c>
      <c r="L39" s="423"/>
      <c r="M39" s="424"/>
    </row>
    <row r="40" spans="1:14" ht="17.45" customHeight="1">
      <c r="A40" s="763" t="s">
        <v>79</v>
      </c>
      <c r="B40" s="764"/>
      <c r="C40" s="165">
        <f>SUMIF($G$7:$G$31,"Mechanical",$F$7:$F$31)</f>
        <v>0</v>
      </c>
      <c r="D40" s="119">
        <f>+C40+'27'!D40</f>
        <v>0</v>
      </c>
      <c r="E40" s="144">
        <f t="shared" si="1"/>
        <v>0</v>
      </c>
      <c r="F40" s="361">
        <v>1280</v>
      </c>
      <c r="G40" s="361">
        <v>998.4</v>
      </c>
      <c r="H40" s="188" t="s">
        <v>80</v>
      </c>
      <c r="I40" s="119">
        <f>(K34+L34)/1000</f>
        <v>55.177</v>
      </c>
      <c r="J40" s="132">
        <f>+I40+'27'!J40</f>
        <v>1367.567</v>
      </c>
      <c r="K40" s="131" t="s">
        <v>76</v>
      </c>
      <c r="L40" s="423"/>
      <c r="M40" s="424"/>
    </row>
    <row r="41" spans="1:14" ht="17.45" customHeight="1">
      <c r="A41" s="763" t="s">
        <v>81</v>
      </c>
      <c r="B41" s="764"/>
      <c r="C41" s="165">
        <f>SUMIF($G$7:$G$31,"Electrical",$F$7:$F$31)</f>
        <v>0</v>
      </c>
      <c r="D41" s="119">
        <f>+C41+'27'!D41</f>
        <v>203</v>
      </c>
      <c r="E41" s="144">
        <f t="shared" si="1"/>
        <v>3.3833333333333333</v>
      </c>
      <c r="F41" s="361"/>
      <c r="G41" s="361"/>
      <c r="H41" s="188" t="s">
        <v>82</v>
      </c>
      <c r="I41" s="143"/>
      <c r="J41" s="130">
        <f>J40/G4</f>
        <v>48.841678571428574</v>
      </c>
      <c r="K41" s="131" t="s">
        <v>76</v>
      </c>
      <c r="L41" s="423"/>
      <c r="M41" s="424"/>
    </row>
    <row r="42" spans="1:14" ht="17.45" customHeight="1">
      <c r="A42" s="763" t="s">
        <v>17</v>
      </c>
      <c r="B42" s="764"/>
      <c r="C42" s="165">
        <f>SUMIF($G$7:$G$31,"Instrument",$F$7:$F$31)</f>
        <v>0</v>
      </c>
      <c r="D42" s="119">
        <f>+C42+'27'!D42</f>
        <v>0</v>
      </c>
      <c r="E42" s="144">
        <f t="shared" si="1"/>
        <v>0</v>
      </c>
      <c r="F42" s="361">
        <f>+(480*F38+480*F39+480*F40)/1440</f>
        <v>1270</v>
      </c>
      <c r="G42" s="361">
        <f>+(480*G38+480*G39+480*G40)/1440</f>
        <v>990.6</v>
      </c>
      <c r="H42" s="188" t="s">
        <v>83</v>
      </c>
      <c r="I42" s="247" t="s">
        <v>721</v>
      </c>
      <c r="J42" s="133"/>
      <c r="K42" s="131" t="s">
        <v>84</v>
      </c>
      <c r="L42" s="423"/>
      <c r="M42" s="424"/>
    </row>
    <row r="43" spans="1:14" ht="17.45" customHeight="1">
      <c r="A43" s="763" t="s">
        <v>85</v>
      </c>
      <c r="B43" s="764"/>
      <c r="C43" s="165">
        <f>SUMIF($G$7:$G$31,"Water",$F$7:$F$31)</f>
        <v>0</v>
      </c>
      <c r="D43" s="119">
        <f>+C43+'27'!D43</f>
        <v>0</v>
      </c>
      <c r="E43" s="144">
        <f t="shared" si="1"/>
        <v>0</v>
      </c>
      <c r="F43" s="361"/>
      <c r="G43" s="362"/>
      <c r="H43" s="189" t="s">
        <v>86</v>
      </c>
      <c r="I43" s="119">
        <f>+Report1!AH36</f>
        <v>67.3</v>
      </c>
      <c r="J43" s="134">
        <f>+I43+'27'!J43</f>
        <v>1881.7</v>
      </c>
      <c r="K43" s="131" t="s">
        <v>76</v>
      </c>
      <c r="L43" s="425">
        <f>+Report1!AN36</f>
        <v>10.1</v>
      </c>
      <c r="M43" s="426">
        <f>+L43+'27'!M43</f>
        <v>277.3</v>
      </c>
    </row>
    <row r="44" spans="1:14" ht="17.45" customHeight="1">
      <c r="A44" s="763" t="s">
        <v>18</v>
      </c>
      <c r="B44" s="764"/>
      <c r="C44" s="165">
        <f>SUMIF($G$7:$G$31,"PLN",$F$7:$F$31)</f>
        <v>0</v>
      </c>
      <c r="D44" s="119">
        <f>+C44+'27'!D44</f>
        <v>0</v>
      </c>
      <c r="E44" s="144">
        <f t="shared" si="1"/>
        <v>0</v>
      </c>
      <c r="F44" s="361"/>
      <c r="G44" s="362"/>
      <c r="H44" s="189" t="s">
        <v>87</v>
      </c>
      <c r="I44" s="119">
        <f>I43/I38</f>
        <v>1.2453277080789016</v>
      </c>
      <c r="J44" s="135">
        <f>J43/J38</f>
        <v>1.3430037405976536</v>
      </c>
      <c r="K44" s="131" t="s">
        <v>76</v>
      </c>
      <c r="L44" s="427">
        <f>+L43/I38</f>
        <v>0.18689167684393618</v>
      </c>
      <c r="M44" s="428">
        <f>+M43/J38</f>
        <v>0.19791408687236509</v>
      </c>
    </row>
    <row r="45" spans="1:14" ht="17.45" customHeight="1">
      <c r="A45" s="763" t="s">
        <v>19</v>
      </c>
      <c r="B45" s="764"/>
      <c r="C45" s="165">
        <f>SUMIF($G$7:$G$31,"Boiler",$F$7:$F$31)</f>
        <v>0</v>
      </c>
      <c r="D45" s="119">
        <f>+C45+'27'!D45</f>
        <v>0</v>
      </c>
      <c r="E45" s="144">
        <f t="shared" si="1"/>
        <v>0</v>
      </c>
      <c r="F45" s="361"/>
      <c r="G45" s="364"/>
      <c r="H45" s="189" t="s">
        <v>88</v>
      </c>
      <c r="I45" s="119">
        <f>I43/I40</f>
        <v>1.2197111115138555</v>
      </c>
      <c r="J45" s="135">
        <f>J43/J40</f>
        <v>1.375947211361491</v>
      </c>
      <c r="K45" s="131" t="s">
        <v>76</v>
      </c>
      <c r="L45" s="427">
        <f>+L43/I40</f>
        <v>0.18304728419450134</v>
      </c>
      <c r="M45" s="428">
        <f>+M43/J40</f>
        <v>0.20276885885664103</v>
      </c>
    </row>
    <row r="46" spans="1:14" ht="17.45" customHeight="1">
      <c r="A46" s="763" t="s">
        <v>89</v>
      </c>
      <c r="B46" s="764"/>
      <c r="C46" s="165">
        <f>SUMIF($G$7:$G$31,"Gas",$F$7:$F$31)</f>
        <v>0</v>
      </c>
      <c r="D46" s="119">
        <f>+C46+'27'!D46</f>
        <v>0</v>
      </c>
      <c r="E46" s="144">
        <f t="shared" si="1"/>
        <v>0</v>
      </c>
      <c r="F46" s="361"/>
      <c r="G46" s="362"/>
      <c r="H46" s="189" t="s">
        <v>90</v>
      </c>
      <c r="I46" s="141">
        <f>+SUMIF(Listrik!P35,"&gt;0")</f>
        <v>43570.799999999945</v>
      </c>
      <c r="J46" s="136">
        <f>+I46+'27'!J46</f>
        <v>1118630.3199999998</v>
      </c>
      <c r="K46" s="131" t="s">
        <v>91</v>
      </c>
      <c r="L46" s="427">
        <f>+Listrik!AF35</f>
        <v>0</v>
      </c>
      <c r="M46" s="429">
        <f>+L46+'27'!M46</f>
        <v>0</v>
      </c>
    </row>
    <row r="47" spans="1:14" ht="17.45" customHeight="1">
      <c r="A47" s="763" t="s">
        <v>92</v>
      </c>
      <c r="B47" s="764"/>
      <c r="C47" s="165">
        <f>SUMIF($G$7:$G$31,"Gas",$F$7:$F$31)</f>
        <v>0</v>
      </c>
      <c r="D47" s="119">
        <f>+C47+'27'!D47</f>
        <v>0</v>
      </c>
      <c r="E47" s="144">
        <f t="shared" si="1"/>
        <v>0</v>
      </c>
      <c r="F47" s="361"/>
      <c r="G47" s="362"/>
      <c r="H47" s="189" t="s">
        <v>93</v>
      </c>
      <c r="I47" s="119">
        <f>I46/I38</f>
        <v>806.23959142888759</v>
      </c>
      <c r="J47" s="136">
        <f>J46/J38</f>
        <v>798.38693952593405</v>
      </c>
      <c r="K47" s="131" t="s">
        <v>25</v>
      </c>
      <c r="L47" s="427">
        <f>+L46/I38</f>
        <v>0</v>
      </c>
      <c r="M47" s="428">
        <f>+M46/J38</f>
        <v>0</v>
      </c>
    </row>
    <row r="48" spans="1:14" ht="17.45" customHeight="1">
      <c r="A48" s="763" t="s">
        <v>15</v>
      </c>
      <c r="B48" s="764"/>
      <c r="C48" s="165">
        <f>SUMIF($G$7:$G$31,"Start Up",$F$7:$F$31)</f>
        <v>0</v>
      </c>
      <c r="D48" s="119">
        <f>+C48+'27'!D48</f>
        <v>0</v>
      </c>
      <c r="E48" s="144">
        <f t="shared" si="1"/>
        <v>0</v>
      </c>
      <c r="F48" s="361"/>
      <c r="G48" s="362"/>
      <c r="H48" s="189" t="s">
        <v>94</v>
      </c>
      <c r="I48" s="119">
        <f>I46/I40</f>
        <v>789.65510991898702</v>
      </c>
      <c r="J48" s="136">
        <f>J46/J40</f>
        <v>817.97112682596162</v>
      </c>
      <c r="K48" s="131" t="s">
        <v>25</v>
      </c>
      <c r="L48" s="427">
        <f>+L46/I38</f>
        <v>0</v>
      </c>
      <c r="M48" s="428">
        <f>+M46/J40</f>
        <v>0</v>
      </c>
    </row>
    <row r="49" spans="1:13" ht="17.45" customHeight="1">
      <c r="A49" s="763" t="s">
        <v>21</v>
      </c>
      <c r="B49" s="764"/>
      <c r="C49" s="165">
        <f>SUMIF($G$7:$G$31,"Others",$F$7:$F$31)</f>
        <v>0</v>
      </c>
      <c r="D49" s="119">
        <f>+C49+'27'!D49</f>
        <v>0</v>
      </c>
      <c r="E49" s="144">
        <f t="shared" si="1"/>
        <v>0</v>
      </c>
      <c r="F49" s="186"/>
      <c r="H49" s="189" t="s">
        <v>95</v>
      </c>
      <c r="I49" s="119">
        <f>+Report1!AB36</f>
        <v>4920.9034320951769</v>
      </c>
      <c r="J49" s="136">
        <f>+I49+'27'!J49</f>
        <v>136762.40149614503</v>
      </c>
      <c r="K49" s="131" t="s">
        <v>96</v>
      </c>
      <c r="L49" s="423"/>
      <c r="M49" s="424"/>
    </row>
    <row r="50" spans="1:13" ht="17.45" customHeight="1">
      <c r="A50" s="763" t="s">
        <v>20</v>
      </c>
      <c r="B50" s="764"/>
      <c r="C50" s="165">
        <f>SUMIF($G$7:$G$31,"Steam",$F$7:$F$31)</f>
        <v>0</v>
      </c>
      <c r="D50" s="119">
        <f>+C50+'27'!D50</f>
        <v>0</v>
      </c>
      <c r="E50" s="144">
        <f t="shared" si="1"/>
        <v>0</v>
      </c>
      <c r="F50" s="186"/>
      <c r="H50" s="189" t="s">
        <v>97</v>
      </c>
      <c r="I50" s="141">
        <f>I49/I38</f>
        <v>91.057019209044384</v>
      </c>
      <c r="J50" s="134">
        <f>J49/J38</f>
        <v>97.609829825392424</v>
      </c>
      <c r="K50" s="131" t="s">
        <v>96</v>
      </c>
      <c r="L50" s="423"/>
      <c r="M50" s="424"/>
    </row>
    <row r="51" spans="1:13" ht="17.45" customHeight="1" thickBot="1">
      <c r="A51" s="765" t="s">
        <v>98</v>
      </c>
      <c r="B51" s="766"/>
      <c r="C51" s="165">
        <f>SUMIF($G$7:$G$31,"Planned shut",$F$7:$F$31)</f>
        <v>0</v>
      </c>
      <c r="D51" s="119">
        <f>+C51+'27'!D51</f>
        <v>609</v>
      </c>
      <c r="E51" s="144">
        <f t="shared" si="1"/>
        <v>10.15</v>
      </c>
      <c r="F51" s="186"/>
      <c r="H51" s="191" t="s">
        <v>99</v>
      </c>
      <c r="I51" s="142">
        <f>I49/I40</f>
        <v>89.183961289942857</v>
      </c>
      <c r="J51" s="137">
        <f>J49/J40</f>
        <v>100.00416907993906</v>
      </c>
      <c r="K51" s="138" t="s">
        <v>96</v>
      </c>
      <c r="L51" s="423"/>
      <c r="M51" s="424"/>
    </row>
    <row r="52" spans="1:13" ht="13.5" thickBot="1">
      <c r="A52" s="767" t="s">
        <v>29</v>
      </c>
      <c r="B52" s="768"/>
      <c r="C52" s="145">
        <f>SUM(C38:C51)</f>
        <v>42</v>
      </c>
      <c r="D52" s="145">
        <f>SUM(D38:D51)</f>
        <v>2690</v>
      </c>
      <c r="E52" s="146">
        <f>SUM(E38:E51)</f>
        <v>44.833333333333336</v>
      </c>
      <c r="F52" s="186"/>
      <c r="H52" s="192"/>
      <c r="I52" s="193"/>
      <c r="J52" s="139"/>
      <c r="K52" s="140"/>
      <c r="L52" s="430"/>
      <c r="M52" s="431"/>
    </row>
    <row r="53" spans="1:13" ht="13.5" thickBot="1">
      <c r="A53" s="769"/>
      <c r="B53" s="770"/>
      <c r="C53" s="147">
        <f>C52/(24*60)</f>
        <v>2.9166666666666667E-2</v>
      </c>
      <c r="D53" s="147">
        <f>D52/(24*60*G4)</f>
        <v>6.671626984126984E-2</v>
      </c>
      <c r="E53" s="148">
        <f>E52/(G4*24)</f>
        <v>6.671626984126984E-2</v>
      </c>
      <c r="F53" s="186"/>
    </row>
    <row r="54" spans="1:13">
      <c r="E54" s="194"/>
      <c r="F54" s="186"/>
    </row>
    <row r="55" spans="1:13">
      <c r="E55" s="194"/>
    </row>
    <row r="56" spans="1:13">
      <c r="A56" s="195" t="s">
        <v>100</v>
      </c>
      <c r="B56" s="196"/>
      <c r="C56" s="197"/>
      <c r="D56" s="197"/>
      <c r="E56" s="197"/>
      <c r="F56" s="198"/>
      <c r="G56" s="197"/>
      <c r="H56" s="199"/>
      <c r="I56" s="200" t="s">
        <v>101</v>
      </c>
      <c r="J56" s="201">
        <f>+D34+'27'!J56</f>
        <v>3992</v>
      </c>
      <c r="K56" s="202">
        <f>J56/(J40+J56/1000)/1000</f>
        <v>2.9105565272802701E-3</v>
      </c>
    </row>
    <row r="57" spans="1:13">
      <c r="A57" s="177"/>
      <c r="I57" s="200" t="s">
        <v>102</v>
      </c>
      <c r="J57" s="201">
        <f>+E34+'27'!J57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S61"/>
  <sheetViews>
    <sheetView zoomScale="80" zoomScaleNormal="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2.28515625" style="150" customWidth="1"/>
    <col min="11" max="11" width="12.5703125" style="150" bestFit="1" customWidth="1"/>
    <col min="12" max="12" width="8.28515625" style="150" customWidth="1"/>
    <col min="13" max="13" width="15.85546875" style="150" customWidth="1"/>
    <col min="14" max="14" width="11.28515625" style="150" bestFit="1" customWidth="1"/>
    <col min="15" max="16384" width="9.140625" style="150"/>
  </cols>
  <sheetData>
    <row r="1" spans="1:19" ht="15.75">
      <c r="A1" s="149"/>
    </row>
    <row r="2" spans="1:19" ht="15.75">
      <c r="A2" s="149" t="s">
        <v>185</v>
      </c>
    </row>
    <row r="3" spans="1:19" ht="15">
      <c r="A3" s="151"/>
    </row>
    <row r="4" spans="1:19" ht="20.25">
      <c r="A4" s="152" t="s">
        <v>5</v>
      </c>
      <c r="B4" s="153"/>
      <c r="F4" s="154" t="s">
        <v>30</v>
      </c>
      <c r="G4" s="155">
        <v>27</v>
      </c>
      <c r="H4" s="155" t="str">
        <f>+'1'!H4</f>
        <v>.11.25</v>
      </c>
      <c r="J4" s="150">
        <f>486.9+458.1+421.4</f>
        <v>1366.4</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1190</v>
      </c>
      <c r="P6" s="150">
        <f>+O6-O6*0.17</f>
        <v>987.7</v>
      </c>
      <c r="Q6" s="150">
        <f>60*2+15</f>
        <v>135</v>
      </c>
      <c r="R6" s="150">
        <f>+O6*Q6</f>
        <v>160650</v>
      </c>
      <c r="S6" s="150">
        <f>+P6*Q6</f>
        <v>133339.5</v>
      </c>
    </row>
    <row r="7" spans="1:19" ht="13.5" customHeight="1" thickBot="1">
      <c r="A7" s="775" t="s">
        <v>444</v>
      </c>
      <c r="B7" s="216" t="s">
        <v>448</v>
      </c>
      <c r="C7" s="217">
        <v>11205</v>
      </c>
      <c r="D7" s="218"/>
      <c r="E7" s="219"/>
      <c r="F7" s="229"/>
      <c r="G7" s="230" t="s">
        <v>13</v>
      </c>
      <c r="H7" s="231" t="s">
        <v>390</v>
      </c>
      <c r="I7" s="778" t="s">
        <v>712</v>
      </c>
      <c r="J7" s="215" t="str">
        <f>+'26'!J7</f>
        <v>T 13,5 RC HW</v>
      </c>
      <c r="K7" s="239">
        <f>+C34</f>
        <v>40588</v>
      </c>
      <c r="L7" s="243"/>
      <c r="M7" s="118">
        <f>+K7+'26'!M7+L7</f>
        <v>391010</v>
      </c>
      <c r="O7" s="150">
        <v>1020</v>
      </c>
      <c r="P7" s="150">
        <f t="shared" ref="P7:P9" si="0">+O7-O7*0.17</f>
        <v>846.6</v>
      </c>
      <c r="Q7" s="150">
        <f>55-45</f>
        <v>10</v>
      </c>
      <c r="R7" s="150">
        <f>+O7*Q7</f>
        <v>10200</v>
      </c>
      <c r="S7" s="150">
        <f>+P7*Q7</f>
        <v>8466</v>
      </c>
    </row>
    <row r="8" spans="1:19" ht="13.5" thickBot="1">
      <c r="A8" s="776"/>
      <c r="B8" s="216"/>
      <c r="C8" s="217"/>
      <c r="D8" s="218"/>
      <c r="E8" s="220"/>
      <c r="F8" s="232">
        <v>2</v>
      </c>
      <c r="G8" s="579" t="s">
        <v>13</v>
      </c>
      <c r="H8" s="231" t="s">
        <v>424</v>
      </c>
      <c r="I8" s="779"/>
      <c r="J8" s="215" t="str">
        <f>+'26'!J8</f>
        <v>T 14 RC HW</v>
      </c>
      <c r="K8" s="240"/>
      <c r="L8" s="240"/>
      <c r="M8" s="118">
        <f>+K8+'26'!M8+L8</f>
        <v>97781</v>
      </c>
      <c r="O8" s="150">
        <v>1180</v>
      </c>
      <c r="P8" s="150">
        <f t="shared" si="0"/>
        <v>979.4</v>
      </c>
      <c r="Q8" s="150">
        <f>480-Q6-Q7-150</f>
        <v>185</v>
      </c>
      <c r="R8" s="150">
        <f>+O8*Q8</f>
        <v>218300</v>
      </c>
      <c r="S8" s="150">
        <f>+P8*Q8</f>
        <v>181189</v>
      </c>
    </row>
    <row r="9" spans="1:19" ht="13.5" thickBot="1">
      <c r="A9" s="776"/>
      <c r="B9" s="216"/>
      <c r="C9" s="217"/>
      <c r="D9" s="218"/>
      <c r="E9" s="221"/>
      <c r="F9" s="229">
        <v>4</v>
      </c>
      <c r="G9" s="579" t="s">
        <v>13</v>
      </c>
      <c r="H9" s="234" t="s">
        <v>493</v>
      </c>
      <c r="I9" s="779"/>
      <c r="J9" s="215" t="str">
        <f>+'26'!J9</f>
        <v>T 15 RC HW</v>
      </c>
      <c r="K9" s="240"/>
      <c r="L9" s="240"/>
      <c r="M9" s="118">
        <f>+K9+'26'!M9+L9</f>
        <v>182718</v>
      </c>
      <c r="P9" s="150">
        <f t="shared" si="0"/>
        <v>0</v>
      </c>
    </row>
    <row r="10" spans="1:19" ht="26.25" thickBot="1">
      <c r="A10" s="776"/>
      <c r="B10" s="216"/>
      <c r="C10" s="217"/>
      <c r="D10" s="218"/>
      <c r="E10" s="220"/>
      <c r="F10" s="229"/>
      <c r="G10" s="238" t="s">
        <v>14</v>
      </c>
      <c r="H10" s="234" t="s">
        <v>710</v>
      </c>
      <c r="I10" s="779"/>
      <c r="J10" s="215" t="str">
        <f>+'26'!J10</f>
        <v>TW 29 RC HW</v>
      </c>
      <c r="K10" s="240"/>
      <c r="L10" s="240"/>
      <c r="M10" s="118">
        <f>+K10+'26'!M10+L10</f>
        <v>21998</v>
      </c>
    </row>
    <row r="11" spans="1:19" ht="167.25" customHeight="1" thickBot="1">
      <c r="A11" s="776"/>
      <c r="B11" s="216"/>
      <c r="C11" s="217"/>
      <c r="D11" s="218"/>
      <c r="E11" s="220"/>
      <c r="F11" s="229">
        <v>150</v>
      </c>
      <c r="G11" s="579" t="s">
        <v>13</v>
      </c>
      <c r="H11" s="234" t="s">
        <v>711</v>
      </c>
      <c r="I11" s="779"/>
      <c r="J11" s="215" t="str">
        <f>+'26'!J11</f>
        <v>TW 20 RC HW</v>
      </c>
      <c r="K11" s="240"/>
      <c r="L11" s="240"/>
      <c r="M11" s="118">
        <f>+K11+'26'!M11+L11</f>
        <v>104164</v>
      </c>
    </row>
    <row r="12" spans="1:19" ht="13.5" thickBot="1">
      <c r="A12" s="776"/>
      <c r="B12" s="216"/>
      <c r="C12" s="217"/>
      <c r="D12" s="218"/>
      <c r="E12" s="220"/>
      <c r="F12" s="229"/>
      <c r="G12" s="233"/>
      <c r="H12" s="234"/>
      <c r="I12" s="779"/>
      <c r="J12" s="215" t="str">
        <f>+'26'!J12</f>
        <v>TW 19 RC HW</v>
      </c>
      <c r="K12" s="240"/>
      <c r="L12" s="240"/>
      <c r="M12" s="118">
        <f>+K12+'26'!M12+L12</f>
        <v>18863</v>
      </c>
    </row>
    <row r="13" spans="1:19" ht="13.5" thickBot="1">
      <c r="A13" s="776"/>
      <c r="B13" s="216"/>
      <c r="C13" s="217"/>
      <c r="D13" s="217"/>
      <c r="E13" s="220"/>
      <c r="F13" s="229"/>
      <c r="G13" s="233"/>
      <c r="H13" s="234"/>
      <c r="I13" s="780"/>
      <c r="J13" s="215" t="str">
        <f>+'26'!J13</f>
        <v>TW 17 RC HW</v>
      </c>
      <c r="K13" s="240"/>
      <c r="L13" s="240"/>
      <c r="M13" s="118">
        <f>+K13+'26'!M13+L13</f>
        <v>67816</v>
      </c>
    </row>
    <row r="14" spans="1:19" ht="13.5" thickBot="1">
      <c r="A14" s="777"/>
      <c r="B14" s="166" t="s">
        <v>3</v>
      </c>
      <c r="C14" s="100">
        <f>SUM(C7:C13)</f>
        <v>11205</v>
      </c>
      <c r="D14" s="112">
        <f>SUM(D7:D13)</f>
        <v>0</v>
      </c>
      <c r="E14" s="113">
        <f>SUM(E5:E13)</f>
        <v>0</v>
      </c>
      <c r="F14" s="103">
        <f>SUM(F6:F13)</f>
        <v>156</v>
      </c>
      <c r="G14" s="160"/>
      <c r="H14" s="167"/>
      <c r="I14" s="168"/>
      <c r="J14" s="215" t="str">
        <f>+'26'!J14</f>
        <v>F 14 RC HW</v>
      </c>
      <c r="K14" s="240"/>
      <c r="L14" s="240"/>
      <c r="M14" s="118">
        <f>+K14+'26'!M14+L14</f>
        <v>10232</v>
      </c>
    </row>
    <row r="15" spans="1:19" ht="13.5" customHeight="1" thickBot="1">
      <c r="A15" s="775" t="s">
        <v>445</v>
      </c>
      <c r="B15" s="166"/>
      <c r="C15" s="114">
        <f>C14/($C$23+$D$23+$E$23)</f>
        <v>0.66470902295782164</v>
      </c>
      <c r="D15" s="115">
        <f>D14/($C$23+$D$23+$E$23)</f>
        <v>0</v>
      </c>
      <c r="E15" s="116">
        <f>E14/($C$23+$D$23+$E$23)</f>
        <v>0</v>
      </c>
      <c r="F15" s="229"/>
      <c r="G15" s="230" t="s">
        <v>13</v>
      </c>
      <c r="H15" s="231" t="s">
        <v>390</v>
      </c>
      <c r="I15" s="778" t="s">
        <v>713</v>
      </c>
      <c r="J15" s="215" t="str">
        <f>+'26'!J15</f>
        <v>T 16,5 RC HW</v>
      </c>
      <c r="K15" s="240"/>
      <c r="L15" s="240"/>
      <c r="M15" s="118">
        <f>+K15+'26'!M15+L15</f>
        <v>10954</v>
      </c>
    </row>
    <row r="16" spans="1:19" ht="13.5" thickBot="1">
      <c r="A16" s="781"/>
      <c r="B16" s="216" t="s">
        <v>448</v>
      </c>
      <c r="C16" s="223">
        <v>16857</v>
      </c>
      <c r="D16" s="224"/>
      <c r="E16" s="225"/>
      <c r="F16" s="232">
        <v>5</v>
      </c>
      <c r="G16" s="579" t="s">
        <v>13</v>
      </c>
      <c r="H16" s="231" t="s">
        <v>429</v>
      </c>
      <c r="I16" s="779"/>
      <c r="J16" s="215" t="str">
        <f>+'26'!J16</f>
        <v>T 15,5 RC HW</v>
      </c>
      <c r="K16" s="240"/>
      <c r="L16" s="240"/>
      <c r="M16" s="118">
        <f>+K16+'26'!M16+L16</f>
        <v>263708</v>
      </c>
      <c r="Q16" s="150">
        <f>SUM(Q6:Q14)</f>
        <v>330</v>
      </c>
      <c r="R16" s="150">
        <f>SUM(R6:R14)</f>
        <v>389150</v>
      </c>
      <c r="S16" s="150">
        <f>SUM(S6:S14)</f>
        <v>322994.5</v>
      </c>
    </row>
    <row r="17" spans="1:19" ht="13.5" thickBot="1">
      <c r="A17" s="781"/>
      <c r="B17" s="216"/>
      <c r="C17" s="217"/>
      <c r="D17" s="218"/>
      <c r="E17" s="226"/>
      <c r="F17" s="229">
        <v>8</v>
      </c>
      <c r="G17" s="579" t="s">
        <v>13</v>
      </c>
      <c r="H17" s="234" t="s">
        <v>425</v>
      </c>
      <c r="I17" s="779"/>
      <c r="J17" s="215" t="str">
        <f>+'26'!J17</f>
        <v>T 16 RC HW</v>
      </c>
      <c r="K17" s="240"/>
      <c r="L17" s="240"/>
      <c r="M17" s="118">
        <f>+K17+'26'!M17+L17</f>
        <v>43235</v>
      </c>
      <c r="Q17" s="150">
        <f>480-Q16</f>
        <v>150</v>
      </c>
      <c r="R17" s="150">
        <f>+R16/Q16</f>
        <v>1179.2424242424242</v>
      </c>
      <c r="S17" s="150">
        <f>+S16/Q16</f>
        <v>978.7712121212121</v>
      </c>
    </row>
    <row r="18" spans="1:19" ht="26.25" thickBot="1">
      <c r="A18" s="781"/>
      <c r="B18" s="216"/>
      <c r="C18" s="217"/>
      <c r="D18" s="218"/>
      <c r="E18" s="226"/>
      <c r="F18" s="229"/>
      <c r="G18" s="238" t="s">
        <v>14</v>
      </c>
      <c r="H18" s="234" t="s">
        <v>709</v>
      </c>
      <c r="I18" s="779"/>
      <c r="J18" s="215" t="str">
        <f>+'26'!J18</f>
        <v>T 19 RC HW</v>
      </c>
      <c r="K18" s="240"/>
      <c r="L18" s="240"/>
      <c r="M18" s="118">
        <f>+K18+'26'!M18+L18</f>
        <v>66753</v>
      </c>
      <c r="N18" s="150" t="s">
        <v>415</v>
      </c>
      <c r="O18" s="150">
        <v>1250</v>
      </c>
      <c r="P18" s="150">
        <f>+O18-O18*0.22</f>
        <v>975</v>
      </c>
      <c r="Q18" s="150">
        <v>480</v>
      </c>
      <c r="R18" s="150">
        <f>+O18*Q18</f>
        <v>600000</v>
      </c>
      <c r="S18" s="150">
        <f>+P18*Q18</f>
        <v>468000</v>
      </c>
    </row>
    <row r="19" spans="1:19" ht="13.5" thickBot="1">
      <c r="A19" s="781"/>
      <c r="B19" s="216"/>
      <c r="C19" s="217"/>
      <c r="D19" s="218"/>
      <c r="E19" s="226"/>
      <c r="F19" s="236"/>
      <c r="G19" s="233"/>
      <c r="H19" s="234"/>
      <c r="I19" s="779"/>
      <c r="J19" s="215" t="str">
        <f>+'26'!J19</f>
        <v>T 20 RC HW</v>
      </c>
      <c r="K19" s="240"/>
      <c r="L19" s="240"/>
      <c r="M19" s="118">
        <f>+K19+'26'!M19+L19</f>
        <v>33158</v>
      </c>
      <c r="N19" s="150" t="s">
        <v>415</v>
      </c>
      <c r="O19" s="150">
        <v>1250</v>
      </c>
      <c r="P19" s="150">
        <f>+O19-O19*0.22</f>
        <v>975</v>
      </c>
      <c r="Q19" s="150">
        <v>480</v>
      </c>
      <c r="R19" s="150">
        <f>+O19*Q19</f>
        <v>600000</v>
      </c>
      <c r="S19" s="150">
        <f>+P19*Q19</f>
        <v>468000</v>
      </c>
    </row>
    <row r="20" spans="1:19" ht="13.5" thickBot="1">
      <c r="A20" s="781"/>
      <c r="B20" s="216"/>
      <c r="C20" s="217"/>
      <c r="D20" s="218"/>
      <c r="E20" s="226"/>
      <c r="F20" s="229"/>
      <c r="G20" s="233"/>
      <c r="H20" s="234"/>
      <c r="I20" s="779"/>
      <c r="J20" s="215">
        <f>+'26'!J20</f>
        <v>0</v>
      </c>
      <c r="K20" s="240"/>
      <c r="L20" s="240"/>
      <c r="M20" s="118">
        <f>+K20+'26'!M20+L20</f>
        <v>0</v>
      </c>
      <c r="P20" s="150">
        <f t="shared" ref="P20:P21" si="1">+O20-O20*0.17</f>
        <v>0</v>
      </c>
      <c r="R20" s="150">
        <f>+O20*Q20</f>
        <v>0</v>
      </c>
      <c r="S20" s="150">
        <f>+P20*Q20</f>
        <v>0</v>
      </c>
    </row>
    <row r="21" spans="1:19" ht="13.5" thickBot="1">
      <c r="A21" s="781"/>
      <c r="B21" s="216"/>
      <c r="C21" s="217"/>
      <c r="D21" s="218"/>
      <c r="E21" s="226"/>
      <c r="F21" s="232"/>
      <c r="G21" s="233"/>
      <c r="H21" s="234"/>
      <c r="I21" s="779"/>
      <c r="J21" s="215">
        <f>+'26'!J21</f>
        <v>0</v>
      </c>
      <c r="K21" s="240"/>
      <c r="L21" s="240"/>
      <c r="M21" s="118">
        <f>+K21+'26'!M21+L21</f>
        <v>0</v>
      </c>
      <c r="P21" s="150">
        <f t="shared" si="1"/>
        <v>0</v>
      </c>
    </row>
    <row r="22" spans="1:19" ht="13.5" thickBot="1">
      <c r="A22" s="781"/>
      <c r="B22" s="216"/>
      <c r="C22" s="217"/>
      <c r="D22" s="218"/>
      <c r="E22" s="226"/>
      <c r="F22" s="237"/>
      <c r="G22" s="233"/>
      <c r="H22" s="234"/>
      <c r="I22" s="780"/>
      <c r="J22" s="215">
        <f>+'26'!J22</f>
        <v>0</v>
      </c>
      <c r="K22" s="240"/>
      <c r="L22" s="240"/>
      <c r="M22" s="118">
        <f>+K22+'26'!M22+L22</f>
        <v>0</v>
      </c>
    </row>
    <row r="23" spans="1:19" ht="13.5" thickBot="1">
      <c r="A23" s="782"/>
      <c r="B23" s="166" t="s">
        <v>3</v>
      </c>
      <c r="C23" s="101">
        <f>SUM(C16:C22)</f>
        <v>16857</v>
      </c>
      <c r="D23" s="112">
        <f>SUM(D16:D22)</f>
        <v>0</v>
      </c>
      <c r="E23" s="113">
        <f>SUM(E18:E22)</f>
        <v>0</v>
      </c>
      <c r="F23" s="103">
        <f>SUM(F15:F22)</f>
        <v>13</v>
      </c>
      <c r="G23" s="160"/>
      <c r="H23" s="167"/>
      <c r="I23" s="170"/>
      <c r="J23" s="215">
        <f>+'26'!J23</f>
        <v>0</v>
      </c>
      <c r="K23" s="240"/>
      <c r="L23" s="240"/>
      <c r="M23" s="118">
        <f>+K23+'26'!M23+L23</f>
        <v>0</v>
      </c>
    </row>
    <row r="24" spans="1:19" ht="13.5" customHeight="1" thickBot="1">
      <c r="A24" s="775" t="s">
        <v>460</v>
      </c>
      <c r="B24" s="171"/>
      <c r="C24" s="114">
        <f>C23/($C$23+$D$23+$E$23)</f>
        <v>1</v>
      </c>
      <c r="D24" s="115">
        <f>D23/($C$23+$D$23+$E$23)</f>
        <v>0</v>
      </c>
      <c r="E24" s="116">
        <f>E23/($C$23+$D$23+$E$23)</f>
        <v>0</v>
      </c>
      <c r="F24" s="229"/>
      <c r="G24" s="230" t="s">
        <v>13</v>
      </c>
      <c r="H24" s="231" t="s">
        <v>390</v>
      </c>
      <c r="I24" s="778" t="s">
        <v>713</v>
      </c>
      <c r="J24" s="215">
        <f>+'26'!J24</f>
        <v>0</v>
      </c>
      <c r="K24" s="240"/>
      <c r="L24" s="240"/>
      <c r="M24" s="118">
        <f>+K24+'26'!M24+L24</f>
        <v>0</v>
      </c>
    </row>
    <row r="25" spans="1:19" ht="13.5" thickBot="1">
      <c r="A25" s="781"/>
      <c r="B25" s="216" t="s">
        <v>448</v>
      </c>
      <c r="C25" s="227">
        <v>12526</v>
      </c>
      <c r="D25" s="218"/>
      <c r="E25" s="226"/>
      <c r="F25" s="232">
        <v>3</v>
      </c>
      <c r="G25" s="579" t="s">
        <v>13</v>
      </c>
      <c r="H25" s="231" t="s">
        <v>429</v>
      </c>
      <c r="I25" s="779"/>
      <c r="J25" s="215">
        <f>+'26'!J25</f>
        <v>0</v>
      </c>
      <c r="K25" s="240"/>
      <c r="L25" s="240"/>
      <c r="M25" s="118">
        <f>+K25+'26'!M25+L25</f>
        <v>0</v>
      </c>
    </row>
    <row r="26" spans="1:19" ht="13.5" thickBot="1">
      <c r="A26" s="781"/>
      <c r="B26" s="216"/>
      <c r="C26" s="227"/>
      <c r="D26" s="218"/>
      <c r="E26" s="228"/>
      <c r="F26" s="229">
        <v>8</v>
      </c>
      <c r="G26" s="579" t="s">
        <v>13</v>
      </c>
      <c r="H26" s="234" t="s">
        <v>425</v>
      </c>
      <c r="I26" s="779"/>
      <c r="J26" s="215">
        <f>+'26'!J26</f>
        <v>0</v>
      </c>
      <c r="K26" s="240"/>
      <c r="L26" s="240"/>
      <c r="M26" s="118">
        <f>+K26+'26'!M26+L26</f>
        <v>0</v>
      </c>
    </row>
    <row r="27" spans="1:19" ht="26.25" thickBot="1">
      <c r="A27" s="781"/>
      <c r="B27" s="216"/>
      <c r="C27" s="217"/>
      <c r="D27" s="218"/>
      <c r="E27" s="226"/>
      <c r="F27" s="229">
        <v>8</v>
      </c>
      <c r="G27" s="238" t="s">
        <v>14</v>
      </c>
      <c r="H27" s="234" t="s">
        <v>708</v>
      </c>
      <c r="I27" s="779"/>
      <c r="J27" s="215">
        <f>+'26'!J27</f>
        <v>0</v>
      </c>
      <c r="K27" s="240"/>
      <c r="L27" s="240"/>
      <c r="M27" s="118">
        <f>+K27+'26'!M27+L27</f>
        <v>0</v>
      </c>
    </row>
    <row r="28" spans="1:19" ht="13.5" thickBot="1">
      <c r="A28" s="781"/>
      <c r="B28" s="216"/>
      <c r="C28" s="217"/>
      <c r="D28" s="218"/>
      <c r="E28" s="226"/>
      <c r="F28" s="232"/>
      <c r="G28" s="233"/>
      <c r="H28" s="234"/>
      <c r="I28" s="779"/>
      <c r="J28" s="215">
        <f>+'26'!J28</f>
        <v>0</v>
      </c>
      <c r="K28" s="240"/>
      <c r="L28" s="240"/>
      <c r="M28" s="118">
        <f>+K28+'26'!M28+L28</f>
        <v>0</v>
      </c>
      <c r="Q28" s="150">
        <f>SUM(Q18:Q26)</f>
        <v>960</v>
      </c>
      <c r="R28" s="150">
        <f>SUM(R18:R26)</f>
        <v>1200000</v>
      </c>
      <c r="S28" s="150">
        <f>SUM(S18:S26)</f>
        <v>936000</v>
      </c>
    </row>
    <row r="29" spans="1:19" ht="13.5" thickBot="1">
      <c r="A29" s="781"/>
      <c r="B29" s="216"/>
      <c r="C29" s="217"/>
      <c r="D29" s="218"/>
      <c r="E29" s="226"/>
      <c r="F29" s="237"/>
      <c r="G29" s="233"/>
      <c r="H29" s="234"/>
      <c r="I29" s="779"/>
      <c r="J29" s="215">
        <f>+'26'!J29</f>
        <v>0</v>
      </c>
      <c r="K29" s="240"/>
      <c r="L29" s="240"/>
      <c r="M29" s="118">
        <f>+K29+'26'!M29+L29</f>
        <v>0</v>
      </c>
      <c r="Q29" s="150">
        <f>480-Q28</f>
        <v>-480</v>
      </c>
      <c r="R29" s="150">
        <f>+R28/Q28</f>
        <v>1250</v>
      </c>
      <c r="S29" s="150">
        <f>+S28/Q28</f>
        <v>975</v>
      </c>
    </row>
    <row r="30" spans="1:19" ht="13.5" thickBot="1">
      <c r="A30" s="781"/>
      <c r="B30" s="216"/>
      <c r="C30" s="227"/>
      <c r="D30" s="218"/>
      <c r="E30" s="226"/>
      <c r="F30" s="237"/>
      <c r="G30" s="233"/>
      <c r="H30" s="234"/>
      <c r="I30" s="779"/>
      <c r="J30" s="215">
        <f>+'26'!J30</f>
        <v>0</v>
      </c>
      <c r="K30" s="240"/>
      <c r="L30" s="240"/>
      <c r="M30" s="118">
        <f>+K30+'26'!M30+L30</f>
        <v>0</v>
      </c>
      <c r="N30" s="156"/>
    </row>
    <row r="31" spans="1:19" ht="13.5" customHeight="1" thickBot="1">
      <c r="A31" s="781"/>
      <c r="B31" s="216"/>
      <c r="C31" s="227"/>
      <c r="D31" s="218"/>
      <c r="E31" s="226"/>
      <c r="F31" s="237"/>
      <c r="G31" s="238"/>
      <c r="H31" s="235"/>
      <c r="I31" s="780"/>
      <c r="J31" s="215">
        <f>+'26'!J31</f>
        <v>0</v>
      </c>
      <c r="K31" s="240"/>
      <c r="L31" s="240"/>
      <c r="M31" s="118">
        <f>+K31+'26'!M31+L31</f>
        <v>0</v>
      </c>
    </row>
    <row r="32" spans="1:19" ht="13.5" thickBot="1">
      <c r="A32" s="782"/>
      <c r="B32" s="166" t="s">
        <v>3</v>
      </c>
      <c r="C32" s="100">
        <f>SUM(C25:C31)</f>
        <v>12526</v>
      </c>
      <c r="D32" s="101">
        <f>SUM(D25:D31)</f>
        <v>0</v>
      </c>
      <c r="E32" s="102">
        <f>SUM(E25:E31)</f>
        <v>0</v>
      </c>
      <c r="F32" s="103">
        <f>SUM(F24:F31)</f>
        <v>19</v>
      </c>
      <c r="G32" s="172"/>
      <c r="H32" s="173"/>
      <c r="I32" s="170"/>
      <c r="J32" s="215">
        <f>+'26'!J32</f>
        <v>0</v>
      </c>
      <c r="K32" s="242"/>
      <c r="L32" s="244"/>
      <c r="M32" s="118">
        <f>+K32+'26'!M32+L32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40588</v>
      </c>
      <c r="D34" s="108">
        <f>D14+D23+D32</f>
        <v>0</v>
      </c>
      <c r="E34" s="108">
        <f>E14+E23+E32</f>
        <v>0</v>
      </c>
      <c r="F34" s="109">
        <f>F14+F23+F32</f>
        <v>188</v>
      </c>
      <c r="H34" s="179"/>
      <c r="I34" s="179"/>
      <c r="J34" s="124" t="s">
        <v>29</v>
      </c>
      <c r="K34" s="125">
        <f>SUM(K7:K32)</f>
        <v>40588</v>
      </c>
      <c r="L34" s="213">
        <f>SUM(L7:L32)</f>
        <v>0</v>
      </c>
      <c r="M34" s="121">
        <f>SUM(M7:M32)</f>
        <v>1312390</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c r="N36" s="150">
        <v>330</v>
      </c>
    </row>
    <row r="37" spans="1:14" ht="17.45" customHeight="1" thickBot="1">
      <c r="A37" s="773" t="s">
        <v>71</v>
      </c>
      <c r="B37" s="774"/>
      <c r="C37" s="163" t="s">
        <v>72</v>
      </c>
      <c r="D37" s="184" t="s">
        <v>73</v>
      </c>
      <c r="E37" s="185" t="s">
        <v>74</v>
      </c>
      <c r="F37" s="368"/>
      <c r="G37" s="363"/>
      <c r="H37" s="187" t="s">
        <v>75</v>
      </c>
      <c r="I37" s="245">
        <f>(13.5*1290)/1290*G42*2.77*1290/1000000</f>
        <v>47.080099327500001</v>
      </c>
      <c r="J37" s="126">
        <f>+I37+'26'!J37</f>
        <v>1424.002002737401</v>
      </c>
      <c r="K37" s="127" t="s">
        <v>76</v>
      </c>
      <c r="L37" s="421"/>
      <c r="M37" s="422"/>
      <c r="N37" s="150">
        <v>480</v>
      </c>
    </row>
    <row r="38" spans="1:14" ht="17.45" customHeight="1">
      <c r="A38" s="767" t="s">
        <v>13</v>
      </c>
      <c r="B38" s="768"/>
      <c r="C38" s="165">
        <f>SUMIF($G$7:$G$31,"Process",$F$7:$F$31)</f>
        <v>180</v>
      </c>
      <c r="D38" s="119">
        <f>+C38+'26'!D38</f>
        <v>1517</v>
      </c>
      <c r="E38" s="144">
        <f t="shared" ref="E38:E51" si="2">D38/60</f>
        <v>25.283333333333335</v>
      </c>
      <c r="F38" s="361">
        <v>1179.2424242424242</v>
      </c>
      <c r="G38" s="361">
        <v>978.7712121212121</v>
      </c>
      <c r="H38" s="188" t="s">
        <v>77</v>
      </c>
      <c r="I38" s="543">
        <f>9.899+16.719+17.163</f>
        <v>43.781000000000006</v>
      </c>
      <c r="J38" s="128">
        <f>+I38+'26'!J38</f>
        <v>1347.0709999999999</v>
      </c>
      <c r="K38" s="129" t="s">
        <v>76</v>
      </c>
      <c r="L38" s="423"/>
      <c r="M38" s="424"/>
      <c r="N38" s="544">
        <v>480</v>
      </c>
    </row>
    <row r="39" spans="1:14" ht="17.45" customHeight="1">
      <c r="A39" s="763" t="s">
        <v>14</v>
      </c>
      <c r="B39" s="764"/>
      <c r="C39" s="165">
        <f>SUMIF($G$7:$G$31,"Cleaning",$F$7:$F$31)</f>
        <v>8</v>
      </c>
      <c r="D39" s="119">
        <f>+C39+'26'!D39</f>
        <v>319</v>
      </c>
      <c r="E39" s="144">
        <f t="shared" si="2"/>
        <v>5.3166666666666664</v>
      </c>
      <c r="F39" s="361">
        <v>1250</v>
      </c>
      <c r="G39" s="361">
        <v>975</v>
      </c>
      <c r="H39" s="188" t="s">
        <v>78</v>
      </c>
      <c r="I39" s="143"/>
      <c r="J39" s="130">
        <f>J37/G4</f>
        <v>52.740814916200037</v>
      </c>
      <c r="K39" s="131" t="s">
        <v>76</v>
      </c>
      <c r="L39" s="423"/>
      <c r="M39" s="424"/>
      <c r="N39" s="583">
        <f>+N36+N37+N38</f>
        <v>1290</v>
      </c>
    </row>
    <row r="40" spans="1:14" ht="17.45" customHeight="1">
      <c r="A40" s="763" t="s">
        <v>79</v>
      </c>
      <c r="B40" s="764"/>
      <c r="C40" s="165">
        <f>SUMIF($G$7:$G$31,"Mechanical",$F$7:$F$31)</f>
        <v>0</v>
      </c>
      <c r="D40" s="119">
        <f>+C40+'26'!D40</f>
        <v>0</v>
      </c>
      <c r="E40" s="144">
        <f t="shared" si="2"/>
        <v>0</v>
      </c>
      <c r="F40" s="361">
        <v>1250</v>
      </c>
      <c r="G40" s="361">
        <v>975</v>
      </c>
      <c r="H40" s="188" t="s">
        <v>80</v>
      </c>
      <c r="I40" s="119">
        <f>(K34+L34)/1000</f>
        <v>40.588000000000001</v>
      </c>
      <c r="J40" s="132">
        <f>+I40+'26'!J40</f>
        <v>1312.39</v>
      </c>
      <c r="K40" s="131" t="s">
        <v>76</v>
      </c>
      <c r="L40" s="423"/>
      <c r="M40" s="424"/>
    </row>
    <row r="41" spans="1:14" ht="17.45" customHeight="1">
      <c r="A41" s="763" t="s">
        <v>81</v>
      </c>
      <c r="B41" s="764"/>
      <c r="C41" s="165">
        <f>SUMIF($G$7:$G$31,"Electrical",$F$7:$F$31)</f>
        <v>0</v>
      </c>
      <c r="D41" s="119">
        <f>+C41+'26'!D41</f>
        <v>203</v>
      </c>
      <c r="E41" s="144">
        <f t="shared" si="2"/>
        <v>3.3833333333333333</v>
      </c>
      <c r="F41" s="361"/>
      <c r="G41" s="361"/>
      <c r="H41" s="188" t="s">
        <v>82</v>
      </c>
      <c r="I41" s="143"/>
      <c r="J41" s="130">
        <f>J40/G4</f>
        <v>48.607037037037038</v>
      </c>
      <c r="K41" s="131" t="s">
        <v>76</v>
      </c>
      <c r="L41" s="423"/>
      <c r="M41" s="424"/>
    </row>
    <row r="42" spans="1:14" ht="17.45" customHeight="1">
      <c r="A42" s="763" t="s">
        <v>17</v>
      </c>
      <c r="B42" s="764"/>
      <c r="C42" s="165">
        <f>SUMIF($G$7:$G$31,"Instrument",$F$7:$F$31)</f>
        <v>0</v>
      </c>
      <c r="D42" s="119">
        <f>+C42+'26'!D42</f>
        <v>0</v>
      </c>
      <c r="E42" s="144">
        <f t="shared" si="2"/>
        <v>0</v>
      </c>
      <c r="F42" s="361">
        <f>+(330*F38+480*F39+480*F40)/1290</f>
        <v>1231.8992248062016</v>
      </c>
      <c r="G42" s="361">
        <f>+(330*G38+480*G39+480*G40)/1290</f>
        <v>975.96472868217052</v>
      </c>
      <c r="H42" s="188" t="s">
        <v>83</v>
      </c>
      <c r="I42" s="247" t="s">
        <v>714</v>
      </c>
      <c r="J42" s="133"/>
      <c r="K42" s="131" t="s">
        <v>84</v>
      </c>
      <c r="L42" s="423"/>
      <c r="M42" s="424"/>
    </row>
    <row r="43" spans="1:14" ht="17.45" customHeight="1">
      <c r="A43" s="763" t="s">
        <v>85</v>
      </c>
      <c r="B43" s="764"/>
      <c r="C43" s="165">
        <f>SUMIF($G$7:$G$31,"Water",$F$7:$F$31)</f>
        <v>0</v>
      </c>
      <c r="D43" s="119">
        <f>+C43+'26'!D43</f>
        <v>0</v>
      </c>
      <c r="E43" s="144">
        <f t="shared" si="2"/>
        <v>0</v>
      </c>
      <c r="F43" s="361"/>
      <c r="G43" s="362"/>
      <c r="H43" s="189" t="s">
        <v>86</v>
      </c>
      <c r="I43" s="119">
        <f>+Report1!AH35</f>
        <v>61.9</v>
      </c>
      <c r="J43" s="134">
        <f>+I43+'26'!J43</f>
        <v>1814.4</v>
      </c>
      <c r="K43" s="131" t="s">
        <v>76</v>
      </c>
      <c r="L43" s="425">
        <f>+Report1!AN35</f>
        <v>8.4</v>
      </c>
      <c r="M43" s="426">
        <f>+L43+'26'!M43</f>
        <v>267.2</v>
      </c>
    </row>
    <row r="44" spans="1:14" ht="17.45" customHeight="1">
      <c r="A44" s="763" t="s">
        <v>18</v>
      </c>
      <c r="B44" s="764"/>
      <c r="C44" s="165">
        <f>SUMIF($G$7:$G$31,"PLN",$F$7:$F$31)</f>
        <v>0</v>
      </c>
      <c r="D44" s="119">
        <f>+C44+'26'!D44</f>
        <v>0</v>
      </c>
      <c r="E44" s="144">
        <f t="shared" si="2"/>
        <v>0</v>
      </c>
      <c r="F44" s="361"/>
      <c r="G44" s="362"/>
      <c r="H44" s="189" t="s">
        <v>87</v>
      </c>
      <c r="I44" s="119">
        <f>I43/I38</f>
        <v>1.4138553253694524</v>
      </c>
      <c r="J44" s="135">
        <f>J43/J38</f>
        <v>1.346922322579879</v>
      </c>
      <c r="K44" s="131" t="s">
        <v>76</v>
      </c>
      <c r="L44" s="427">
        <f>+L43/I38</f>
        <v>0.1918640506155638</v>
      </c>
      <c r="M44" s="428">
        <f>+M43/J38</f>
        <v>0.19835628560038782</v>
      </c>
    </row>
    <row r="45" spans="1:14" ht="17.45" customHeight="1">
      <c r="A45" s="763" t="s">
        <v>19</v>
      </c>
      <c r="B45" s="764"/>
      <c r="C45" s="165">
        <f>SUMIF($G$7:$G$31,"Boiler",$F$7:$F$31)</f>
        <v>0</v>
      </c>
      <c r="D45" s="119">
        <f>+C45+'26'!D45</f>
        <v>0</v>
      </c>
      <c r="E45" s="144">
        <f t="shared" si="2"/>
        <v>0</v>
      </c>
      <c r="F45" s="361"/>
      <c r="G45" s="364"/>
      <c r="H45" s="189" t="s">
        <v>88</v>
      </c>
      <c r="I45" s="119">
        <f>I43/I40</f>
        <v>1.5250813048191583</v>
      </c>
      <c r="J45" s="135">
        <f>J43/J40</f>
        <v>1.3825158679965559</v>
      </c>
      <c r="K45" s="131" t="s">
        <v>76</v>
      </c>
      <c r="L45" s="427">
        <f>+L43/I40</f>
        <v>0.20695772149403766</v>
      </c>
      <c r="M45" s="428">
        <f>+M43/J40</f>
        <v>0.20359801583370796</v>
      </c>
    </row>
    <row r="46" spans="1:14" ht="17.45" customHeight="1">
      <c r="A46" s="763" t="s">
        <v>89</v>
      </c>
      <c r="B46" s="764"/>
      <c r="C46" s="165">
        <f>SUMIF($G$7:$G$31,"Gas",$F$7:$F$31)</f>
        <v>0</v>
      </c>
      <c r="D46" s="119">
        <f>+C46+'26'!D46</f>
        <v>0</v>
      </c>
      <c r="E46" s="144">
        <f t="shared" si="2"/>
        <v>0</v>
      </c>
      <c r="F46" s="361"/>
      <c r="G46" s="362"/>
      <c r="H46" s="189" t="s">
        <v>90</v>
      </c>
      <c r="I46" s="141">
        <f>+SUMIF(Listrik!P34,"&gt;0")</f>
        <v>40597.779999999977</v>
      </c>
      <c r="J46" s="136">
        <f>+I46+'26'!J46</f>
        <v>1075059.5199999998</v>
      </c>
      <c r="K46" s="131" t="s">
        <v>91</v>
      </c>
      <c r="L46" s="427">
        <f>+Listrik!AF34</f>
        <v>0</v>
      </c>
      <c r="M46" s="429">
        <f>+L46+'26'!M46</f>
        <v>0</v>
      </c>
    </row>
    <row r="47" spans="1:14" ht="17.45" customHeight="1">
      <c r="A47" s="763" t="s">
        <v>92</v>
      </c>
      <c r="B47" s="764"/>
      <c r="C47" s="165">
        <f>SUMIF($G$7:$G$31,"Gas",$F$7:$F$31)</f>
        <v>0</v>
      </c>
      <c r="D47" s="119">
        <f>+C47+'26'!D47</f>
        <v>0</v>
      </c>
      <c r="E47" s="144">
        <f t="shared" si="2"/>
        <v>0</v>
      </c>
      <c r="F47" s="361"/>
      <c r="G47" s="362"/>
      <c r="H47" s="189" t="s">
        <v>93</v>
      </c>
      <c r="I47" s="119">
        <f>I46/I38</f>
        <v>927.29220438089521</v>
      </c>
      <c r="J47" s="136">
        <f>J46/J38</f>
        <v>798.07190563823281</v>
      </c>
      <c r="K47" s="131" t="s">
        <v>25</v>
      </c>
      <c r="L47" s="427">
        <f>+L46/I38</f>
        <v>0</v>
      </c>
      <c r="M47" s="428">
        <f>+M46/J38</f>
        <v>0</v>
      </c>
    </row>
    <row r="48" spans="1:14" ht="17.45" customHeight="1">
      <c r="A48" s="763" t="s">
        <v>15</v>
      </c>
      <c r="B48" s="764"/>
      <c r="C48" s="165">
        <f>SUMIF($G$7:$G$31,"Start Up",$F$7:$F$31)</f>
        <v>0</v>
      </c>
      <c r="D48" s="119">
        <f>+C48+'26'!D48</f>
        <v>0</v>
      </c>
      <c r="E48" s="144">
        <f t="shared" si="2"/>
        <v>0</v>
      </c>
      <c r="F48" s="361"/>
      <c r="G48" s="362"/>
      <c r="H48" s="189" t="s">
        <v>94</v>
      </c>
      <c r="I48" s="119">
        <f>I46/I40</f>
        <v>1000.240957918596</v>
      </c>
      <c r="J48" s="136">
        <f>J46/J40</f>
        <v>819.16162116444025</v>
      </c>
      <c r="K48" s="131" t="s">
        <v>25</v>
      </c>
      <c r="L48" s="427">
        <f>+L46/I38</f>
        <v>0</v>
      </c>
      <c r="M48" s="428">
        <f>+M46/J40</f>
        <v>0</v>
      </c>
    </row>
    <row r="49" spans="1:13" ht="17.45" customHeight="1">
      <c r="A49" s="763" t="s">
        <v>21</v>
      </c>
      <c r="B49" s="764"/>
      <c r="C49" s="165">
        <f>SUMIF($G$7:$G$31,"Others",$F$7:$F$31)</f>
        <v>0</v>
      </c>
      <c r="D49" s="119">
        <f>+C49+'26'!D49</f>
        <v>0</v>
      </c>
      <c r="E49" s="144">
        <f t="shared" si="2"/>
        <v>0</v>
      </c>
      <c r="F49" s="186"/>
      <c r="H49" s="189" t="s">
        <v>95</v>
      </c>
      <c r="I49" s="119">
        <f>+Report1!AB35</f>
        <v>4547.0984779411765</v>
      </c>
      <c r="J49" s="136">
        <f>+I49+'26'!J49</f>
        <v>131841.49806404984</v>
      </c>
      <c r="K49" s="131" t="s">
        <v>96</v>
      </c>
      <c r="L49" s="423"/>
      <c r="M49" s="424"/>
    </row>
    <row r="50" spans="1:13" ht="17.45" customHeight="1">
      <c r="A50" s="763" t="s">
        <v>20</v>
      </c>
      <c r="B50" s="764"/>
      <c r="C50" s="165">
        <f>SUMIF($G$7:$G$31,"Steam",$F$7:$F$31)</f>
        <v>0</v>
      </c>
      <c r="D50" s="119">
        <f>+C50+'26'!D50</f>
        <v>0</v>
      </c>
      <c r="E50" s="144">
        <f t="shared" si="2"/>
        <v>0</v>
      </c>
      <c r="F50" s="186"/>
      <c r="H50" s="189" t="s">
        <v>97</v>
      </c>
      <c r="I50" s="141">
        <f>I49/I38</f>
        <v>103.86008720543559</v>
      </c>
      <c r="J50" s="134">
        <f>J49/J38</f>
        <v>97.872716481944792</v>
      </c>
      <c r="K50" s="131" t="s">
        <v>96</v>
      </c>
      <c r="L50" s="423"/>
      <c r="M50" s="424"/>
    </row>
    <row r="51" spans="1:13" ht="17.45" customHeight="1" thickBot="1">
      <c r="A51" s="765" t="s">
        <v>98</v>
      </c>
      <c r="B51" s="766"/>
      <c r="C51" s="165">
        <f>SUMIF($G$7:$G$31,"Planned shut",$F$7:$F$31)</f>
        <v>0</v>
      </c>
      <c r="D51" s="119">
        <f>+C51+'26'!D51</f>
        <v>609</v>
      </c>
      <c r="E51" s="144">
        <f t="shared" si="2"/>
        <v>10.15</v>
      </c>
      <c r="F51" s="186"/>
      <c r="H51" s="191" t="s">
        <v>99</v>
      </c>
      <c r="I51" s="142">
        <f>I49/I40</f>
        <v>112.03061195282291</v>
      </c>
      <c r="J51" s="137">
        <f>J49/J40</f>
        <v>100.45908461970133</v>
      </c>
      <c r="K51" s="138" t="s">
        <v>96</v>
      </c>
      <c r="L51" s="423"/>
      <c r="M51" s="424"/>
    </row>
    <row r="52" spans="1:13" ht="13.5" thickBot="1">
      <c r="A52" s="767" t="s">
        <v>29</v>
      </c>
      <c r="B52" s="768"/>
      <c r="C52" s="145">
        <f>SUM(C38:C51)</f>
        <v>188</v>
      </c>
      <c r="D52" s="145">
        <f>SUM(D38:D51)</f>
        <v>2648</v>
      </c>
      <c r="E52" s="146">
        <f>SUM(E38:E51)</f>
        <v>44.133333333333333</v>
      </c>
      <c r="F52" s="186"/>
      <c r="H52" s="192"/>
      <c r="I52" s="193"/>
      <c r="J52" s="139"/>
      <c r="K52" s="140"/>
      <c r="L52" s="430"/>
      <c r="M52" s="431"/>
    </row>
    <row r="53" spans="1:13" ht="13.5" thickBot="1">
      <c r="A53" s="769"/>
      <c r="B53" s="770"/>
      <c r="C53" s="147">
        <f>C52/(24*60)</f>
        <v>0.13055555555555556</v>
      </c>
      <c r="D53" s="147">
        <f>D52/(24*60*G4)</f>
        <v>6.8106995884773661E-2</v>
      </c>
      <c r="E53" s="148">
        <f>E52/(G4*24)</f>
        <v>6.8106995884773661E-2</v>
      </c>
      <c r="F53" s="186"/>
    </row>
    <row r="54" spans="1:13">
      <c r="E54" s="194"/>
      <c r="F54" s="186"/>
    </row>
    <row r="55" spans="1:13">
      <c r="E55" s="194"/>
    </row>
    <row r="56" spans="1:13">
      <c r="A56" s="195" t="s">
        <v>100</v>
      </c>
      <c r="B56" s="196"/>
      <c r="C56" s="197"/>
      <c r="D56" s="197"/>
      <c r="E56" s="197"/>
      <c r="F56" s="198"/>
      <c r="G56" s="197"/>
      <c r="H56" s="199"/>
      <c r="I56" s="200" t="s">
        <v>101</v>
      </c>
      <c r="J56" s="201">
        <f>+D34+'26'!J56</f>
        <v>3992</v>
      </c>
      <c r="K56" s="202">
        <f>J56/(J40+J56/1000)/1000</f>
        <v>3.0325543801115484E-3</v>
      </c>
    </row>
    <row r="57" spans="1:13">
      <c r="A57" s="177"/>
      <c r="I57" s="200" t="s">
        <v>102</v>
      </c>
      <c r="J57" s="201">
        <f>+E34+'26'!J57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S61"/>
  <sheetViews>
    <sheetView zoomScale="80" zoomScaleNormal="80" workbookViewId="0">
      <selection activeCell="A7" sqref="A7:A32"/>
    </sheetView>
  </sheetViews>
  <sheetFormatPr defaultColWidth="9.140625" defaultRowHeight="12.75"/>
  <cols>
    <col min="1" max="1" width="8" style="150" customWidth="1"/>
    <col min="2" max="2" width="7" style="150" bestFit="1" customWidth="1"/>
    <col min="3" max="3" width="1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4" style="150" bestFit="1" customWidth="1"/>
    <col min="12" max="12" width="8.28515625" style="150" customWidth="1"/>
    <col min="13" max="13" width="14.42578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26</v>
      </c>
      <c r="H4" s="155" t="str">
        <f>+'1'!H4</f>
        <v>.11.25</v>
      </c>
      <c r="J4" s="150">
        <f>389.6+385.4+331.2</f>
        <v>1106.2</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1160</v>
      </c>
      <c r="P6" s="150">
        <f>+O6-O6*0.17</f>
        <v>962.8</v>
      </c>
      <c r="Q6" s="150">
        <v>480</v>
      </c>
      <c r="R6" s="150">
        <f>+O6*Q6</f>
        <v>556800</v>
      </c>
      <c r="S6" s="150">
        <f>+P6*Q6</f>
        <v>462144</v>
      </c>
    </row>
    <row r="7" spans="1:19" ht="13.5" customHeight="1" thickBot="1">
      <c r="A7" s="775" t="s">
        <v>444</v>
      </c>
      <c r="B7" s="216" t="s">
        <v>448</v>
      </c>
      <c r="C7" s="217">
        <v>15429</v>
      </c>
      <c r="D7" s="218"/>
      <c r="E7" s="219"/>
      <c r="F7" s="229"/>
      <c r="G7" s="230" t="s">
        <v>13</v>
      </c>
      <c r="H7" s="231" t="s">
        <v>390</v>
      </c>
      <c r="I7" s="778" t="s">
        <v>704</v>
      </c>
      <c r="J7" s="215" t="str">
        <f>+'25'!J7</f>
        <v>T 13,5 RC HW</v>
      </c>
      <c r="K7" s="239">
        <f>+C34</f>
        <v>48337</v>
      </c>
      <c r="L7" s="243"/>
      <c r="M7" s="118">
        <f>+K7+'25'!M7+L7</f>
        <v>350422</v>
      </c>
      <c r="O7" s="150">
        <v>1190</v>
      </c>
      <c r="P7" s="150">
        <f t="shared" ref="P7:P8" si="0">+O7-O7*0.17</f>
        <v>987.7</v>
      </c>
      <c r="Q7" s="150">
        <v>480</v>
      </c>
      <c r="R7" s="150">
        <f>+O7*Q7</f>
        <v>571200</v>
      </c>
      <c r="S7" s="150">
        <f>+P7*Q7</f>
        <v>474096</v>
      </c>
    </row>
    <row r="8" spans="1:19" ht="13.5" thickBot="1">
      <c r="A8" s="776"/>
      <c r="B8" s="216"/>
      <c r="C8" s="217"/>
      <c r="D8" s="218"/>
      <c r="E8" s="220"/>
      <c r="F8" s="232">
        <v>2</v>
      </c>
      <c r="G8" s="579" t="s">
        <v>13</v>
      </c>
      <c r="H8" s="231" t="s">
        <v>424</v>
      </c>
      <c r="I8" s="779"/>
      <c r="J8" s="215" t="str">
        <f>+'25'!J8</f>
        <v>T 14 RC HW</v>
      </c>
      <c r="K8" s="240"/>
      <c r="L8" s="240"/>
      <c r="M8" s="118">
        <f>+K8+'25'!M8+L8</f>
        <v>97781</v>
      </c>
      <c r="O8" s="150">
        <v>1200</v>
      </c>
      <c r="P8" s="150">
        <f t="shared" si="0"/>
        <v>996</v>
      </c>
      <c r="Q8" s="150">
        <v>480</v>
      </c>
      <c r="R8" s="150">
        <f>+O8*Q8</f>
        <v>576000</v>
      </c>
      <c r="S8" s="150">
        <f>+P8*Q8</f>
        <v>478080</v>
      </c>
    </row>
    <row r="9" spans="1:19" ht="13.5" thickBot="1">
      <c r="A9" s="776"/>
      <c r="B9" s="216"/>
      <c r="C9" s="217"/>
      <c r="D9" s="218"/>
      <c r="E9" s="221"/>
      <c r="F9" s="229">
        <v>4</v>
      </c>
      <c r="G9" s="579" t="s">
        <v>13</v>
      </c>
      <c r="H9" s="234" t="s">
        <v>425</v>
      </c>
      <c r="I9" s="779"/>
      <c r="J9" s="215" t="str">
        <f>+'25'!J9</f>
        <v>T 15 RC HW</v>
      </c>
      <c r="K9" s="240"/>
      <c r="L9" s="240"/>
      <c r="M9" s="118">
        <f>+K9+'25'!M9+L9</f>
        <v>182718</v>
      </c>
    </row>
    <row r="10" spans="1:19" ht="26.25" thickBot="1">
      <c r="A10" s="776"/>
      <c r="B10" s="216"/>
      <c r="C10" s="217"/>
      <c r="D10" s="218"/>
      <c r="E10" s="220"/>
      <c r="F10" s="229"/>
      <c r="G10" s="238" t="s">
        <v>14</v>
      </c>
      <c r="H10" s="234" t="s">
        <v>702</v>
      </c>
      <c r="I10" s="779"/>
      <c r="J10" s="215" t="str">
        <f>+'25'!J10</f>
        <v>TW 29 RC HW</v>
      </c>
      <c r="K10" s="240"/>
      <c r="L10" s="240"/>
      <c r="M10" s="118">
        <f>+K10+'25'!M10+L10</f>
        <v>21998</v>
      </c>
    </row>
    <row r="11" spans="1:19" ht="13.5" thickBot="1">
      <c r="A11" s="776"/>
      <c r="B11" s="216"/>
      <c r="C11" s="217"/>
      <c r="D11" s="218"/>
      <c r="E11" s="220"/>
      <c r="F11" s="229"/>
      <c r="G11" s="233"/>
      <c r="H11" s="234"/>
      <c r="I11" s="779"/>
      <c r="J11" s="215" t="str">
        <f>+'25'!J11</f>
        <v>TW 20 RC HW</v>
      </c>
      <c r="K11" s="240"/>
      <c r="L11" s="240"/>
      <c r="M11" s="118">
        <f>+K11+'25'!M11+L11</f>
        <v>104164</v>
      </c>
    </row>
    <row r="12" spans="1:19" ht="13.5" thickBot="1">
      <c r="A12" s="776"/>
      <c r="B12" s="216"/>
      <c r="C12" s="217"/>
      <c r="D12" s="218"/>
      <c r="E12" s="220"/>
      <c r="F12" s="229"/>
      <c r="G12" s="233"/>
      <c r="H12" s="234"/>
      <c r="I12" s="779"/>
      <c r="J12" s="215" t="str">
        <f>+'25'!J12</f>
        <v>TW 19 RC HW</v>
      </c>
      <c r="K12" s="240"/>
      <c r="L12" s="240"/>
      <c r="M12" s="118">
        <f>+K12+'25'!M12+L12</f>
        <v>18863</v>
      </c>
    </row>
    <row r="13" spans="1:19" ht="13.5" thickBot="1">
      <c r="A13" s="776"/>
      <c r="B13" s="216"/>
      <c r="C13" s="217"/>
      <c r="D13" s="217"/>
      <c r="E13" s="220"/>
      <c r="F13" s="229"/>
      <c r="G13" s="233"/>
      <c r="H13" s="234"/>
      <c r="I13" s="780"/>
      <c r="J13" s="215" t="str">
        <f>+'25'!J13</f>
        <v>TW 17 RC HW</v>
      </c>
      <c r="K13" s="240"/>
      <c r="L13" s="240"/>
      <c r="M13" s="118">
        <f>+K13+'25'!M13+L13</f>
        <v>67816</v>
      </c>
    </row>
    <row r="14" spans="1:19" ht="13.5" thickBot="1">
      <c r="A14" s="777"/>
      <c r="B14" s="166" t="s">
        <v>3</v>
      </c>
      <c r="C14" s="100">
        <f>SUM(C7:C13)</f>
        <v>15429</v>
      </c>
      <c r="D14" s="112">
        <f>SUM(D7:D13)</f>
        <v>0</v>
      </c>
      <c r="E14" s="113">
        <f>SUM(E5:E13)</f>
        <v>0</v>
      </c>
      <c r="F14" s="103">
        <f>SUM(F6:F13)</f>
        <v>6</v>
      </c>
      <c r="G14" s="160"/>
      <c r="H14" s="167"/>
      <c r="I14" s="168"/>
      <c r="J14" s="215" t="str">
        <f>+'25'!J14</f>
        <v>F 14 RC HW</v>
      </c>
      <c r="K14" s="240"/>
      <c r="L14" s="240"/>
      <c r="M14" s="118">
        <f>+K14+'25'!M14+L14</f>
        <v>10232</v>
      </c>
    </row>
    <row r="15" spans="1:19" ht="13.5" customHeight="1" thickBot="1">
      <c r="A15" s="775" t="s">
        <v>445</v>
      </c>
      <c r="B15" s="166"/>
      <c r="C15" s="114">
        <f>C14/($C$23+$D$23+$E$23)</f>
        <v>0.90434323896606295</v>
      </c>
      <c r="D15" s="115">
        <f>D14/($C$23+$D$23+$E$23)</f>
        <v>0</v>
      </c>
      <c r="E15" s="116">
        <f>E14/($C$23+$D$23+$E$23)</f>
        <v>0</v>
      </c>
      <c r="F15" s="229"/>
      <c r="G15" s="230" t="s">
        <v>13</v>
      </c>
      <c r="H15" s="231" t="s">
        <v>390</v>
      </c>
      <c r="I15" s="778" t="s">
        <v>705</v>
      </c>
      <c r="J15" s="215" t="str">
        <f>+'25'!J15</f>
        <v>T 16,5 RC HW</v>
      </c>
      <c r="K15" s="240"/>
      <c r="L15" s="240"/>
      <c r="M15" s="118">
        <f>+K15+'25'!M15+L15</f>
        <v>10954</v>
      </c>
    </row>
    <row r="16" spans="1:19" ht="13.5" thickBot="1">
      <c r="A16" s="781"/>
      <c r="B16" s="216" t="s">
        <v>448</v>
      </c>
      <c r="C16" s="223">
        <v>17061</v>
      </c>
      <c r="D16" s="224"/>
      <c r="E16" s="225"/>
      <c r="F16" s="232">
        <v>4</v>
      </c>
      <c r="G16" s="579" t="s">
        <v>13</v>
      </c>
      <c r="H16" s="231" t="s">
        <v>429</v>
      </c>
      <c r="I16" s="779"/>
      <c r="J16" s="215" t="str">
        <f>+'25'!J16</f>
        <v>T 15,5 RC HW</v>
      </c>
      <c r="K16" s="240"/>
      <c r="L16" s="230"/>
      <c r="M16" s="118">
        <f>+K16+'25'!M16+L16</f>
        <v>263708</v>
      </c>
      <c r="Q16" s="150">
        <f>SUM(Q6:Q14)</f>
        <v>1440</v>
      </c>
      <c r="R16" s="150">
        <f>SUM(R6:R14)</f>
        <v>1704000</v>
      </c>
      <c r="S16" s="150">
        <f>SUM(S6:S14)</f>
        <v>1414320</v>
      </c>
    </row>
    <row r="17" spans="1:19" ht="13.5" thickBot="1">
      <c r="A17" s="781"/>
      <c r="B17" s="216"/>
      <c r="C17" s="217"/>
      <c r="D17" s="218"/>
      <c r="E17" s="226"/>
      <c r="F17" s="229">
        <v>10</v>
      </c>
      <c r="G17" s="579" t="s">
        <v>13</v>
      </c>
      <c r="H17" s="234" t="s">
        <v>427</v>
      </c>
      <c r="I17" s="779"/>
      <c r="J17" s="215" t="str">
        <f>+'25'!J17</f>
        <v>T 16 RC HW</v>
      </c>
      <c r="K17" s="240"/>
      <c r="L17" s="230"/>
      <c r="M17" s="118">
        <f>+K17+'25'!M17+L17</f>
        <v>43235</v>
      </c>
      <c r="Q17" s="150">
        <f>480-Q16</f>
        <v>-960</v>
      </c>
      <c r="R17" s="150">
        <f>+R16/Q16</f>
        <v>1183.3333333333333</v>
      </c>
      <c r="S17" s="150">
        <f>+S16/Q16</f>
        <v>982.16666666666663</v>
      </c>
    </row>
    <row r="18" spans="1:19" ht="26.25" thickBot="1">
      <c r="A18" s="781"/>
      <c r="B18" s="216"/>
      <c r="C18" s="217"/>
      <c r="D18" s="218"/>
      <c r="E18" s="226"/>
      <c r="F18" s="229"/>
      <c r="G18" s="238" t="s">
        <v>14</v>
      </c>
      <c r="H18" s="234" t="s">
        <v>703</v>
      </c>
      <c r="I18" s="779"/>
      <c r="J18" s="215" t="str">
        <f>+'25'!J18</f>
        <v>T 19 RC HW</v>
      </c>
      <c r="K18" s="240"/>
      <c r="L18" s="240"/>
      <c r="M18" s="118">
        <f>+K18+'25'!M18+L18</f>
        <v>66753</v>
      </c>
    </row>
    <row r="19" spans="1:19" ht="13.5" thickBot="1">
      <c r="A19" s="781"/>
      <c r="B19" s="216"/>
      <c r="C19" s="217"/>
      <c r="D19" s="218"/>
      <c r="E19" s="226"/>
      <c r="F19" s="236"/>
      <c r="G19" s="233"/>
      <c r="H19" s="234"/>
      <c r="I19" s="779"/>
      <c r="J19" s="215" t="str">
        <f>+'25'!J19</f>
        <v>T 20 RC HW</v>
      </c>
      <c r="K19" s="240"/>
      <c r="L19" s="240"/>
      <c r="M19" s="118">
        <f>+K19+'25'!M19+L19</f>
        <v>33158</v>
      </c>
    </row>
    <row r="20" spans="1:19" ht="13.5" thickBot="1">
      <c r="A20" s="781"/>
      <c r="B20" s="216"/>
      <c r="C20" s="217"/>
      <c r="D20" s="218"/>
      <c r="E20" s="226"/>
      <c r="F20" s="229"/>
      <c r="G20" s="233"/>
      <c r="H20" s="234"/>
      <c r="I20" s="779"/>
      <c r="J20" s="215">
        <f>+'25'!J20</f>
        <v>0</v>
      </c>
      <c r="K20" s="240"/>
      <c r="L20" s="241"/>
      <c r="M20" s="118">
        <f>+K20+'25'!M20+L20</f>
        <v>0</v>
      </c>
    </row>
    <row r="21" spans="1:19" ht="13.5" thickBot="1">
      <c r="A21" s="781"/>
      <c r="B21" s="216"/>
      <c r="C21" s="217"/>
      <c r="D21" s="218"/>
      <c r="E21" s="226"/>
      <c r="F21" s="232"/>
      <c r="G21" s="233"/>
      <c r="H21" s="234"/>
      <c r="I21" s="779"/>
      <c r="J21" s="215">
        <f>+'25'!J21</f>
        <v>0</v>
      </c>
      <c r="K21" s="240"/>
      <c r="L21" s="240"/>
      <c r="M21" s="118">
        <f>+K21+'25'!M21+L21</f>
        <v>0</v>
      </c>
    </row>
    <row r="22" spans="1:19" ht="13.5" thickBot="1">
      <c r="A22" s="781"/>
      <c r="B22" s="216"/>
      <c r="C22" s="217"/>
      <c r="D22" s="218"/>
      <c r="E22" s="226"/>
      <c r="F22" s="237"/>
      <c r="G22" s="233"/>
      <c r="H22" s="234"/>
      <c r="I22" s="780"/>
      <c r="J22" s="215">
        <f>+'25'!J22</f>
        <v>0</v>
      </c>
      <c r="K22" s="240"/>
      <c r="L22" s="240"/>
      <c r="M22" s="118">
        <f>+K22+'25'!M22+L22</f>
        <v>0</v>
      </c>
    </row>
    <row r="23" spans="1:19" ht="13.5" thickBot="1">
      <c r="A23" s="782"/>
      <c r="B23" s="166" t="s">
        <v>3</v>
      </c>
      <c r="C23" s="101">
        <f>SUM(C16:C22)</f>
        <v>17061</v>
      </c>
      <c r="D23" s="112">
        <f>SUM(D16:D22)</f>
        <v>0</v>
      </c>
      <c r="E23" s="113">
        <f>SUM(E18:E22)</f>
        <v>0</v>
      </c>
      <c r="F23" s="103">
        <f>SUM(F15:F22)</f>
        <v>14</v>
      </c>
      <c r="G23" s="160"/>
      <c r="H23" s="167"/>
      <c r="I23" s="170"/>
      <c r="J23" s="215">
        <f>+'25'!J23</f>
        <v>0</v>
      </c>
      <c r="K23" s="240"/>
      <c r="L23" s="240"/>
      <c r="M23" s="118">
        <f>+K23+'25'!M23+L23</f>
        <v>0</v>
      </c>
    </row>
    <row r="24" spans="1:19" ht="13.5" customHeight="1" thickBot="1">
      <c r="A24" s="775" t="s">
        <v>446</v>
      </c>
      <c r="B24" s="171"/>
      <c r="C24" s="114">
        <f>C23/($C$23+$D$23+$E$23)</f>
        <v>1</v>
      </c>
      <c r="D24" s="115">
        <f>D23/($C$23+$D$23+$E$23)</f>
        <v>0</v>
      </c>
      <c r="E24" s="116">
        <f>E23/($C$23+$D$23+$E$23)</f>
        <v>0</v>
      </c>
      <c r="F24" s="229"/>
      <c r="G24" s="230" t="s">
        <v>13</v>
      </c>
      <c r="H24" s="231" t="s">
        <v>390</v>
      </c>
      <c r="I24" s="778" t="s">
        <v>706</v>
      </c>
      <c r="J24" s="215">
        <f>+'25'!J24</f>
        <v>0</v>
      </c>
      <c r="K24" s="240"/>
      <c r="L24" s="240"/>
      <c r="M24" s="118">
        <f>+K24+'25'!M24+L24</f>
        <v>0</v>
      </c>
    </row>
    <row r="25" spans="1:19" ht="13.5" thickBot="1">
      <c r="A25" s="781"/>
      <c r="B25" s="216" t="s">
        <v>448</v>
      </c>
      <c r="C25" s="227">
        <v>15847</v>
      </c>
      <c r="D25" s="218"/>
      <c r="E25" s="226"/>
      <c r="F25" s="232">
        <v>2</v>
      </c>
      <c r="G25" s="579" t="s">
        <v>13</v>
      </c>
      <c r="H25" s="231" t="s">
        <v>429</v>
      </c>
      <c r="I25" s="779"/>
      <c r="J25" s="215">
        <f>+'25'!J25</f>
        <v>0</v>
      </c>
      <c r="K25" s="240"/>
      <c r="L25" s="240"/>
      <c r="M25" s="118">
        <f>+K25+'25'!M25+L25</f>
        <v>0</v>
      </c>
    </row>
    <row r="26" spans="1:19" ht="13.5" thickBot="1">
      <c r="A26" s="781"/>
      <c r="B26" s="216"/>
      <c r="C26" s="227"/>
      <c r="D26" s="218"/>
      <c r="E26" s="228"/>
      <c r="F26" s="229"/>
      <c r="G26" s="579" t="s">
        <v>13</v>
      </c>
      <c r="H26" s="234" t="s">
        <v>425</v>
      </c>
      <c r="I26" s="779"/>
      <c r="J26" s="215">
        <f>+'25'!J26</f>
        <v>0</v>
      </c>
      <c r="K26" s="240"/>
      <c r="L26" s="240"/>
      <c r="M26" s="118">
        <f>+K26+'25'!M26+L26</f>
        <v>0</v>
      </c>
    </row>
    <row r="27" spans="1:19" ht="26.25" thickBot="1">
      <c r="A27" s="781"/>
      <c r="B27" s="216"/>
      <c r="C27" s="217"/>
      <c r="D27" s="218"/>
      <c r="E27" s="226"/>
      <c r="F27" s="229">
        <v>10</v>
      </c>
      <c r="G27" s="238" t="s">
        <v>14</v>
      </c>
      <c r="H27" s="234" t="s">
        <v>701</v>
      </c>
      <c r="I27" s="779"/>
      <c r="J27" s="215">
        <f>+'25'!J27</f>
        <v>0</v>
      </c>
      <c r="K27" s="240"/>
      <c r="L27" s="240"/>
      <c r="M27" s="118">
        <f>+K27+'25'!M27+L27</f>
        <v>0</v>
      </c>
    </row>
    <row r="28" spans="1:19" ht="13.5" thickBot="1">
      <c r="A28" s="781"/>
      <c r="B28" s="216"/>
      <c r="C28" s="217"/>
      <c r="D28" s="218"/>
      <c r="E28" s="226"/>
      <c r="F28" s="232"/>
      <c r="G28" s="233"/>
      <c r="H28" s="234"/>
      <c r="I28" s="779"/>
      <c r="J28" s="215">
        <f>+'25'!J28</f>
        <v>0</v>
      </c>
      <c r="K28" s="240"/>
      <c r="L28" s="240"/>
      <c r="M28" s="118">
        <f>+K28+'25'!M28+L28</f>
        <v>0</v>
      </c>
    </row>
    <row r="29" spans="1:19" ht="13.5" thickBot="1">
      <c r="A29" s="781"/>
      <c r="B29" s="216"/>
      <c r="C29" s="217"/>
      <c r="D29" s="218"/>
      <c r="E29" s="226"/>
      <c r="F29" s="237"/>
      <c r="G29" s="233"/>
      <c r="H29" s="234"/>
      <c r="I29" s="779"/>
      <c r="J29" s="215">
        <f>+'25'!J29</f>
        <v>0</v>
      </c>
      <c r="K29" s="240"/>
      <c r="L29" s="240"/>
      <c r="M29" s="118">
        <f>+K29+'25'!M29+L29</f>
        <v>0</v>
      </c>
    </row>
    <row r="30" spans="1:19" ht="13.5" thickBot="1">
      <c r="A30" s="781"/>
      <c r="B30" s="216"/>
      <c r="C30" s="227"/>
      <c r="D30" s="218"/>
      <c r="E30" s="226"/>
      <c r="F30" s="237"/>
      <c r="G30" s="233"/>
      <c r="H30" s="234"/>
      <c r="I30" s="779"/>
      <c r="J30" s="215">
        <f>+'25'!J30</f>
        <v>0</v>
      </c>
      <c r="K30" s="240"/>
      <c r="L30" s="240"/>
      <c r="M30" s="118">
        <f>+K30+'25'!M30+L30</f>
        <v>0</v>
      </c>
      <c r="N30" s="156"/>
    </row>
    <row r="31" spans="1:19" ht="13.5" thickBot="1">
      <c r="A31" s="781"/>
      <c r="B31" s="216"/>
      <c r="C31" s="227"/>
      <c r="D31" s="218"/>
      <c r="E31" s="226"/>
      <c r="F31" s="237"/>
      <c r="G31" s="238"/>
      <c r="H31" s="235"/>
      <c r="I31" s="780"/>
      <c r="J31" s="215">
        <f>+'25'!J31</f>
        <v>0</v>
      </c>
      <c r="K31" s="240"/>
      <c r="L31" s="240"/>
      <c r="M31" s="118">
        <f>+K31+'25'!M31+L31</f>
        <v>0</v>
      </c>
    </row>
    <row r="32" spans="1:19" ht="13.5" thickBot="1">
      <c r="A32" s="782"/>
      <c r="B32" s="166" t="s">
        <v>3</v>
      </c>
      <c r="C32" s="100">
        <f>SUM(C25:C31)</f>
        <v>15847</v>
      </c>
      <c r="D32" s="101">
        <f>SUM(D25:D31)</f>
        <v>0</v>
      </c>
      <c r="E32" s="102">
        <f>SUM(E25:E31)</f>
        <v>0</v>
      </c>
      <c r="F32" s="103">
        <f>SUM(F24:F31)</f>
        <v>12</v>
      </c>
      <c r="G32" s="172"/>
      <c r="H32" s="173"/>
      <c r="I32" s="170"/>
      <c r="J32" s="215">
        <f>+'25'!J32</f>
        <v>0</v>
      </c>
      <c r="K32" s="242"/>
      <c r="L32" s="244"/>
      <c r="M32" s="118">
        <f>+K32+'25'!M32+L32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48337</v>
      </c>
      <c r="D34" s="108">
        <f>D14+D23+D32</f>
        <v>0</v>
      </c>
      <c r="E34" s="108">
        <f>E14+E23+E32</f>
        <v>0</v>
      </c>
      <c r="F34" s="109">
        <f>F14+F23+F32</f>
        <v>32</v>
      </c>
      <c r="H34" s="179"/>
      <c r="I34" s="179"/>
      <c r="J34" s="124" t="s">
        <v>29</v>
      </c>
      <c r="K34" s="125">
        <f>SUM(K7:K32)</f>
        <v>48337</v>
      </c>
      <c r="L34" s="213">
        <f>SUM(L7:L32)</f>
        <v>0</v>
      </c>
      <c r="M34" s="121">
        <f>SUM(M7:M32)</f>
        <v>1271802</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(13.5*1440)/1440*G42*2.77*1440/1000000</f>
        <v>52.888496400000001</v>
      </c>
      <c r="J37" s="126">
        <f>+I37+'25'!J37</f>
        <v>1376.921903409901</v>
      </c>
      <c r="K37" s="127" t="s">
        <v>76</v>
      </c>
      <c r="L37" s="421"/>
      <c r="M37" s="422"/>
    </row>
    <row r="38" spans="1:14" ht="17.45" customHeight="1">
      <c r="A38" s="767" t="s">
        <v>13</v>
      </c>
      <c r="B38" s="768"/>
      <c r="C38" s="165">
        <f>SUMIF($G$7:$G$31,"Process",$F$7:$F$31)</f>
        <v>22</v>
      </c>
      <c r="D38" s="119">
        <f>+C38+'25'!D38</f>
        <v>1337</v>
      </c>
      <c r="E38" s="144">
        <f t="shared" ref="E38:E51" si="1">D38/60</f>
        <v>22.283333333333335</v>
      </c>
      <c r="F38" s="361">
        <v>1160</v>
      </c>
      <c r="G38" s="361">
        <v>962.8</v>
      </c>
      <c r="H38" s="188" t="s">
        <v>77</v>
      </c>
      <c r="I38" s="543">
        <f>16.091+16.69+16.448</f>
        <v>49.229000000000006</v>
      </c>
      <c r="J38" s="128">
        <f>+I38+'25'!J38</f>
        <v>1303.29</v>
      </c>
      <c r="K38" s="129" t="s">
        <v>76</v>
      </c>
      <c r="L38" s="423"/>
      <c r="M38" s="424"/>
    </row>
    <row r="39" spans="1:14" ht="17.45" customHeight="1">
      <c r="A39" s="763" t="s">
        <v>14</v>
      </c>
      <c r="B39" s="764"/>
      <c r="C39" s="165">
        <f>SUMIF($G$7:$G$31,"Cleaning",$F$7:$F$31)</f>
        <v>10</v>
      </c>
      <c r="D39" s="119">
        <f>+C39+'25'!D39</f>
        <v>311</v>
      </c>
      <c r="E39" s="144">
        <f t="shared" si="1"/>
        <v>5.1833333333333336</v>
      </c>
      <c r="F39" s="361">
        <v>1190</v>
      </c>
      <c r="G39" s="361">
        <v>987.7</v>
      </c>
      <c r="H39" s="188" t="s">
        <v>78</v>
      </c>
      <c r="I39" s="143"/>
      <c r="J39" s="130">
        <f>J37/G4</f>
        <v>52.958534746534653</v>
      </c>
      <c r="K39" s="131" t="s">
        <v>76</v>
      </c>
      <c r="L39" s="423"/>
      <c r="M39" s="424"/>
    </row>
    <row r="40" spans="1:14" ht="17.45" customHeight="1">
      <c r="A40" s="763" t="s">
        <v>79</v>
      </c>
      <c r="B40" s="764"/>
      <c r="C40" s="165">
        <f>SUMIF($G$7:$G$31,"Mechanical",$F$7:$F$31)</f>
        <v>0</v>
      </c>
      <c r="D40" s="119">
        <f>+C40+'25'!D40</f>
        <v>0</v>
      </c>
      <c r="E40" s="144">
        <f t="shared" si="1"/>
        <v>0</v>
      </c>
      <c r="F40" s="361">
        <v>1200</v>
      </c>
      <c r="G40" s="361">
        <v>996</v>
      </c>
      <c r="H40" s="188" t="s">
        <v>80</v>
      </c>
      <c r="I40" s="119">
        <f>(K34+L34)/1000</f>
        <v>48.337000000000003</v>
      </c>
      <c r="J40" s="132">
        <f>+I40+'25'!J40</f>
        <v>1271.8020000000001</v>
      </c>
      <c r="K40" s="131" t="s">
        <v>76</v>
      </c>
      <c r="L40" s="423"/>
      <c r="M40" s="424"/>
    </row>
    <row r="41" spans="1:14" ht="17.45" customHeight="1">
      <c r="A41" s="763" t="s">
        <v>81</v>
      </c>
      <c r="B41" s="764"/>
      <c r="C41" s="165">
        <f>SUMIF($G$7:$G$31,"Electrical",$F$7:$F$31)</f>
        <v>0</v>
      </c>
      <c r="D41" s="119">
        <f>+C41+'25'!D41</f>
        <v>203</v>
      </c>
      <c r="E41" s="144">
        <f t="shared" si="1"/>
        <v>3.3833333333333333</v>
      </c>
      <c r="F41" s="361"/>
      <c r="G41" s="361"/>
      <c r="H41" s="188" t="s">
        <v>82</v>
      </c>
      <c r="I41" s="143"/>
      <c r="J41" s="130">
        <f>J40/G4</f>
        <v>48.915461538461543</v>
      </c>
      <c r="K41" s="131" t="s">
        <v>76</v>
      </c>
      <c r="L41" s="423"/>
      <c r="M41" s="424"/>
    </row>
    <row r="42" spans="1:14" ht="17.45" customHeight="1">
      <c r="A42" s="763" t="s">
        <v>17</v>
      </c>
      <c r="B42" s="764"/>
      <c r="C42" s="165">
        <f>SUMIF($G$7:$G$31,"Instrument",$F$7:$F$31)</f>
        <v>0</v>
      </c>
      <c r="D42" s="119">
        <f>+C42+'25'!D42</f>
        <v>0</v>
      </c>
      <c r="E42" s="144">
        <f t="shared" si="1"/>
        <v>0</v>
      </c>
      <c r="F42" s="361">
        <f>+(F38*480+F39*480+F40*480)/1440</f>
        <v>1183.3333333333333</v>
      </c>
      <c r="G42" s="361">
        <f>+(G38*480+G39*480+G40*480)/1440</f>
        <v>982.16666666666663</v>
      </c>
      <c r="H42" s="188" t="s">
        <v>83</v>
      </c>
      <c r="I42" s="247" t="s">
        <v>707</v>
      </c>
      <c r="J42" s="133"/>
      <c r="K42" s="131" t="s">
        <v>84</v>
      </c>
      <c r="L42" s="423"/>
      <c r="M42" s="424"/>
    </row>
    <row r="43" spans="1:14" ht="17.45" customHeight="1">
      <c r="A43" s="763" t="s">
        <v>85</v>
      </c>
      <c r="B43" s="764"/>
      <c r="C43" s="165">
        <f>SUMIF($G$7:$G$31,"Water",$F$7:$F$31)</f>
        <v>0</v>
      </c>
      <c r="D43" s="119">
        <f>+C43+'25'!D43</f>
        <v>0</v>
      </c>
      <c r="E43" s="144">
        <f t="shared" si="1"/>
        <v>0</v>
      </c>
      <c r="F43" s="361"/>
      <c r="G43" s="362"/>
      <c r="H43" s="189" t="s">
        <v>86</v>
      </c>
      <c r="I43" s="119">
        <f>+Report1!AH34</f>
        <v>68.3</v>
      </c>
      <c r="J43" s="134">
        <f>+I43+'25'!J43</f>
        <v>1752.5</v>
      </c>
      <c r="K43" s="131" t="s">
        <v>76</v>
      </c>
      <c r="L43" s="425">
        <f>+Report1!AN34</f>
        <v>9.6</v>
      </c>
      <c r="M43" s="426">
        <f>+L43+'25'!M43</f>
        <v>258.8</v>
      </c>
    </row>
    <row r="44" spans="1:14" ht="17.45" customHeight="1">
      <c r="A44" s="763" t="s">
        <v>18</v>
      </c>
      <c r="B44" s="764"/>
      <c r="C44" s="165">
        <f>SUMIF($G$7:$G$31,"PLN",$F$7:$F$31)</f>
        <v>0</v>
      </c>
      <c r="D44" s="119">
        <f>+C44+'25'!D44</f>
        <v>0</v>
      </c>
      <c r="E44" s="144">
        <f t="shared" si="1"/>
        <v>0</v>
      </c>
      <c r="F44" s="361"/>
      <c r="G44" s="362"/>
      <c r="H44" s="189" t="s">
        <v>87</v>
      </c>
      <c r="I44" s="119">
        <f>I43/I38</f>
        <v>1.3873936094578396</v>
      </c>
      <c r="J44" s="135">
        <f>J43/J38</f>
        <v>1.3446738638369051</v>
      </c>
      <c r="K44" s="131" t="s">
        <v>76</v>
      </c>
      <c r="L44" s="427">
        <f>+L43/I38</f>
        <v>0.19500700806435228</v>
      </c>
      <c r="M44" s="428">
        <f>+M43/J38</f>
        <v>0.19857437715320458</v>
      </c>
    </row>
    <row r="45" spans="1:14" ht="17.45" customHeight="1">
      <c r="A45" s="763" t="s">
        <v>19</v>
      </c>
      <c r="B45" s="764"/>
      <c r="C45" s="165">
        <f>SUMIF($G$7:$G$31,"Boiler",$F$7:$F$31)</f>
        <v>0</v>
      </c>
      <c r="D45" s="119">
        <f>+C45+'25'!D45</f>
        <v>0</v>
      </c>
      <c r="E45" s="144">
        <f t="shared" si="1"/>
        <v>0</v>
      </c>
      <c r="F45" s="361"/>
      <c r="G45" s="364"/>
      <c r="H45" s="189" t="s">
        <v>88</v>
      </c>
      <c r="I45" s="119">
        <f>I43/I40</f>
        <v>1.4129962554564826</v>
      </c>
      <c r="J45" s="135">
        <f>J43/J40</f>
        <v>1.3779660670450273</v>
      </c>
      <c r="K45" s="131" t="s">
        <v>76</v>
      </c>
      <c r="L45" s="427">
        <f>+L43/I40</f>
        <v>0.19860562302170179</v>
      </c>
      <c r="M45" s="428">
        <f>+M43/J40</f>
        <v>0.20349079495078634</v>
      </c>
    </row>
    <row r="46" spans="1:14" ht="17.45" customHeight="1">
      <c r="A46" s="763" t="s">
        <v>89</v>
      </c>
      <c r="B46" s="764"/>
      <c r="C46" s="165">
        <f>SUMIF($G$7:$G$31,"Gas",$F$7:$F$31)</f>
        <v>0</v>
      </c>
      <c r="D46" s="119">
        <f>+C46+'25'!D46</f>
        <v>0</v>
      </c>
      <c r="E46" s="144">
        <f t="shared" si="1"/>
        <v>0</v>
      </c>
      <c r="F46" s="361"/>
      <c r="G46" s="362"/>
      <c r="H46" s="189" t="s">
        <v>90</v>
      </c>
      <c r="I46" s="141">
        <f>+SUMIF(Listrik!P33,"&gt;0")</f>
        <v>44844.460000000057</v>
      </c>
      <c r="J46" s="136">
        <f>+I46+'25'!J46</f>
        <v>1034461.7399999999</v>
      </c>
      <c r="K46" s="131" t="s">
        <v>91</v>
      </c>
      <c r="L46" s="427">
        <f>+Listrik!AF33</f>
        <v>0</v>
      </c>
      <c r="M46" s="429">
        <f>+L46+'25'!M46</f>
        <v>0</v>
      </c>
    </row>
    <row r="47" spans="1:14" ht="17.45" customHeight="1">
      <c r="A47" s="763" t="s">
        <v>92</v>
      </c>
      <c r="B47" s="764"/>
      <c r="C47" s="165">
        <f>SUMIF($G$7:$G$31,"Gas",$F$7:$F$31)</f>
        <v>0</v>
      </c>
      <c r="D47" s="119">
        <f>+C47+'25'!D47</f>
        <v>0</v>
      </c>
      <c r="E47" s="144">
        <f t="shared" si="1"/>
        <v>0</v>
      </c>
      <c r="F47" s="361"/>
      <c r="G47" s="362"/>
      <c r="H47" s="189" t="s">
        <v>93</v>
      </c>
      <c r="I47" s="119">
        <f>I46/I38</f>
        <v>910.93583050640984</v>
      </c>
      <c r="J47" s="136">
        <f>J46/J38</f>
        <v>793.73104988145383</v>
      </c>
      <c r="K47" s="131" t="s">
        <v>25</v>
      </c>
      <c r="L47" s="427">
        <f>+L46/I38</f>
        <v>0</v>
      </c>
      <c r="M47" s="428">
        <f>+M46/J38</f>
        <v>0</v>
      </c>
    </row>
    <row r="48" spans="1:14" ht="17.45" customHeight="1">
      <c r="A48" s="763" t="s">
        <v>15</v>
      </c>
      <c r="B48" s="764"/>
      <c r="C48" s="165">
        <f>SUMIF($G$7:$G$31,"Start Up",$F$7:$F$31)</f>
        <v>0</v>
      </c>
      <c r="D48" s="119">
        <f>+C48+'25'!D48</f>
        <v>0</v>
      </c>
      <c r="E48" s="144">
        <f t="shared" si="1"/>
        <v>0</v>
      </c>
      <c r="F48" s="361"/>
      <c r="G48" s="362"/>
      <c r="H48" s="189" t="s">
        <v>94</v>
      </c>
      <c r="I48" s="119">
        <f>I46/I40</f>
        <v>927.74603305956214</v>
      </c>
      <c r="J48" s="136">
        <f>J46/J40</f>
        <v>813.38269636311293</v>
      </c>
      <c r="K48" s="131" t="s">
        <v>25</v>
      </c>
      <c r="L48" s="427">
        <f>+L46/I38</f>
        <v>0</v>
      </c>
      <c r="M48" s="428">
        <f>+M46/J40</f>
        <v>0</v>
      </c>
    </row>
    <row r="49" spans="1:13" ht="17.45" customHeight="1">
      <c r="A49" s="763" t="s">
        <v>21</v>
      </c>
      <c r="B49" s="764"/>
      <c r="C49" s="165">
        <f>SUMIF($G$7:$G$31,"Others",$F$7:$F$31)</f>
        <v>0</v>
      </c>
      <c r="D49" s="119">
        <f>+C49+'25'!D49</f>
        <v>0</v>
      </c>
      <c r="E49" s="144">
        <f t="shared" si="1"/>
        <v>0</v>
      </c>
      <c r="F49" s="186"/>
      <c r="H49" s="189" t="s">
        <v>95</v>
      </c>
      <c r="I49" s="119">
        <f>+Report1!AB34</f>
        <v>5103.9969869591823</v>
      </c>
      <c r="J49" s="136">
        <f>+I49+'25'!J49</f>
        <v>127294.39958610867</v>
      </c>
      <c r="K49" s="131" t="s">
        <v>96</v>
      </c>
      <c r="L49" s="423"/>
      <c r="M49" s="424"/>
    </row>
    <row r="50" spans="1:13" ht="17.45" customHeight="1">
      <c r="A50" s="763" t="s">
        <v>20</v>
      </c>
      <c r="B50" s="764"/>
      <c r="C50" s="165">
        <f>SUMIF($G$7:$G$31,"Steam",$F$7:$F$31)</f>
        <v>0</v>
      </c>
      <c r="D50" s="119">
        <f>+C50+'25'!D50</f>
        <v>0</v>
      </c>
      <c r="E50" s="144">
        <f t="shared" si="1"/>
        <v>0</v>
      </c>
      <c r="F50" s="186"/>
      <c r="H50" s="189" t="s">
        <v>97</v>
      </c>
      <c r="I50" s="141">
        <f>I49/I38</f>
        <v>103.67866474962281</v>
      </c>
      <c r="J50" s="134">
        <f>J49/J38</f>
        <v>97.671584671184988</v>
      </c>
      <c r="K50" s="131" t="s">
        <v>96</v>
      </c>
      <c r="L50" s="423"/>
      <c r="M50" s="424"/>
    </row>
    <row r="51" spans="1:13" ht="17.45" customHeight="1" thickBot="1">
      <c r="A51" s="765" t="s">
        <v>98</v>
      </c>
      <c r="B51" s="766"/>
      <c r="C51" s="165">
        <f>SUMIF($G$7:$G$31,"Planned shut",$F$7:$F$31)</f>
        <v>0</v>
      </c>
      <c r="D51" s="119">
        <f>+C51+'25'!D51</f>
        <v>609</v>
      </c>
      <c r="E51" s="144">
        <f t="shared" si="1"/>
        <v>10.15</v>
      </c>
      <c r="F51" s="186"/>
      <c r="H51" s="191" t="s">
        <v>99</v>
      </c>
      <c r="I51" s="142">
        <f>I49/I40</f>
        <v>105.59192723915804</v>
      </c>
      <c r="J51" s="137">
        <f>J49/J40</f>
        <v>100.08979352612172</v>
      </c>
      <c r="K51" s="138" t="s">
        <v>96</v>
      </c>
      <c r="L51" s="423"/>
      <c r="M51" s="424"/>
    </row>
    <row r="52" spans="1:13" ht="13.5" thickBot="1">
      <c r="A52" s="767" t="s">
        <v>29</v>
      </c>
      <c r="B52" s="768"/>
      <c r="C52" s="145">
        <f>SUM(C38:C51)</f>
        <v>32</v>
      </c>
      <c r="D52" s="145">
        <f>SUM(D38:D51)</f>
        <v>2460</v>
      </c>
      <c r="E52" s="146">
        <f>SUM(E38:E51)</f>
        <v>41</v>
      </c>
      <c r="F52" s="186"/>
      <c r="H52" s="192"/>
      <c r="I52" s="193"/>
      <c r="J52" s="139"/>
      <c r="K52" s="140"/>
      <c r="L52" s="430"/>
      <c r="M52" s="431"/>
    </row>
    <row r="53" spans="1:13" ht="13.5" thickBot="1">
      <c r="A53" s="769"/>
      <c r="B53" s="770"/>
      <c r="C53" s="147">
        <f>C52/(24*60)</f>
        <v>2.2222222222222223E-2</v>
      </c>
      <c r="D53" s="147">
        <f>D52/(24*60*G4)</f>
        <v>6.5705128205128208E-2</v>
      </c>
      <c r="E53" s="148">
        <f>E52/(G4*24)</f>
        <v>6.5705128205128208E-2</v>
      </c>
      <c r="F53" s="186"/>
    </row>
    <row r="54" spans="1:13">
      <c r="E54" s="194"/>
      <c r="F54" s="186"/>
    </row>
    <row r="55" spans="1:13">
      <c r="E55" s="194"/>
    </row>
    <row r="56" spans="1:13">
      <c r="A56" s="195" t="s">
        <v>100</v>
      </c>
      <c r="B56" s="196"/>
      <c r="C56" s="197"/>
      <c r="D56" s="197"/>
      <c r="E56" s="197"/>
      <c r="F56" s="198"/>
      <c r="G56" s="197"/>
      <c r="H56" s="199"/>
      <c r="I56" s="200" t="s">
        <v>101</v>
      </c>
      <c r="J56" s="201">
        <f>+D34+'25'!J56</f>
        <v>3992</v>
      </c>
      <c r="K56" s="202">
        <f>J56/(J40+J56/1000)/1000</f>
        <v>3.1290318029399728E-3</v>
      </c>
    </row>
    <row r="57" spans="1:13">
      <c r="A57" s="177"/>
      <c r="I57" s="200" t="s">
        <v>102</v>
      </c>
      <c r="J57" s="201">
        <f>+E34+'25'!J57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Y61"/>
  <sheetViews>
    <sheetView zoomScale="80" zoomScaleNormal="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5703125" style="150" bestFit="1" customWidth="1"/>
    <col min="12" max="12" width="8.28515625" style="150" customWidth="1"/>
    <col min="13" max="13" width="14.42578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25</v>
      </c>
      <c r="H4" s="155" t="str">
        <f>+'1'!H4</f>
        <v>.11.25</v>
      </c>
      <c r="J4" s="150">
        <f>426.3+411.2+357.1</f>
        <v>1194.5999999999999</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469</v>
      </c>
      <c r="O6" s="150">
        <v>1160</v>
      </c>
      <c r="P6" s="150">
        <f>+O6-O6*0.22</f>
        <v>904.8</v>
      </c>
      <c r="Q6" s="150">
        <f>60*2+50</f>
        <v>170</v>
      </c>
      <c r="R6" s="150">
        <f>+O6*Q6</f>
        <v>197200</v>
      </c>
      <c r="S6" s="150">
        <f>+P6*Q6</f>
        <v>153816</v>
      </c>
    </row>
    <row r="7" spans="1:19" ht="13.5" customHeight="1" thickBot="1">
      <c r="A7" s="775" t="s">
        <v>444</v>
      </c>
      <c r="B7" s="216" t="s">
        <v>479</v>
      </c>
      <c r="C7" s="217">
        <v>9955</v>
      </c>
      <c r="D7" s="218"/>
      <c r="E7" s="219"/>
      <c r="F7" s="229"/>
      <c r="G7" s="230" t="s">
        <v>13</v>
      </c>
      <c r="H7" s="231" t="s">
        <v>390</v>
      </c>
      <c r="I7" s="778" t="s">
        <v>698</v>
      </c>
      <c r="J7" s="215" t="str">
        <f>+'24'!J7</f>
        <v>T 13,5 RC HW</v>
      </c>
      <c r="K7" s="239">
        <f>+C8+C16+C25</f>
        <v>38919</v>
      </c>
      <c r="L7" s="243"/>
      <c r="M7" s="118">
        <f>+K7+'24'!M7+L7</f>
        <v>302085</v>
      </c>
      <c r="N7" s="150" t="s">
        <v>415</v>
      </c>
      <c r="O7" s="150">
        <v>1180</v>
      </c>
      <c r="P7" s="150">
        <f>+O7-O7*0.18</f>
        <v>967.6</v>
      </c>
      <c r="Q7" s="150">
        <f>480-Q6</f>
        <v>310</v>
      </c>
      <c r="R7" s="150">
        <f>+O7*Q7</f>
        <v>365800</v>
      </c>
      <c r="S7" s="150">
        <f>+P7*Q7</f>
        <v>299956</v>
      </c>
    </row>
    <row r="8" spans="1:19" ht="13.5" thickBot="1">
      <c r="A8" s="776"/>
      <c r="B8" s="216" t="s">
        <v>448</v>
      </c>
      <c r="C8" s="217">
        <v>4779</v>
      </c>
      <c r="D8" s="218"/>
      <c r="E8" s="220"/>
      <c r="F8" s="232">
        <v>3</v>
      </c>
      <c r="G8" s="579" t="s">
        <v>13</v>
      </c>
      <c r="H8" s="231" t="s">
        <v>429</v>
      </c>
      <c r="I8" s="779"/>
      <c r="J8" s="215" t="str">
        <f>+'24'!J8</f>
        <v>T 14 RC HW</v>
      </c>
      <c r="K8" s="240"/>
      <c r="L8" s="240"/>
      <c r="M8" s="118">
        <f>+K8+'24'!M8+L8</f>
        <v>97781</v>
      </c>
      <c r="P8" s="150">
        <f>+O8-O8*0.23</f>
        <v>0</v>
      </c>
      <c r="R8" s="150">
        <f>+O8*Q8</f>
        <v>0</v>
      </c>
      <c r="S8" s="150">
        <f>+P8*Q8</f>
        <v>0</v>
      </c>
    </row>
    <row r="9" spans="1:19" ht="13.5" thickBot="1">
      <c r="A9" s="776"/>
      <c r="B9" s="216"/>
      <c r="C9" s="217"/>
      <c r="D9" s="218"/>
      <c r="E9" s="221"/>
      <c r="F9" s="229">
        <v>7</v>
      </c>
      <c r="G9" s="579" t="s">
        <v>13</v>
      </c>
      <c r="H9" s="234" t="s">
        <v>397</v>
      </c>
      <c r="I9" s="779"/>
      <c r="J9" s="215" t="str">
        <f>+'24'!J9</f>
        <v>T 15 RC HW</v>
      </c>
      <c r="K9" s="240">
        <f>+C7</f>
        <v>9955</v>
      </c>
      <c r="L9" s="240"/>
      <c r="M9" s="118">
        <f>+K9+'24'!M9+L9</f>
        <v>182718</v>
      </c>
    </row>
    <row r="10" spans="1:19" ht="26.25" thickBot="1">
      <c r="A10" s="776"/>
      <c r="B10" s="216"/>
      <c r="C10" s="217"/>
      <c r="D10" s="218"/>
      <c r="E10" s="220"/>
      <c r="F10" s="229">
        <v>10</v>
      </c>
      <c r="G10" s="238" t="s">
        <v>14</v>
      </c>
      <c r="H10" s="234" t="s">
        <v>692</v>
      </c>
      <c r="I10" s="779"/>
      <c r="J10" s="215" t="str">
        <f>+'24'!J10</f>
        <v>TW 29 RC HW</v>
      </c>
      <c r="K10" s="240"/>
      <c r="L10" s="240"/>
      <c r="M10" s="118">
        <f>+K10+'24'!M10+L10</f>
        <v>21998</v>
      </c>
    </row>
    <row r="11" spans="1:19" ht="13.5" thickBot="1">
      <c r="A11" s="776"/>
      <c r="B11" s="216"/>
      <c r="C11" s="217"/>
      <c r="D11" s="218"/>
      <c r="E11" s="220"/>
      <c r="F11" s="232"/>
      <c r="G11" s="233"/>
      <c r="H11" s="234" t="s">
        <v>693</v>
      </c>
      <c r="I11" s="779"/>
      <c r="J11" s="215" t="str">
        <f>+'24'!J11</f>
        <v>TW 20 RC HW</v>
      </c>
      <c r="K11" s="240"/>
      <c r="L11" s="240"/>
      <c r="M11" s="118">
        <f>+K11+'24'!M11+L11</f>
        <v>104164</v>
      </c>
    </row>
    <row r="12" spans="1:19" ht="13.5" thickBot="1">
      <c r="A12" s="776"/>
      <c r="B12" s="216"/>
      <c r="C12" s="217"/>
      <c r="D12" s="218"/>
      <c r="E12" s="220"/>
      <c r="F12" s="237"/>
      <c r="G12" s="233"/>
      <c r="H12" s="234"/>
      <c r="I12" s="779"/>
      <c r="J12" s="215" t="str">
        <f>+'24'!J12</f>
        <v>TW 19 RC HW</v>
      </c>
      <c r="K12" s="240"/>
      <c r="L12" s="240"/>
      <c r="M12" s="118">
        <f>+K12+'24'!M12+L12</f>
        <v>18863</v>
      </c>
    </row>
    <row r="13" spans="1:19" ht="13.5" thickBot="1">
      <c r="A13" s="776"/>
      <c r="B13" s="216"/>
      <c r="C13" s="217"/>
      <c r="D13" s="217"/>
      <c r="E13" s="220"/>
      <c r="F13" s="237"/>
      <c r="G13" s="233"/>
      <c r="H13" s="234"/>
      <c r="I13" s="780"/>
      <c r="J13" s="215" t="str">
        <f>+'24'!J13</f>
        <v>TW 17 RC HW</v>
      </c>
      <c r="K13" s="240"/>
      <c r="L13" s="240"/>
      <c r="M13" s="118">
        <f>+K13+'24'!M13+L13</f>
        <v>67816</v>
      </c>
    </row>
    <row r="14" spans="1:19" ht="13.5" thickBot="1">
      <c r="A14" s="777"/>
      <c r="B14" s="166" t="s">
        <v>3</v>
      </c>
      <c r="C14" s="100">
        <f>SUM(C7:C13)</f>
        <v>14734</v>
      </c>
      <c r="D14" s="112">
        <f>SUM(D7:D13)</f>
        <v>0</v>
      </c>
      <c r="E14" s="113">
        <f>SUM(E5:E13)</f>
        <v>0</v>
      </c>
      <c r="F14" s="103">
        <f>SUM(F6:F13)</f>
        <v>20</v>
      </c>
      <c r="G14" s="160"/>
      <c r="H14" s="167"/>
      <c r="I14" s="168"/>
      <c r="J14" s="215" t="str">
        <f>+'24'!J14</f>
        <v>F 14 RC HW</v>
      </c>
      <c r="K14" s="240"/>
      <c r="L14" s="240"/>
      <c r="M14" s="118">
        <f>+K14+'24'!M14+L14</f>
        <v>10232</v>
      </c>
    </row>
    <row r="15" spans="1:19" ht="13.5" customHeight="1" thickBot="1">
      <c r="A15" s="775" t="s">
        <v>445</v>
      </c>
      <c r="B15" s="166"/>
      <c r="C15" s="114">
        <f>C14/($C$23+$D$23+$E$23)</f>
        <v>0.83436208165807801</v>
      </c>
      <c r="D15" s="115">
        <f>D14/($C$23+$D$23+$E$23)</f>
        <v>0</v>
      </c>
      <c r="E15" s="116">
        <f>E14/($C$23+$D$23+$E$23)</f>
        <v>0</v>
      </c>
      <c r="F15" s="229"/>
      <c r="G15" s="230" t="s">
        <v>13</v>
      </c>
      <c r="H15" s="231" t="s">
        <v>390</v>
      </c>
      <c r="I15" s="778" t="s">
        <v>697</v>
      </c>
      <c r="J15" s="215" t="str">
        <f>+'24'!J15</f>
        <v>T 16,5 RC HW</v>
      </c>
      <c r="K15" s="240"/>
      <c r="L15" s="240"/>
      <c r="M15" s="118">
        <f>+K15+'24'!M15+L15</f>
        <v>10954</v>
      </c>
    </row>
    <row r="16" spans="1:19" ht="13.5" thickBot="1">
      <c r="A16" s="781"/>
      <c r="B16" s="216" t="s">
        <v>448</v>
      </c>
      <c r="C16" s="223">
        <v>17659</v>
      </c>
      <c r="D16" s="224"/>
      <c r="E16" s="225"/>
      <c r="F16" s="232">
        <v>5</v>
      </c>
      <c r="G16" s="579" t="s">
        <v>13</v>
      </c>
      <c r="H16" s="231" t="s">
        <v>429</v>
      </c>
      <c r="I16" s="779"/>
      <c r="J16" s="215" t="str">
        <f>+'24'!J16</f>
        <v>T 15,5 RC HW</v>
      </c>
      <c r="K16" s="240"/>
      <c r="L16" s="230"/>
      <c r="M16" s="118">
        <f>+K16+'24'!M16+L16</f>
        <v>263708</v>
      </c>
      <c r="Q16" s="150">
        <f>SUM(Q6:Q14)</f>
        <v>480</v>
      </c>
      <c r="R16" s="150">
        <f>SUM(R6:R14)</f>
        <v>563000</v>
      </c>
      <c r="S16" s="150">
        <f>SUM(S6:S14)</f>
        <v>453772</v>
      </c>
    </row>
    <row r="17" spans="1:25" ht="13.5" thickBot="1">
      <c r="A17" s="781"/>
      <c r="B17" s="216"/>
      <c r="C17" s="217"/>
      <c r="D17" s="218"/>
      <c r="E17" s="226"/>
      <c r="F17" s="229">
        <v>10</v>
      </c>
      <c r="G17" s="579" t="s">
        <v>13</v>
      </c>
      <c r="H17" s="234" t="s">
        <v>427</v>
      </c>
      <c r="I17" s="779"/>
      <c r="J17" s="215" t="str">
        <f>+'24'!J17</f>
        <v>T 16 RC HW</v>
      </c>
      <c r="K17" s="240"/>
      <c r="L17" s="230"/>
      <c r="M17" s="118">
        <f>+K17+'24'!M17+L17</f>
        <v>43235</v>
      </c>
      <c r="Q17" s="150">
        <f>480-Q16</f>
        <v>0</v>
      </c>
      <c r="R17" s="150">
        <f>+R16/Q16</f>
        <v>1172.9166666666667</v>
      </c>
      <c r="S17" s="150">
        <f>+S16/Q16</f>
        <v>945.35833333333335</v>
      </c>
    </row>
    <row r="18" spans="1:25" ht="26.25" thickBot="1">
      <c r="A18" s="781"/>
      <c r="B18" s="216"/>
      <c r="C18" s="217"/>
      <c r="D18" s="218"/>
      <c r="E18" s="226"/>
      <c r="F18" s="229"/>
      <c r="G18" s="238" t="s">
        <v>14</v>
      </c>
      <c r="H18" s="234" t="s">
        <v>695</v>
      </c>
      <c r="I18" s="779"/>
      <c r="J18" s="215" t="str">
        <f>+'24'!J18</f>
        <v>T 19 RC HW</v>
      </c>
      <c r="K18" s="240"/>
      <c r="L18" s="240"/>
      <c r="M18" s="118">
        <f>+K18+'24'!M18+L18</f>
        <v>66753</v>
      </c>
      <c r="N18" s="150" t="s">
        <v>415</v>
      </c>
      <c r="O18" s="150">
        <v>1180</v>
      </c>
      <c r="P18" s="150">
        <f>+O18-O18*0.17</f>
        <v>979.4</v>
      </c>
      <c r="Q18" s="150">
        <v>480</v>
      </c>
      <c r="R18" s="150">
        <f>+O18*Q18</f>
        <v>566400</v>
      </c>
      <c r="S18" s="150">
        <f>+P18*Q18</f>
        <v>470112</v>
      </c>
    </row>
    <row r="19" spans="1:25" ht="13.5" thickBot="1">
      <c r="A19" s="781"/>
      <c r="B19" s="216"/>
      <c r="C19" s="217"/>
      <c r="D19" s="218"/>
      <c r="E19" s="226"/>
      <c r="F19" s="236"/>
      <c r="G19" s="233"/>
      <c r="H19" s="234" t="s">
        <v>696</v>
      </c>
      <c r="I19" s="779"/>
      <c r="J19" s="215" t="str">
        <f>+'24'!J19</f>
        <v>T 20 RC HW</v>
      </c>
      <c r="K19" s="240"/>
      <c r="L19" s="240"/>
      <c r="M19" s="118">
        <f>+K19+'24'!M19+L19</f>
        <v>33158</v>
      </c>
      <c r="P19" s="150">
        <f>+O19-O19*0.18</f>
        <v>0</v>
      </c>
      <c r="Q19" s="150">
        <f>480-Q18</f>
        <v>0</v>
      </c>
      <c r="R19" s="150">
        <f>+O19*Q19</f>
        <v>0</v>
      </c>
      <c r="S19" s="150">
        <f>+P19*Q19</f>
        <v>0</v>
      </c>
    </row>
    <row r="20" spans="1:25" ht="13.5" thickBot="1">
      <c r="A20" s="781"/>
      <c r="B20" s="216"/>
      <c r="C20" s="217"/>
      <c r="D20" s="218"/>
      <c r="E20" s="226"/>
      <c r="F20" s="229"/>
      <c r="G20" s="233"/>
      <c r="H20" s="234"/>
      <c r="I20" s="779"/>
      <c r="J20" s="215">
        <f>+'24'!J20</f>
        <v>0</v>
      </c>
      <c r="K20" s="240"/>
      <c r="L20" s="241"/>
      <c r="M20" s="118">
        <f>+K20+'24'!M20+L20</f>
        <v>0</v>
      </c>
      <c r="P20" s="150">
        <f>+O20-O20*0.23</f>
        <v>0</v>
      </c>
      <c r="R20" s="150">
        <f>+O20*Q20</f>
        <v>0</v>
      </c>
      <c r="S20" s="150">
        <f>+P20*Q20</f>
        <v>0</v>
      </c>
    </row>
    <row r="21" spans="1:25" ht="13.5" thickBot="1">
      <c r="A21" s="781"/>
      <c r="B21" s="216"/>
      <c r="C21" s="217"/>
      <c r="D21" s="218"/>
      <c r="E21" s="226"/>
      <c r="F21" s="232"/>
      <c r="G21" s="233"/>
      <c r="H21" s="234"/>
      <c r="I21" s="779"/>
      <c r="J21" s="215">
        <f>+'24'!J21</f>
        <v>0</v>
      </c>
      <c r="K21" s="240"/>
      <c r="L21" s="240"/>
      <c r="M21" s="118">
        <f>+K21+'24'!M21+L21</f>
        <v>0</v>
      </c>
    </row>
    <row r="22" spans="1:25" ht="13.5" thickBot="1">
      <c r="A22" s="781"/>
      <c r="B22" s="216"/>
      <c r="C22" s="217"/>
      <c r="D22" s="218"/>
      <c r="E22" s="226"/>
      <c r="F22" s="237"/>
      <c r="G22" s="233"/>
      <c r="H22" s="234"/>
      <c r="I22" s="780"/>
      <c r="J22" s="215">
        <f>+'24'!J22</f>
        <v>0</v>
      </c>
      <c r="K22" s="240"/>
      <c r="L22" s="240"/>
      <c r="M22" s="118">
        <f>+K22+'24'!M22+L22</f>
        <v>0</v>
      </c>
    </row>
    <row r="23" spans="1:25" ht="13.5" thickBot="1">
      <c r="A23" s="782"/>
      <c r="B23" s="166" t="s">
        <v>3</v>
      </c>
      <c r="C23" s="101">
        <f>SUM(C16:C22)</f>
        <v>17659</v>
      </c>
      <c r="D23" s="112">
        <f>SUM(D16:D22)</f>
        <v>0</v>
      </c>
      <c r="E23" s="113">
        <f>SUM(E18:E22)</f>
        <v>0</v>
      </c>
      <c r="F23" s="103">
        <f>SUM(F15:F22)</f>
        <v>15</v>
      </c>
      <c r="G23" s="160"/>
      <c r="H23" s="167"/>
      <c r="I23" s="170"/>
      <c r="J23" s="215">
        <f>+'24'!J23</f>
        <v>0</v>
      </c>
      <c r="K23" s="240"/>
      <c r="L23" s="240"/>
      <c r="M23" s="118">
        <f>+K23+'24'!M23+L23</f>
        <v>0</v>
      </c>
    </row>
    <row r="24" spans="1:25" ht="13.5" customHeight="1" thickBot="1">
      <c r="A24" s="775" t="s">
        <v>446</v>
      </c>
      <c r="B24" s="171"/>
      <c r="C24" s="114">
        <f>C23/($C$23+$D$23+$E$23)</f>
        <v>1</v>
      </c>
      <c r="D24" s="115">
        <f>D23/($C$23+$D$23+$E$23)</f>
        <v>0</v>
      </c>
      <c r="E24" s="116">
        <f>E23/($C$23+$D$23+$E$23)</f>
        <v>0</v>
      </c>
      <c r="F24" s="229"/>
      <c r="G24" s="230" t="s">
        <v>13</v>
      </c>
      <c r="H24" s="231" t="s">
        <v>390</v>
      </c>
      <c r="I24" s="778" t="s">
        <v>697</v>
      </c>
      <c r="J24" s="215">
        <f>+'24'!J24</f>
        <v>0</v>
      </c>
      <c r="K24" s="240"/>
      <c r="L24" s="240"/>
      <c r="M24" s="118">
        <f>+K24+'24'!M24+L24</f>
        <v>0</v>
      </c>
    </row>
    <row r="25" spans="1:25" ht="13.5" thickBot="1">
      <c r="A25" s="781"/>
      <c r="B25" s="216" t="s">
        <v>448</v>
      </c>
      <c r="C25" s="227">
        <v>16481</v>
      </c>
      <c r="D25" s="218"/>
      <c r="E25" s="226"/>
      <c r="F25" s="232">
        <v>3</v>
      </c>
      <c r="G25" s="579" t="s">
        <v>13</v>
      </c>
      <c r="H25" s="231" t="s">
        <v>429</v>
      </c>
      <c r="I25" s="779"/>
      <c r="J25" s="215">
        <f>+'24'!J25</f>
        <v>0</v>
      </c>
      <c r="K25" s="240"/>
      <c r="L25" s="240"/>
      <c r="M25" s="118">
        <f>+K25+'24'!M25+L25</f>
        <v>0</v>
      </c>
    </row>
    <row r="26" spans="1:25" ht="13.5" thickBot="1">
      <c r="A26" s="781"/>
      <c r="B26" s="216"/>
      <c r="C26" s="227"/>
      <c r="D26" s="218"/>
      <c r="E26" s="228"/>
      <c r="F26" s="229">
        <v>7</v>
      </c>
      <c r="G26" s="579" t="s">
        <v>13</v>
      </c>
      <c r="H26" s="234" t="s">
        <v>425</v>
      </c>
      <c r="I26" s="779"/>
      <c r="J26" s="215">
        <f>+'24'!J26</f>
        <v>0</v>
      </c>
      <c r="K26" s="240"/>
      <c r="L26" s="240"/>
      <c r="M26" s="118">
        <f>+K26+'24'!M26+L26</f>
        <v>0</v>
      </c>
    </row>
    <row r="27" spans="1:25" ht="26.25" thickBot="1">
      <c r="A27" s="781"/>
      <c r="B27" s="216"/>
      <c r="C27" s="217"/>
      <c r="D27" s="218"/>
      <c r="E27" s="226"/>
      <c r="F27" s="229"/>
      <c r="G27" s="238" t="s">
        <v>14</v>
      </c>
      <c r="H27" s="234" t="s">
        <v>694</v>
      </c>
      <c r="I27" s="779"/>
      <c r="J27" s="215">
        <f>+'24'!J27</f>
        <v>0</v>
      </c>
      <c r="K27" s="240"/>
      <c r="L27" s="240"/>
      <c r="M27" s="118">
        <f>+K27+'24'!M27+L27</f>
        <v>0</v>
      </c>
    </row>
    <row r="28" spans="1:25" ht="13.5" thickBot="1">
      <c r="A28" s="781"/>
      <c r="B28" s="216"/>
      <c r="C28" s="217"/>
      <c r="D28" s="218"/>
      <c r="E28" s="226"/>
      <c r="F28" s="232"/>
      <c r="G28" s="233"/>
      <c r="H28" s="234"/>
      <c r="I28" s="779"/>
      <c r="J28" s="215">
        <f>+'24'!J28</f>
        <v>0</v>
      </c>
      <c r="K28" s="240"/>
      <c r="L28" s="240"/>
      <c r="M28" s="118">
        <f>+K28+'24'!M28+L28</f>
        <v>0</v>
      </c>
      <c r="Q28" s="150">
        <f>SUM(Q18:Q26)</f>
        <v>480</v>
      </c>
      <c r="R28" s="150">
        <f>SUM(R18:R26)</f>
        <v>566400</v>
      </c>
      <c r="S28" s="150">
        <f>SUM(S18:S26)</f>
        <v>470112</v>
      </c>
    </row>
    <row r="29" spans="1:25" ht="13.5" thickBot="1">
      <c r="A29" s="781"/>
      <c r="B29" s="216"/>
      <c r="C29" s="217"/>
      <c r="D29" s="218"/>
      <c r="E29" s="226"/>
      <c r="F29" s="237"/>
      <c r="G29" s="233"/>
      <c r="H29" s="234"/>
      <c r="I29" s="779"/>
      <c r="J29" s="215">
        <f>+'24'!J29</f>
        <v>0</v>
      </c>
      <c r="K29" s="240"/>
      <c r="L29" s="240"/>
      <c r="M29" s="118">
        <f>+K29+'24'!M29+L29</f>
        <v>0</v>
      </c>
      <c r="Q29" s="150">
        <f>480-Q28</f>
        <v>0</v>
      </c>
      <c r="R29" s="150">
        <f>+R28/Q28</f>
        <v>1180</v>
      </c>
      <c r="S29" s="150">
        <f>+S28/Q28</f>
        <v>979.4</v>
      </c>
    </row>
    <row r="30" spans="1:25" ht="13.5" thickBot="1">
      <c r="A30" s="781"/>
      <c r="B30" s="216"/>
      <c r="C30" s="227"/>
      <c r="D30" s="218"/>
      <c r="E30" s="226"/>
      <c r="F30" s="237"/>
      <c r="G30" s="233"/>
      <c r="H30" s="234"/>
      <c r="I30" s="779"/>
      <c r="J30" s="215">
        <f>+'24'!J30</f>
        <v>0</v>
      </c>
      <c r="K30" s="240"/>
      <c r="L30" s="240"/>
      <c r="M30" s="118">
        <f>+K30+'24'!M30+L30</f>
        <v>0</v>
      </c>
      <c r="N30" s="156"/>
    </row>
    <row r="31" spans="1:25" ht="13.5" thickBot="1">
      <c r="A31" s="781"/>
      <c r="B31" s="216"/>
      <c r="C31" s="227"/>
      <c r="D31" s="218"/>
      <c r="E31" s="226"/>
      <c r="F31" s="237"/>
      <c r="G31" s="238"/>
      <c r="H31" s="235"/>
      <c r="I31" s="780"/>
      <c r="J31" s="215">
        <f>+'24'!J31</f>
        <v>0</v>
      </c>
      <c r="K31" s="240"/>
      <c r="L31" s="240"/>
      <c r="M31" s="118">
        <f>+K31+'24'!M31+L31</f>
        <v>0</v>
      </c>
      <c r="N31" s="150" t="s">
        <v>415</v>
      </c>
      <c r="O31" s="150">
        <v>1180</v>
      </c>
      <c r="P31" s="150">
        <f>+O31-O31*0.17</f>
        <v>979.4</v>
      </c>
      <c r="Q31" s="150">
        <v>480</v>
      </c>
      <c r="R31" s="150">
        <f>+O31*Q31</f>
        <v>566400</v>
      </c>
      <c r="S31" s="150">
        <f>+P31*Q31</f>
        <v>470112</v>
      </c>
      <c r="T31" s="150" t="s">
        <v>415</v>
      </c>
      <c r="U31" s="150">
        <v>1180</v>
      </c>
      <c r="V31" s="150">
        <f>+U31-U31*0.17</f>
        <v>979.4</v>
      </c>
      <c r="W31" s="150">
        <v>480</v>
      </c>
      <c r="X31" s="150">
        <f>+U31*W31</f>
        <v>566400</v>
      </c>
      <c r="Y31" s="150">
        <f>+V31*W31</f>
        <v>470112</v>
      </c>
    </row>
    <row r="32" spans="1:25" ht="13.5" thickBot="1">
      <c r="A32" s="782"/>
      <c r="B32" s="166" t="s">
        <v>3</v>
      </c>
      <c r="C32" s="100">
        <f>SUM(C25:C31)</f>
        <v>16481</v>
      </c>
      <c r="D32" s="101">
        <f>SUM(D25:D31)</f>
        <v>0</v>
      </c>
      <c r="E32" s="102">
        <f>SUM(E25:E31)</f>
        <v>0</v>
      </c>
      <c r="F32" s="103">
        <f>SUM(F24:F31)</f>
        <v>10</v>
      </c>
      <c r="G32" s="172"/>
      <c r="H32" s="173"/>
      <c r="I32" s="170"/>
      <c r="J32" s="215">
        <f>+'24'!J32</f>
        <v>0</v>
      </c>
      <c r="K32" s="240"/>
      <c r="L32" s="244"/>
      <c r="M32" s="118">
        <f>+K32+'24'!M32+L32</f>
        <v>0</v>
      </c>
      <c r="P32" s="150">
        <f>+O32-O32*0.18</f>
        <v>0</v>
      </c>
      <c r="Q32" s="150">
        <f>480-Q31</f>
        <v>0</v>
      </c>
      <c r="R32" s="150">
        <f>+O32*Q32</f>
        <v>0</v>
      </c>
      <c r="S32" s="150">
        <f>+P32*Q32</f>
        <v>0</v>
      </c>
      <c r="T32" s="150" t="s">
        <v>415</v>
      </c>
      <c r="U32" s="150">
        <v>1180</v>
      </c>
      <c r="V32" s="150">
        <f>+U32-U32*0.17</f>
        <v>979.4</v>
      </c>
      <c r="W32" s="150">
        <v>480</v>
      </c>
      <c r="X32" s="150">
        <f>+U32*W32</f>
        <v>566400</v>
      </c>
      <c r="Y32" s="150">
        <f>+V32*W32</f>
        <v>470112</v>
      </c>
    </row>
    <row r="33" spans="1:25" ht="13.5" thickBot="1">
      <c r="A33" s="174"/>
      <c r="B33" s="175"/>
      <c r="C33" s="104">
        <f>C32/($C$32+$D$32+$E$32)</f>
        <v>1</v>
      </c>
      <c r="D33" s="105">
        <f>D32/($C$32+$D$32+$E$32)</f>
        <v>0</v>
      </c>
      <c r="E33" s="106">
        <f>E32/($C$32+$D$32+$E$32)</f>
        <v>0</v>
      </c>
      <c r="F33" s="107"/>
      <c r="G33" s="176"/>
      <c r="H33" s="177"/>
      <c r="I33" s="178"/>
      <c r="J33" s="122"/>
      <c r="K33" s="123"/>
      <c r="L33" s="214"/>
      <c r="M33" s="120"/>
      <c r="P33" s="150">
        <f>+O33-O33*0.23</f>
        <v>0</v>
      </c>
      <c r="R33" s="150">
        <f>+O33*Q33</f>
        <v>0</v>
      </c>
      <c r="S33" s="150">
        <f>+P33*Q33</f>
        <v>0</v>
      </c>
      <c r="T33" s="150" t="s">
        <v>415</v>
      </c>
      <c r="U33" s="150">
        <v>1180</v>
      </c>
      <c r="V33" s="150">
        <v>967.6</v>
      </c>
      <c r="W33" s="150">
        <v>310</v>
      </c>
      <c r="X33" s="150">
        <f>+U33*W33</f>
        <v>365800</v>
      </c>
      <c r="Y33" s="150">
        <f>+V33*W33</f>
        <v>299956</v>
      </c>
    </row>
    <row r="34" spans="1:25" ht="13.5" thickBot="1">
      <c r="A34" s="771" t="s">
        <v>70</v>
      </c>
      <c r="B34" s="772"/>
      <c r="C34" s="108">
        <f>C14+C23+C32</f>
        <v>48874</v>
      </c>
      <c r="D34" s="108">
        <f>D14+D23+D32</f>
        <v>0</v>
      </c>
      <c r="E34" s="108">
        <f>E14+E23+E32</f>
        <v>0</v>
      </c>
      <c r="F34" s="109">
        <f>F14+F23+F32</f>
        <v>45</v>
      </c>
      <c r="H34" s="179"/>
      <c r="I34" s="179"/>
      <c r="J34" s="124" t="s">
        <v>29</v>
      </c>
      <c r="K34" s="125">
        <f>SUM(K7:K32)</f>
        <v>48874</v>
      </c>
      <c r="L34" s="213">
        <f>SUM(L7:L32)</f>
        <v>0</v>
      </c>
      <c r="M34" s="121">
        <f>SUM(M7:M32)</f>
        <v>1223465</v>
      </c>
    </row>
    <row r="35" spans="1:25" ht="13.5" thickBot="1">
      <c r="A35" s="180"/>
      <c r="B35" s="181"/>
      <c r="C35" s="105">
        <f>C34/($C$34+$D$34+$E$34)</f>
        <v>1</v>
      </c>
      <c r="D35" s="105">
        <f>D34/($C$34+$D$34+$E$34)</f>
        <v>0</v>
      </c>
      <c r="E35" s="110">
        <f>E34/($C$34+$D$34+$E$34)</f>
        <v>0</v>
      </c>
      <c r="K35" s="156"/>
      <c r="L35" s="762" t="s">
        <v>187</v>
      </c>
      <c r="M35" s="762"/>
    </row>
    <row r="36" spans="1:25" ht="13.5" thickBot="1">
      <c r="A36" s="179"/>
      <c r="B36" s="179"/>
      <c r="C36" s="156"/>
      <c r="D36" s="156"/>
      <c r="E36" s="156"/>
      <c r="G36" s="156"/>
      <c r="H36" s="182"/>
      <c r="I36" s="163" t="s">
        <v>41</v>
      </c>
      <c r="J36" s="163" t="s">
        <v>42</v>
      </c>
      <c r="K36" s="183"/>
      <c r="L36" s="163" t="s">
        <v>41</v>
      </c>
      <c r="M36" s="163" t="s">
        <v>42</v>
      </c>
    </row>
    <row r="37" spans="1:25" ht="17.45" customHeight="1" thickBot="1">
      <c r="A37" s="773" t="s">
        <v>71</v>
      </c>
      <c r="B37" s="774"/>
      <c r="C37" s="163" t="s">
        <v>72</v>
      </c>
      <c r="D37" s="184" t="s">
        <v>73</v>
      </c>
      <c r="E37" s="185" t="s">
        <v>74</v>
      </c>
      <c r="F37" s="361"/>
      <c r="G37" s="363"/>
      <c r="H37" s="187" t="s">
        <v>75</v>
      </c>
      <c r="I37" s="245">
        <f>(15*170+13.5*1270)/1440*G42*2.77*1440/1000000</f>
        <v>52.812264499583343</v>
      </c>
      <c r="J37" s="126">
        <f>+I37+'24'!J37</f>
        <v>1324.0334070099011</v>
      </c>
      <c r="K37" s="127" t="s">
        <v>76</v>
      </c>
      <c r="L37" s="421"/>
      <c r="M37" s="422"/>
    </row>
    <row r="38" spans="1:25" ht="17.45" customHeight="1">
      <c r="A38" s="767" t="s">
        <v>13</v>
      </c>
      <c r="B38" s="768"/>
      <c r="C38" s="165">
        <f>SUMIF($G$7:$G$31,"Process",$F$7:$F$31)</f>
        <v>35</v>
      </c>
      <c r="D38" s="119">
        <f>+C38+'24'!D38</f>
        <v>1315</v>
      </c>
      <c r="E38" s="144">
        <f t="shared" ref="E38:E51" si="0">D38/60</f>
        <v>21.916666666666668</v>
      </c>
      <c r="F38" s="361">
        <v>1172.9166666666667</v>
      </c>
      <c r="G38" s="361">
        <v>945.35833333333335</v>
      </c>
      <c r="H38" s="188" t="s">
        <v>77</v>
      </c>
      <c r="I38" s="543">
        <f>7.275+8.293+17.279+16.361</f>
        <v>49.207999999999998</v>
      </c>
      <c r="J38" s="128">
        <f>+I38+'24'!J38</f>
        <v>1254.0609999999999</v>
      </c>
      <c r="K38" s="129" t="s">
        <v>76</v>
      </c>
      <c r="L38" s="423"/>
      <c r="M38" s="424"/>
    </row>
    <row r="39" spans="1:25" ht="17.45" customHeight="1">
      <c r="A39" s="763" t="s">
        <v>14</v>
      </c>
      <c r="B39" s="764"/>
      <c r="C39" s="165">
        <f>SUMIF($G$7:$G$31,"Cleaning",$F$7:$F$31)</f>
        <v>10</v>
      </c>
      <c r="D39" s="119">
        <f>+C39+'24'!D39</f>
        <v>301</v>
      </c>
      <c r="E39" s="144">
        <f t="shared" si="0"/>
        <v>5.0166666666666666</v>
      </c>
      <c r="F39" s="361">
        <v>1180</v>
      </c>
      <c r="G39" s="361">
        <v>979.4</v>
      </c>
      <c r="H39" s="188" t="s">
        <v>78</v>
      </c>
      <c r="I39" s="143"/>
      <c r="J39" s="130">
        <f>J37/G4</f>
        <v>52.961336280396047</v>
      </c>
      <c r="K39" s="131" t="s">
        <v>76</v>
      </c>
      <c r="L39" s="423"/>
      <c r="M39" s="424"/>
    </row>
    <row r="40" spans="1:25" ht="17.45" customHeight="1">
      <c r="A40" s="763" t="s">
        <v>79</v>
      </c>
      <c r="B40" s="764"/>
      <c r="C40" s="165">
        <f>SUMIF($G$7:$G$31,"Mechanical",$F$7:$F$31)</f>
        <v>0</v>
      </c>
      <c r="D40" s="119">
        <f>+C40+'24'!D40</f>
        <v>0</v>
      </c>
      <c r="E40" s="144">
        <f t="shared" si="0"/>
        <v>0</v>
      </c>
      <c r="F40" s="361">
        <v>1180</v>
      </c>
      <c r="G40" s="361">
        <v>979.4</v>
      </c>
      <c r="H40" s="188" t="s">
        <v>80</v>
      </c>
      <c r="I40" s="119">
        <f>(K34+L34)/1000</f>
        <v>48.874000000000002</v>
      </c>
      <c r="J40" s="132">
        <f>+I40+'24'!J40</f>
        <v>1223.4650000000001</v>
      </c>
      <c r="K40" s="131" t="s">
        <v>76</v>
      </c>
      <c r="L40" s="423"/>
      <c r="M40" s="424"/>
    </row>
    <row r="41" spans="1:25" ht="17.45" customHeight="1">
      <c r="A41" s="763" t="s">
        <v>81</v>
      </c>
      <c r="B41" s="764"/>
      <c r="C41" s="165">
        <f>SUMIF($G$7:$G$31,"Electrical",$F$7:$F$31)</f>
        <v>0</v>
      </c>
      <c r="D41" s="119">
        <f>+C41+'24'!D41</f>
        <v>203</v>
      </c>
      <c r="E41" s="144">
        <f t="shared" si="0"/>
        <v>3.3833333333333333</v>
      </c>
      <c r="F41" s="361"/>
      <c r="G41" s="361"/>
      <c r="H41" s="188" t="s">
        <v>82</v>
      </c>
      <c r="I41" s="143"/>
      <c r="J41" s="130">
        <f>J40/G4</f>
        <v>48.938600000000008</v>
      </c>
      <c r="K41" s="131" t="s">
        <v>76</v>
      </c>
      <c r="L41" s="423"/>
      <c r="M41" s="424"/>
      <c r="Q41" s="150">
        <f>SUM(Q31:Q39)</f>
        <v>480</v>
      </c>
      <c r="R41" s="150">
        <f>SUM(R31:R39)</f>
        <v>566400</v>
      </c>
      <c r="S41" s="150">
        <f>SUM(S31:S39)</f>
        <v>470112</v>
      </c>
      <c r="W41" s="150">
        <f>SUM(W31:W39)</f>
        <v>1270</v>
      </c>
      <c r="X41" s="150">
        <f>SUM(X31:X39)</f>
        <v>1498600</v>
      </c>
      <c r="Y41" s="150">
        <f>SUM(Y31:Y39)</f>
        <v>1240180</v>
      </c>
    </row>
    <row r="42" spans="1:25" ht="17.45" customHeight="1">
      <c r="A42" s="763" t="s">
        <v>17</v>
      </c>
      <c r="B42" s="764"/>
      <c r="C42" s="165">
        <f>SUMIF($G$7:$G$31,"Instrument",$F$7:$F$31)</f>
        <v>0</v>
      </c>
      <c r="D42" s="119">
        <f>+C42+'24'!D42</f>
        <v>0</v>
      </c>
      <c r="E42" s="144">
        <f t="shared" si="0"/>
        <v>0</v>
      </c>
      <c r="F42" s="361">
        <f>+(F38*480+F39*480+F40*480)/1440</f>
        <v>1177.6388888888889</v>
      </c>
      <c r="G42" s="361">
        <f>+(G38*480+G39*480+G40*480)/1440</f>
        <v>968.05277777777781</v>
      </c>
      <c r="H42" s="188" t="s">
        <v>83</v>
      </c>
      <c r="I42" s="247" t="s">
        <v>699</v>
      </c>
      <c r="J42" s="133"/>
      <c r="K42" s="131" t="s">
        <v>84</v>
      </c>
      <c r="L42" s="423"/>
      <c r="M42" s="424"/>
      <c r="Q42" s="150">
        <f>480-Q41</f>
        <v>0</v>
      </c>
      <c r="R42" s="150">
        <f>+R41/Q41</f>
        <v>1180</v>
      </c>
      <c r="S42" s="150">
        <f>+S41/Q41</f>
        <v>979.4</v>
      </c>
      <c r="W42" s="150">
        <f>480-W41</f>
        <v>-790</v>
      </c>
      <c r="X42" s="150">
        <f>+X41/W41</f>
        <v>1180</v>
      </c>
      <c r="Y42" s="150">
        <f>+Y41/W41</f>
        <v>976.51968503937007</v>
      </c>
    </row>
    <row r="43" spans="1:25" ht="17.45" customHeight="1">
      <c r="A43" s="763" t="s">
        <v>202</v>
      </c>
      <c r="B43" s="764"/>
      <c r="C43" s="165">
        <f>SUMIF($G$7:$G$31,"Change Grade",$F$7:$F$31)</f>
        <v>0</v>
      </c>
      <c r="D43" s="119">
        <f>+C43+'24'!D43</f>
        <v>0</v>
      </c>
      <c r="E43" s="144">
        <f t="shared" si="0"/>
        <v>0</v>
      </c>
      <c r="F43" s="361"/>
      <c r="G43" s="362"/>
      <c r="H43" s="189" t="s">
        <v>86</v>
      </c>
      <c r="I43" s="119">
        <f>+Report1!AH33</f>
        <v>68.900000000000006</v>
      </c>
      <c r="J43" s="134">
        <f>+I43+'24'!J43</f>
        <v>1684.2</v>
      </c>
      <c r="K43" s="131" t="s">
        <v>76</v>
      </c>
      <c r="L43" s="425">
        <f>+Report1!AN33</f>
        <v>10.199999999999999</v>
      </c>
      <c r="M43" s="426">
        <f>+L43+'24'!M43</f>
        <v>249.2</v>
      </c>
    </row>
    <row r="44" spans="1:25" ht="17.45" customHeight="1">
      <c r="A44" s="763" t="s">
        <v>18</v>
      </c>
      <c r="B44" s="764"/>
      <c r="C44" s="165">
        <f>SUMIF($G$7:$G$31,"PLN",$F$7:$F$31)</f>
        <v>0</v>
      </c>
      <c r="D44" s="119">
        <f>+C44+'24'!D44</f>
        <v>0</v>
      </c>
      <c r="E44" s="144">
        <f t="shared" si="0"/>
        <v>0</v>
      </c>
      <c r="F44" s="361"/>
      <c r="G44" s="362"/>
      <c r="H44" s="189" t="s">
        <v>87</v>
      </c>
      <c r="I44" s="119">
        <f>I43/I38</f>
        <v>1.4001788327101286</v>
      </c>
      <c r="J44" s="135">
        <f>J43/J38</f>
        <v>1.3429968717630165</v>
      </c>
      <c r="K44" s="131" t="s">
        <v>76</v>
      </c>
      <c r="L44" s="427">
        <f>+L43/I38</f>
        <v>0.20728336855795804</v>
      </c>
      <c r="M44" s="428">
        <f>+M43/J38</f>
        <v>0.19871441660333908</v>
      </c>
    </row>
    <row r="45" spans="1:25" ht="17.45" customHeight="1">
      <c r="A45" s="763" t="s">
        <v>19</v>
      </c>
      <c r="B45" s="764"/>
      <c r="C45" s="165">
        <f>SUMIF($G$7:$G$31,"Boiler",$F$7:$F$31)</f>
        <v>0</v>
      </c>
      <c r="D45" s="119">
        <f>+C45+'24'!D45</f>
        <v>0</v>
      </c>
      <c r="E45" s="144">
        <f t="shared" si="0"/>
        <v>0</v>
      </c>
      <c r="F45" s="361"/>
      <c r="G45" s="364"/>
      <c r="H45" s="189" t="s">
        <v>88</v>
      </c>
      <c r="I45" s="119">
        <f>I43/I40</f>
        <v>1.4097475140156321</v>
      </c>
      <c r="J45" s="135">
        <f>J43/J40</f>
        <v>1.376582084489544</v>
      </c>
      <c r="K45" s="131" t="s">
        <v>76</v>
      </c>
      <c r="L45" s="427">
        <f>+L43/I40</f>
        <v>0.20869992224904854</v>
      </c>
      <c r="M45" s="428">
        <f>+M43/J40</f>
        <v>0.20368379970003225</v>
      </c>
      <c r="N45" s="150" t="s">
        <v>469</v>
      </c>
      <c r="O45" s="150">
        <v>1160</v>
      </c>
      <c r="P45" s="150">
        <v>904.8</v>
      </c>
      <c r="Q45" s="150">
        <v>170</v>
      </c>
    </row>
    <row r="46" spans="1:25" ht="17.45" customHeight="1">
      <c r="A46" s="763" t="s">
        <v>89</v>
      </c>
      <c r="B46" s="764"/>
      <c r="C46" s="165">
        <f>SUMIF($G$7:$G$31,"Gas",$F$7:$F$31)</f>
        <v>0</v>
      </c>
      <c r="D46" s="119">
        <f>+C46+'24'!D46</f>
        <v>0</v>
      </c>
      <c r="E46" s="144">
        <f t="shared" si="0"/>
        <v>0</v>
      </c>
      <c r="F46" s="361"/>
      <c r="G46" s="362"/>
      <c r="H46" s="189" t="s">
        <v>90</v>
      </c>
      <c r="I46" s="141">
        <f>+SUMIF(Listrik!P32,"&gt;0")</f>
        <v>40986.639999999919</v>
      </c>
      <c r="J46" s="136">
        <f>+I46+'24'!J46</f>
        <v>989617.2799999998</v>
      </c>
      <c r="K46" s="131" t="s">
        <v>91</v>
      </c>
      <c r="L46" s="427">
        <f>+Listrik!AF32</f>
        <v>0</v>
      </c>
      <c r="M46" s="429">
        <f>+L46+'24'!M46</f>
        <v>0</v>
      </c>
      <c r="N46" s="150" t="s">
        <v>415</v>
      </c>
      <c r="O46" s="150">
        <v>1180</v>
      </c>
      <c r="P46" s="150">
        <v>976.51968503937007</v>
      </c>
      <c r="Q46" s="150">
        <v>1270</v>
      </c>
    </row>
    <row r="47" spans="1:25" ht="17.45" customHeight="1">
      <c r="A47" s="763" t="s">
        <v>92</v>
      </c>
      <c r="B47" s="764"/>
      <c r="C47" s="165">
        <f>SUMIF($G$7:$G$31,"Gas",$F$7:$F$31)</f>
        <v>0</v>
      </c>
      <c r="D47" s="119">
        <f>+C47+'24'!D47</f>
        <v>0</v>
      </c>
      <c r="E47" s="144">
        <f t="shared" si="0"/>
        <v>0</v>
      </c>
      <c r="F47" s="361"/>
      <c r="G47" s="362"/>
      <c r="H47" s="189" t="s">
        <v>93</v>
      </c>
      <c r="I47" s="119">
        <f>I46/I38</f>
        <v>832.92635343846371</v>
      </c>
      <c r="J47" s="136">
        <f>J46/J38</f>
        <v>789.13009813717179</v>
      </c>
      <c r="K47" s="131" t="s">
        <v>25</v>
      </c>
      <c r="L47" s="427">
        <f>+L46/I38</f>
        <v>0</v>
      </c>
      <c r="M47" s="428">
        <f>+M46/J38</f>
        <v>0</v>
      </c>
    </row>
    <row r="48" spans="1:25" ht="17.45" customHeight="1">
      <c r="A48" s="763" t="s">
        <v>15</v>
      </c>
      <c r="B48" s="764"/>
      <c r="C48" s="165">
        <f>SUMIF($G$7:$G$31,"Start Up",$F$7:$F$31)</f>
        <v>0</v>
      </c>
      <c r="D48" s="119">
        <f>+C48+'24'!D48</f>
        <v>0</v>
      </c>
      <c r="E48" s="144">
        <f t="shared" si="0"/>
        <v>0</v>
      </c>
      <c r="F48" s="361"/>
      <c r="G48" s="362"/>
      <c r="H48" s="189" t="s">
        <v>94</v>
      </c>
      <c r="I48" s="119">
        <f>I46/I40</f>
        <v>838.61848835781632</v>
      </c>
      <c r="J48" s="136">
        <f>J46/J40</f>
        <v>808.86439742861432</v>
      </c>
      <c r="K48" s="131" t="s">
        <v>25</v>
      </c>
      <c r="L48" s="427">
        <f>+L46/I38</f>
        <v>0</v>
      </c>
      <c r="M48" s="428">
        <f>+M46/J40</f>
        <v>0</v>
      </c>
    </row>
    <row r="49" spans="1:13" ht="17.45" customHeight="1">
      <c r="A49" s="763" t="s">
        <v>21</v>
      </c>
      <c r="B49" s="764"/>
      <c r="C49" s="165">
        <f>SUMIF($G$7:$G$31,"Others",$F$7:$F$31)</f>
        <v>0</v>
      </c>
      <c r="D49" s="119">
        <f>+C49+'24'!D49</f>
        <v>0</v>
      </c>
      <c r="E49" s="144">
        <f t="shared" si="0"/>
        <v>0</v>
      </c>
      <c r="F49" s="186"/>
      <c r="H49" s="189" t="s">
        <v>95</v>
      </c>
      <c r="I49" s="119">
        <f>+Report1!AB33</f>
        <v>4957.5886846812409</v>
      </c>
      <c r="J49" s="136">
        <f>+I49+'24'!J49</f>
        <v>122190.40259914949</v>
      </c>
      <c r="K49" s="131" t="s">
        <v>96</v>
      </c>
      <c r="L49" s="423"/>
      <c r="M49" s="424"/>
    </row>
    <row r="50" spans="1:13" ht="17.45" customHeight="1">
      <c r="A50" s="763" t="s">
        <v>20</v>
      </c>
      <c r="B50" s="764"/>
      <c r="C50" s="165">
        <f>SUMIF($G$7:$G$31,"Steam",$F$7:$F$31)</f>
        <v>0</v>
      </c>
      <c r="D50" s="119">
        <f>+C50+'24'!D50</f>
        <v>0</v>
      </c>
      <c r="E50" s="144">
        <f t="shared" si="0"/>
        <v>0</v>
      </c>
      <c r="F50" s="186"/>
      <c r="H50" s="189" t="s">
        <v>97</v>
      </c>
      <c r="I50" s="141">
        <f>I49/I38</f>
        <v>100.74761592995532</v>
      </c>
      <c r="J50" s="134">
        <f>J49/J38</f>
        <v>97.435772740839155</v>
      </c>
      <c r="K50" s="131" t="s">
        <v>96</v>
      </c>
      <c r="L50" s="423"/>
      <c r="M50" s="424"/>
    </row>
    <row r="51" spans="1:13" ht="17.45" customHeight="1" thickBot="1">
      <c r="A51" s="765" t="s">
        <v>98</v>
      </c>
      <c r="B51" s="766"/>
      <c r="C51" s="165">
        <f>SUMIF($G$7:$G$31,"Planned shut",$F$7:$F$31)</f>
        <v>0</v>
      </c>
      <c r="D51" s="119">
        <f>+C51+'24'!D51</f>
        <v>609</v>
      </c>
      <c r="E51" s="144">
        <f t="shared" si="0"/>
        <v>10.15</v>
      </c>
      <c r="F51" s="186"/>
      <c r="H51" s="191" t="s">
        <v>99</v>
      </c>
      <c r="I51" s="142">
        <f>I49/I40</f>
        <v>101.43611500350372</v>
      </c>
      <c r="J51" s="137">
        <f>J49/J40</f>
        <v>99.872413676851792</v>
      </c>
      <c r="K51" s="138" t="s">
        <v>96</v>
      </c>
      <c r="L51" s="423"/>
      <c r="M51" s="424"/>
    </row>
    <row r="52" spans="1:13" ht="13.5" thickBot="1">
      <c r="A52" s="767" t="s">
        <v>29</v>
      </c>
      <c r="B52" s="768"/>
      <c r="C52" s="145">
        <f>SUM(C38:C51)</f>
        <v>45</v>
      </c>
      <c r="D52" s="145">
        <f>SUM(D38:D51)</f>
        <v>2428</v>
      </c>
      <c r="E52" s="146">
        <f>SUM(E38:E51)</f>
        <v>40.466666666666669</v>
      </c>
      <c r="F52" s="186"/>
      <c r="H52" s="192"/>
      <c r="I52" s="193"/>
      <c r="J52" s="139"/>
      <c r="K52" s="140"/>
      <c r="L52" s="430"/>
      <c r="M52" s="431"/>
    </row>
    <row r="53" spans="1:13" ht="13.5" thickBot="1">
      <c r="A53" s="769"/>
      <c r="B53" s="770"/>
      <c r="C53" s="147">
        <f>C52/(24*60)</f>
        <v>3.125E-2</v>
      </c>
      <c r="D53" s="147">
        <f>D52/(24*60*G4)</f>
        <v>6.7444444444444446E-2</v>
      </c>
      <c r="E53" s="148">
        <f>E52/(G4*24)</f>
        <v>6.7444444444444446E-2</v>
      </c>
      <c r="F53" s="186"/>
    </row>
    <row r="54" spans="1:13">
      <c r="E54" s="194"/>
      <c r="F54" s="186"/>
    </row>
    <row r="55" spans="1:13">
      <c r="E55" s="194"/>
    </row>
    <row r="56" spans="1:13">
      <c r="A56" s="195" t="s">
        <v>100</v>
      </c>
      <c r="B56" s="196"/>
      <c r="C56" s="197"/>
      <c r="D56" s="197"/>
      <c r="E56" s="197"/>
      <c r="F56" s="198"/>
      <c r="G56" s="197"/>
      <c r="H56" s="199"/>
      <c r="I56" s="200" t="s">
        <v>101</v>
      </c>
      <c r="J56" s="201">
        <f>+D34+'24'!J56</f>
        <v>3992</v>
      </c>
      <c r="K56" s="202">
        <f>J56/(J40+J56/1000)/1000</f>
        <v>3.2522524210624073E-3</v>
      </c>
    </row>
    <row r="57" spans="1:13">
      <c r="A57" s="177"/>
      <c r="I57" s="200" t="s">
        <v>102</v>
      </c>
      <c r="J57" s="201">
        <f>+E34+'24'!J57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S61"/>
  <sheetViews>
    <sheetView zoomScale="80" zoomScaleNormal="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85546875" style="150" customWidth="1"/>
    <col min="11" max="11" width="12.5703125" style="150" bestFit="1" customWidth="1"/>
    <col min="12" max="12" width="8.28515625" style="150" customWidth="1"/>
    <col min="13" max="13" width="15.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24</v>
      </c>
      <c r="H4" s="155" t="str">
        <f>+'1'!H4</f>
        <v>.11.25</v>
      </c>
      <c r="J4" s="150">
        <f>399.1+353.9+248</f>
        <v>1001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469</v>
      </c>
      <c r="O6" s="150">
        <v>1160</v>
      </c>
      <c r="P6" s="150">
        <f>+O6-O6*0.23</f>
        <v>893.2</v>
      </c>
      <c r="Q6" s="150">
        <v>480</v>
      </c>
      <c r="R6" s="150">
        <f>+O6*Q6</f>
        <v>556800</v>
      </c>
      <c r="S6" s="150">
        <f>+P6*Q6</f>
        <v>428736</v>
      </c>
    </row>
    <row r="7" spans="1:19" ht="13.5" customHeight="1" thickBot="1">
      <c r="A7" s="775" t="s">
        <v>460</v>
      </c>
      <c r="B7" s="216" t="s">
        <v>479</v>
      </c>
      <c r="C7" s="217">
        <v>16395</v>
      </c>
      <c r="D7" s="218"/>
      <c r="E7" s="219"/>
      <c r="F7" s="229"/>
      <c r="G7" s="230" t="s">
        <v>13</v>
      </c>
      <c r="H7" s="231" t="s">
        <v>390</v>
      </c>
      <c r="I7" s="778" t="s">
        <v>679</v>
      </c>
      <c r="J7" s="215" t="str">
        <f>+'23'!J7</f>
        <v>T 13,5 RC HW</v>
      </c>
      <c r="K7" s="239"/>
      <c r="L7" s="243"/>
      <c r="M7" s="118">
        <f>+K7+'23'!M7+L7</f>
        <v>263166</v>
      </c>
      <c r="O7" s="150">
        <v>1160</v>
      </c>
      <c r="P7" s="150">
        <f>+O7-O7*0.23</f>
        <v>893.2</v>
      </c>
      <c r="Q7" s="150">
        <v>480</v>
      </c>
      <c r="R7" s="150">
        <f>+O7*Q7</f>
        <v>556800</v>
      </c>
      <c r="S7" s="150">
        <f>+P7*Q7</f>
        <v>428736</v>
      </c>
    </row>
    <row r="8" spans="1:19" ht="13.5" thickBot="1">
      <c r="A8" s="776"/>
      <c r="B8" s="216"/>
      <c r="C8" s="217"/>
      <c r="D8" s="218"/>
      <c r="E8" s="220"/>
      <c r="F8" s="232">
        <v>5</v>
      </c>
      <c r="G8" s="579" t="s">
        <v>13</v>
      </c>
      <c r="H8" s="231" t="s">
        <v>426</v>
      </c>
      <c r="I8" s="779"/>
      <c r="J8" s="215" t="str">
        <f>+'23'!J8</f>
        <v>T 14 RC HW</v>
      </c>
      <c r="K8" s="240"/>
      <c r="L8" s="240"/>
      <c r="M8" s="118">
        <f>+K8+'23'!M8+L8</f>
        <v>97781</v>
      </c>
      <c r="O8" s="150">
        <v>1160</v>
      </c>
      <c r="P8" s="150">
        <f>+O8-O8*0.23</f>
        <v>893.2</v>
      </c>
      <c r="Q8" s="150">
        <v>480</v>
      </c>
      <c r="R8" s="150">
        <f>+O8*Q8</f>
        <v>556800</v>
      </c>
      <c r="S8" s="150">
        <f>+P8*Q8</f>
        <v>428736</v>
      </c>
    </row>
    <row r="9" spans="1:19" ht="13.5" thickBot="1">
      <c r="A9" s="776"/>
      <c r="B9" s="216"/>
      <c r="C9" s="217"/>
      <c r="D9" s="218"/>
      <c r="E9" s="221"/>
      <c r="F9" s="229">
        <v>9</v>
      </c>
      <c r="G9" s="579" t="s">
        <v>13</v>
      </c>
      <c r="H9" s="234" t="s">
        <v>397</v>
      </c>
      <c r="I9" s="779"/>
      <c r="J9" s="215" t="str">
        <f>+'23'!J9</f>
        <v>T 15 RC HW</v>
      </c>
      <c r="K9" s="240">
        <f>+C34</f>
        <v>51287</v>
      </c>
      <c r="L9" s="240"/>
      <c r="M9" s="118">
        <f>+K9+'23'!M9+L9</f>
        <v>172763</v>
      </c>
    </row>
    <row r="10" spans="1:19" ht="26.25" thickBot="1">
      <c r="A10" s="776"/>
      <c r="B10" s="216"/>
      <c r="C10" s="217"/>
      <c r="D10" s="218"/>
      <c r="E10" s="220"/>
      <c r="F10" s="229">
        <v>8</v>
      </c>
      <c r="G10" s="238" t="s">
        <v>14</v>
      </c>
      <c r="H10" s="234" t="s">
        <v>687</v>
      </c>
      <c r="I10" s="779"/>
      <c r="J10" s="215" t="str">
        <f>+'23'!J10</f>
        <v>TW 29 RC HW</v>
      </c>
      <c r="K10" s="240"/>
      <c r="L10" s="240"/>
      <c r="M10" s="118">
        <f>+K10+'23'!M10+L10</f>
        <v>21998</v>
      </c>
    </row>
    <row r="11" spans="1:19" ht="13.5" thickBot="1">
      <c r="A11" s="776"/>
      <c r="B11" s="216"/>
      <c r="C11" s="217"/>
      <c r="D11" s="218"/>
      <c r="E11" s="220"/>
      <c r="F11" s="229"/>
      <c r="G11" s="233"/>
      <c r="H11" s="234"/>
      <c r="I11" s="779"/>
      <c r="J11" s="215" t="str">
        <f>+'23'!J11</f>
        <v>TW 20 RC HW</v>
      </c>
      <c r="K11" s="240"/>
      <c r="L11" s="240"/>
      <c r="M11" s="118">
        <f>+K11+'23'!M11+L11</f>
        <v>104164</v>
      </c>
    </row>
    <row r="12" spans="1:19" ht="13.5" thickBot="1">
      <c r="A12" s="776"/>
      <c r="B12" s="216"/>
      <c r="C12" s="217"/>
      <c r="D12" s="218"/>
      <c r="E12" s="220"/>
      <c r="F12" s="229"/>
      <c r="G12" s="233"/>
      <c r="H12" s="234"/>
      <c r="I12" s="779"/>
      <c r="J12" s="215" t="str">
        <f>+'23'!J12</f>
        <v>TW 19 RC HW</v>
      </c>
      <c r="K12" s="240"/>
      <c r="L12" s="240"/>
      <c r="M12" s="118">
        <f>+K12+'23'!M12+L12</f>
        <v>18863</v>
      </c>
    </row>
    <row r="13" spans="1:19" ht="13.5" thickBot="1">
      <c r="A13" s="776"/>
      <c r="B13" s="216"/>
      <c r="C13" s="217"/>
      <c r="D13" s="217"/>
      <c r="E13" s="220"/>
      <c r="F13" s="229"/>
      <c r="G13" s="233"/>
      <c r="H13" s="234"/>
      <c r="I13" s="780"/>
      <c r="J13" s="215" t="str">
        <f>+'23'!J13</f>
        <v>TW 17 RC HW</v>
      </c>
      <c r="K13" s="240"/>
      <c r="L13" s="240"/>
      <c r="M13" s="118">
        <f>+K13+'23'!M13+L13</f>
        <v>67816</v>
      </c>
    </row>
    <row r="14" spans="1:19" ht="13.5" thickBot="1">
      <c r="A14" s="777"/>
      <c r="B14" s="166" t="s">
        <v>3</v>
      </c>
      <c r="C14" s="100">
        <f>SUM(C7:C13)</f>
        <v>16395</v>
      </c>
      <c r="D14" s="112">
        <f>SUM(D7:D13)</f>
        <v>0</v>
      </c>
      <c r="E14" s="113">
        <f>SUM(E5:E13)</f>
        <v>0</v>
      </c>
      <c r="F14" s="103">
        <f>SUM(F6:F13)</f>
        <v>22</v>
      </c>
      <c r="G14" s="160"/>
      <c r="H14" s="167"/>
      <c r="I14" s="168"/>
      <c r="J14" s="215" t="str">
        <f>+'23'!J14</f>
        <v>F 14 RC HW</v>
      </c>
      <c r="K14" s="240"/>
      <c r="L14" s="240"/>
      <c r="M14" s="118">
        <f>+K14+'23'!M14+L14</f>
        <v>10232</v>
      </c>
    </row>
    <row r="15" spans="1:19" ht="13.5" customHeight="1" thickBot="1">
      <c r="A15" s="775" t="s">
        <v>445</v>
      </c>
      <c r="B15" s="166"/>
      <c r="C15" s="114">
        <f>C14/($C$23+$D$23+$E$23)</f>
        <v>0.96085096407431281</v>
      </c>
      <c r="D15" s="115">
        <f>D14/($C$23+$D$23+$E$23)</f>
        <v>0</v>
      </c>
      <c r="E15" s="116">
        <f>E14/($C$23+$D$23+$E$23)</f>
        <v>0</v>
      </c>
      <c r="F15" s="229"/>
      <c r="G15" s="230" t="s">
        <v>13</v>
      </c>
      <c r="H15" s="231" t="s">
        <v>390</v>
      </c>
      <c r="I15" s="778" t="s">
        <v>679</v>
      </c>
      <c r="J15" s="215" t="str">
        <f>+'23'!J15</f>
        <v>T 16,5 RC HW</v>
      </c>
      <c r="K15" s="240"/>
      <c r="L15" s="240"/>
      <c r="M15" s="118">
        <f>+K15+'23'!M15+L15</f>
        <v>10954</v>
      </c>
    </row>
    <row r="16" spans="1:19" ht="13.5" thickBot="1">
      <c r="A16" s="781"/>
      <c r="B16" s="216" t="s">
        <v>479</v>
      </c>
      <c r="C16" s="223">
        <v>17063</v>
      </c>
      <c r="D16" s="224"/>
      <c r="E16" s="225"/>
      <c r="F16" s="232">
        <v>3</v>
      </c>
      <c r="G16" s="579" t="s">
        <v>13</v>
      </c>
      <c r="H16" s="231" t="s">
        <v>429</v>
      </c>
      <c r="I16" s="779"/>
      <c r="J16" s="215" t="str">
        <f>+'23'!J16</f>
        <v>T 15,5 RC HW</v>
      </c>
      <c r="K16" s="240"/>
      <c r="L16" s="230"/>
      <c r="M16" s="118">
        <f>+K16+'23'!M16+L16</f>
        <v>263708</v>
      </c>
      <c r="Q16" s="150">
        <f>SUM(Q6:Q14)</f>
        <v>1440</v>
      </c>
      <c r="R16" s="150">
        <f>SUM(R6:R14)</f>
        <v>1670400</v>
      </c>
      <c r="S16" s="150">
        <f>SUM(S6:S14)</f>
        <v>1286208</v>
      </c>
    </row>
    <row r="17" spans="1:19" ht="13.5" thickBot="1">
      <c r="A17" s="781"/>
      <c r="B17" s="216"/>
      <c r="C17" s="217"/>
      <c r="D17" s="218"/>
      <c r="E17" s="226"/>
      <c r="F17" s="229">
        <v>10</v>
      </c>
      <c r="G17" s="579" t="s">
        <v>13</v>
      </c>
      <c r="H17" s="234" t="s">
        <v>427</v>
      </c>
      <c r="I17" s="779"/>
      <c r="J17" s="215" t="str">
        <f>+'23'!J17</f>
        <v>T 16 RC HW</v>
      </c>
      <c r="K17" s="240"/>
      <c r="L17" s="230"/>
      <c r="M17" s="118">
        <f>+K17+'23'!M17+L17</f>
        <v>43235</v>
      </c>
      <c r="Q17" s="150">
        <f>480-Q16</f>
        <v>-960</v>
      </c>
      <c r="R17" s="150">
        <f>+R16/Q16</f>
        <v>1160</v>
      </c>
      <c r="S17" s="150">
        <f>+S16/Q16</f>
        <v>893.2</v>
      </c>
    </row>
    <row r="18" spans="1:19" ht="26.25" thickBot="1">
      <c r="A18" s="781"/>
      <c r="B18" s="216"/>
      <c r="C18" s="217"/>
      <c r="D18" s="218"/>
      <c r="E18" s="226"/>
      <c r="F18" s="229"/>
      <c r="G18" s="238" t="s">
        <v>14</v>
      </c>
      <c r="H18" s="234" t="s">
        <v>686</v>
      </c>
      <c r="I18" s="779"/>
      <c r="J18" s="215" t="str">
        <f>+'23'!J18</f>
        <v>T 19 RC HW</v>
      </c>
      <c r="K18" s="240"/>
      <c r="L18" s="240"/>
      <c r="M18" s="118">
        <f>+K18+'23'!M18+L18</f>
        <v>66753</v>
      </c>
    </row>
    <row r="19" spans="1:19" ht="13.5" thickBot="1">
      <c r="A19" s="781"/>
      <c r="B19" s="216"/>
      <c r="C19" s="217"/>
      <c r="D19" s="218"/>
      <c r="E19" s="226"/>
      <c r="F19" s="236"/>
      <c r="G19" s="233"/>
      <c r="H19" s="234"/>
      <c r="I19" s="779"/>
      <c r="J19" s="215" t="str">
        <f>+'23'!J19</f>
        <v>T 20 RC HW</v>
      </c>
      <c r="K19" s="240"/>
      <c r="L19" s="240"/>
      <c r="M19" s="118">
        <f>+K19+'23'!M19+L19</f>
        <v>33158</v>
      </c>
    </row>
    <row r="20" spans="1:19" ht="13.5" thickBot="1">
      <c r="A20" s="781"/>
      <c r="B20" s="216"/>
      <c r="C20" s="217"/>
      <c r="D20" s="218"/>
      <c r="E20" s="226"/>
      <c r="F20" s="229"/>
      <c r="G20" s="233"/>
      <c r="H20" s="234"/>
      <c r="I20" s="779"/>
      <c r="J20" s="215">
        <f>+'23'!J20</f>
        <v>0</v>
      </c>
      <c r="K20" s="240"/>
      <c r="L20" s="241"/>
      <c r="M20" s="118">
        <f>+K20+'23'!M20+L20</f>
        <v>0</v>
      </c>
    </row>
    <row r="21" spans="1:19" ht="13.5" thickBot="1">
      <c r="A21" s="781"/>
      <c r="B21" s="216"/>
      <c r="C21" s="217"/>
      <c r="D21" s="218"/>
      <c r="E21" s="226"/>
      <c r="F21" s="232"/>
      <c r="G21" s="233"/>
      <c r="H21" s="234"/>
      <c r="I21" s="779"/>
      <c r="J21" s="215">
        <f>+'23'!J21</f>
        <v>0</v>
      </c>
      <c r="K21" s="240"/>
      <c r="L21" s="240"/>
      <c r="M21" s="118">
        <f>+K21+'23'!M21+L21</f>
        <v>0</v>
      </c>
    </row>
    <row r="22" spans="1:19" ht="13.5" thickBot="1">
      <c r="A22" s="781"/>
      <c r="B22" s="216"/>
      <c r="C22" s="217"/>
      <c r="D22" s="218"/>
      <c r="E22" s="226"/>
      <c r="F22" s="237"/>
      <c r="G22" s="233"/>
      <c r="H22" s="234"/>
      <c r="I22" s="780"/>
      <c r="J22" s="215">
        <f>+'23'!J22</f>
        <v>0</v>
      </c>
      <c r="K22" s="240"/>
      <c r="L22" s="240"/>
      <c r="M22" s="118">
        <f>+K22+'23'!M22+L22</f>
        <v>0</v>
      </c>
    </row>
    <row r="23" spans="1:19" ht="14.25" customHeight="1" thickBot="1">
      <c r="A23" s="782"/>
      <c r="B23" s="166" t="s">
        <v>3</v>
      </c>
      <c r="C23" s="101">
        <f>SUM(C16:C22)</f>
        <v>17063</v>
      </c>
      <c r="D23" s="112">
        <f>SUM(D16:D22)</f>
        <v>0</v>
      </c>
      <c r="E23" s="113">
        <f>SUM(E18:E22)</f>
        <v>0</v>
      </c>
      <c r="F23" s="103">
        <f>SUM(F15:F22)</f>
        <v>13</v>
      </c>
      <c r="G23" s="160"/>
      <c r="H23" s="167"/>
      <c r="I23" s="170"/>
      <c r="J23" s="215">
        <f>+'23'!J23</f>
        <v>0</v>
      </c>
      <c r="K23" s="240"/>
      <c r="L23" s="240"/>
      <c r="M23" s="118">
        <f>+K23+'23'!M23+L23</f>
        <v>0</v>
      </c>
    </row>
    <row r="24" spans="1:19" ht="13.5" customHeight="1" thickBot="1">
      <c r="A24" s="775" t="s">
        <v>446</v>
      </c>
      <c r="B24" s="171"/>
      <c r="C24" s="114">
        <f>C23/($C$23+$D$23+$E$23)</f>
        <v>1</v>
      </c>
      <c r="D24" s="115">
        <f>D23/($C$23+$D$23+$E$23)</f>
        <v>0</v>
      </c>
      <c r="E24" s="116">
        <f>E23/($C$23+$D$23+$E$23)</f>
        <v>0</v>
      </c>
      <c r="F24" s="229"/>
      <c r="G24" s="230" t="s">
        <v>13</v>
      </c>
      <c r="H24" s="231" t="s">
        <v>390</v>
      </c>
      <c r="I24" s="778" t="s">
        <v>679</v>
      </c>
      <c r="J24" s="215">
        <f>+'23'!J24</f>
        <v>0</v>
      </c>
      <c r="K24" s="240"/>
      <c r="L24" s="240"/>
      <c r="M24" s="118">
        <f>+K24+'23'!M24+L24</f>
        <v>0</v>
      </c>
    </row>
    <row r="25" spans="1:19" ht="13.5" thickBot="1">
      <c r="A25" s="781"/>
      <c r="B25" s="216" t="s">
        <v>479</v>
      </c>
      <c r="C25" s="227">
        <v>17829</v>
      </c>
      <c r="D25" s="218"/>
      <c r="E25" s="226"/>
      <c r="F25" s="232">
        <v>6</v>
      </c>
      <c r="G25" s="579" t="s">
        <v>13</v>
      </c>
      <c r="H25" s="231" t="s">
        <v>426</v>
      </c>
      <c r="I25" s="779"/>
      <c r="J25" s="215">
        <f>+'23'!J25</f>
        <v>0</v>
      </c>
      <c r="K25" s="240"/>
      <c r="L25" s="240"/>
      <c r="M25" s="118">
        <f>+K25+'23'!M25+L25</f>
        <v>0</v>
      </c>
    </row>
    <row r="26" spans="1:19" ht="13.5" thickBot="1">
      <c r="A26" s="781"/>
      <c r="B26" s="216"/>
      <c r="C26" s="227"/>
      <c r="D26" s="218"/>
      <c r="E26" s="228"/>
      <c r="F26" s="229">
        <v>10</v>
      </c>
      <c r="G26" s="579" t="s">
        <v>13</v>
      </c>
      <c r="H26" s="234" t="s">
        <v>427</v>
      </c>
      <c r="I26" s="779"/>
      <c r="J26" s="215">
        <f>+'23'!J26</f>
        <v>0</v>
      </c>
      <c r="K26" s="240"/>
      <c r="L26" s="240"/>
      <c r="M26" s="118">
        <f>+K26+'23'!M26+L26</f>
        <v>0</v>
      </c>
    </row>
    <row r="27" spans="1:19" ht="26.25" thickBot="1">
      <c r="A27" s="781"/>
      <c r="B27" s="216"/>
      <c r="C27" s="217"/>
      <c r="D27" s="218"/>
      <c r="E27" s="226"/>
      <c r="F27" s="229"/>
      <c r="G27" s="238" t="s">
        <v>14</v>
      </c>
      <c r="H27" s="234" t="s">
        <v>685</v>
      </c>
      <c r="I27" s="779"/>
      <c r="J27" s="215">
        <f>+'23'!J27</f>
        <v>0</v>
      </c>
      <c r="K27" s="240"/>
      <c r="L27" s="240"/>
      <c r="M27" s="118">
        <f>+K27+'23'!M27+L27</f>
        <v>0</v>
      </c>
    </row>
    <row r="28" spans="1:19" ht="13.5" thickBot="1">
      <c r="A28" s="781"/>
      <c r="B28" s="216"/>
      <c r="C28" s="217"/>
      <c r="D28" s="218"/>
      <c r="E28" s="226"/>
      <c r="F28" s="232"/>
      <c r="G28" s="233"/>
      <c r="H28" s="234"/>
      <c r="I28" s="779"/>
      <c r="J28" s="215">
        <f>+'23'!J28</f>
        <v>0</v>
      </c>
      <c r="K28" s="240"/>
      <c r="L28" s="240"/>
      <c r="M28" s="118">
        <f>+K28+'23'!M28+L28</f>
        <v>0</v>
      </c>
    </row>
    <row r="29" spans="1:19" ht="13.5" thickBot="1">
      <c r="A29" s="781"/>
      <c r="B29" s="216"/>
      <c r="C29" s="217"/>
      <c r="D29" s="218"/>
      <c r="E29" s="226"/>
      <c r="F29" s="237"/>
      <c r="G29" s="233"/>
      <c r="H29" s="234"/>
      <c r="I29" s="779"/>
      <c r="J29" s="215">
        <f>+'23'!J29</f>
        <v>0</v>
      </c>
      <c r="K29" s="240"/>
      <c r="L29" s="240"/>
      <c r="M29" s="118">
        <f>+K29+'23'!M29+L29</f>
        <v>0</v>
      </c>
    </row>
    <row r="30" spans="1:19" ht="13.5" thickBot="1">
      <c r="A30" s="781"/>
      <c r="B30" s="216"/>
      <c r="C30" s="227"/>
      <c r="D30" s="218"/>
      <c r="E30" s="226"/>
      <c r="F30" s="237"/>
      <c r="G30" s="233"/>
      <c r="H30" s="234"/>
      <c r="I30" s="779"/>
      <c r="J30" s="215">
        <f>+'23'!J30</f>
        <v>0</v>
      </c>
      <c r="K30" s="240"/>
      <c r="L30" s="240"/>
      <c r="M30" s="118">
        <f>+K30+'23'!M30+L30</f>
        <v>0</v>
      </c>
      <c r="N30" s="156"/>
    </row>
    <row r="31" spans="1:19" ht="13.5" thickBot="1">
      <c r="A31" s="781"/>
      <c r="B31" s="216"/>
      <c r="C31" s="227"/>
      <c r="D31" s="218"/>
      <c r="E31" s="226"/>
      <c r="F31" s="237"/>
      <c r="G31" s="238"/>
      <c r="H31" s="235"/>
      <c r="I31" s="780"/>
      <c r="J31" s="215">
        <f>+'23'!J31</f>
        <v>0</v>
      </c>
      <c r="K31" s="240"/>
      <c r="L31" s="240"/>
      <c r="M31" s="118">
        <f>+K31+'23'!M31+L31</f>
        <v>0</v>
      </c>
    </row>
    <row r="32" spans="1:19" ht="13.5" thickBot="1">
      <c r="A32" s="782"/>
      <c r="B32" s="166" t="s">
        <v>3</v>
      </c>
      <c r="C32" s="100">
        <f>SUM(C25:C31)</f>
        <v>17829</v>
      </c>
      <c r="D32" s="101">
        <f>SUM(D25:D31)</f>
        <v>0</v>
      </c>
      <c r="E32" s="102">
        <f>SUM(E25:E31)</f>
        <v>0</v>
      </c>
      <c r="F32" s="103">
        <f>SUM(F24:F31)</f>
        <v>16</v>
      </c>
      <c r="G32" s="172"/>
      <c r="H32" s="173"/>
      <c r="I32" s="170"/>
      <c r="J32" s="215">
        <f>+'23'!J32</f>
        <v>0</v>
      </c>
      <c r="K32" s="242"/>
      <c r="L32" s="244"/>
      <c r="M32" s="118">
        <f>+K32+'23'!M32+L32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51287</v>
      </c>
      <c r="D34" s="108">
        <f>D14+D23+D32</f>
        <v>0</v>
      </c>
      <c r="E34" s="108">
        <f>E14+E23+E32</f>
        <v>0</v>
      </c>
      <c r="F34" s="109">
        <f>F14+F23+F32</f>
        <v>51</v>
      </c>
      <c r="H34" s="179"/>
      <c r="I34" s="179"/>
      <c r="J34" s="124" t="s">
        <v>29</v>
      </c>
      <c r="K34" s="125">
        <f>SUM(K7:K32)</f>
        <v>51287</v>
      </c>
      <c r="L34" s="213">
        <f>SUM(L7:L32)</f>
        <v>0</v>
      </c>
      <c r="M34" s="121">
        <f>SUM(M7:M32)</f>
        <v>1174591</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(15*1440)/1440*G42*2.77*1440/1000000</f>
        <v>53.441942399999995</v>
      </c>
      <c r="J37" s="126">
        <f>+I37+'23'!J37</f>
        <v>1271.2211425103178</v>
      </c>
      <c r="K37" s="127" t="s">
        <v>76</v>
      </c>
      <c r="L37" s="421"/>
      <c r="M37" s="422"/>
    </row>
    <row r="38" spans="1:14" ht="17.45" customHeight="1">
      <c r="A38" s="767" t="s">
        <v>13</v>
      </c>
      <c r="B38" s="768"/>
      <c r="C38" s="165">
        <f>SUMIF($G$7:$G$31,"Process",$F$7:$F$31)</f>
        <v>43</v>
      </c>
      <c r="D38" s="119">
        <f>+C38+'23'!D38</f>
        <v>1280</v>
      </c>
      <c r="E38" s="144">
        <f t="shared" ref="E38:E51" si="0">D38/60</f>
        <v>21.333333333333332</v>
      </c>
      <c r="F38" s="361">
        <v>1160</v>
      </c>
      <c r="G38" s="361">
        <v>893.2</v>
      </c>
      <c r="H38" s="188" t="s">
        <v>77</v>
      </c>
      <c r="I38" s="543">
        <f>18.051+17.426+16.933</f>
        <v>52.41</v>
      </c>
      <c r="J38" s="128">
        <f>+I38+'23'!J38</f>
        <v>1204.8529999999998</v>
      </c>
      <c r="K38" s="129" t="s">
        <v>76</v>
      </c>
      <c r="L38" s="423"/>
      <c r="M38" s="424"/>
      <c r="N38" s="544"/>
    </row>
    <row r="39" spans="1:14" ht="17.45" customHeight="1">
      <c r="A39" s="763" t="s">
        <v>14</v>
      </c>
      <c r="B39" s="764"/>
      <c r="C39" s="165">
        <f>SUMIF($G$7:$G$31,"Cleaning",$F$7:$F$31)</f>
        <v>8</v>
      </c>
      <c r="D39" s="119">
        <f>+C39+'23'!D39</f>
        <v>291</v>
      </c>
      <c r="E39" s="144">
        <f t="shared" si="0"/>
        <v>4.8499999999999996</v>
      </c>
      <c r="F39" s="361">
        <v>1160</v>
      </c>
      <c r="G39" s="361">
        <v>893.2</v>
      </c>
      <c r="H39" s="188" t="s">
        <v>78</v>
      </c>
      <c r="I39" s="143"/>
      <c r="J39" s="130">
        <f>J37/G4</f>
        <v>52.967547604596575</v>
      </c>
      <c r="K39" s="131" t="s">
        <v>76</v>
      </c>
      <c r="L39" s="423"/>
      <c r="M39" s="424"/>
    </row>
    <row r="40" spans="1:14" ht="17.45" customHeight="1">
      <c r="A40" s="763" t="s">
        <v>79</v>
      </c>
      <c r="B40" s="764"/>
      <c r="C40" s="165">
        <f>SUMIF($G$7:$G$31,"Mechanical",$F$7:$F$31)</f>
        <v>0</v>
      </c>
      <c r="D40" s="119">
        <f>+C40+'23'!D40</f>
        <v>0</v>
      </c>
      <c r="E40" s="144">
        <f t="shared" si="0"/>
        <v>0</v>
      </c>
      <c r="F40" s="361">
        <v>1160</v>
      </c>
      <c r="G40" s="361">
        <v>893.2</v>
      </c>
      <c r="H40" s="188" t="s">
        <v>80</v>
      </c>
      <c r="I40" s="119">
        <f>(K34+L34)/1000</f>
        <v>51.286999999999999</v>
      </c>
      <c r="J40" s="132">
        <f>+I40+'23'!J40</f>
        <v>1174.5910000000001</v>
      </c>
      <c r="K40" s="131" t="s">
        <v>76</v>
      </c>
      <c r="L40" s="423"/>
      <c r="M40" s="424"/>
    </row>
    <row r="41" spans="1:14" ht="17.45" customHeight="1">
      <c r="A41" s="763" t="s">
        <v>81</v>
      </c>
      <c r="B41" s="764"/>
      <c r="C41" s="165">
        <f>SUMIF($G$7:$G$31,"Electrical",$F$7:$F$31)</f>
        <v>0</v>
      </c>
      <c r="D41" s="119">
        <f>+C41+'23'!D41</f>
        <v>203</v>
      </c>
      <c r="E41" s="144">
        <f t="shared" si="0"/>
        <v>3.3833333333333333</v>
      </c>
      <c r="F41" s="361"/>
      <c r="G41" s="361"/>
      <c r="H41" s="188" t="s">
        <v>82</v>
      </c>
      <c r="I41" s="143"/>
      <c r="J41" s="130">
        <f>J40/G4</f>
        <v>48.941291666666672</v>
      </c>
      <c r="K41" s="131" t="s">
        <v>76</v>
      </c>
      <c r="L41" s="423"/>
      <c r="M41" s="424"/>
    </row>
    <row r="42" spans="1:14" ht="17.45" customHeight="1">
      <c r="A42" s="763" t="s">
        <v>17</v>
      </c>
      <c r="B42" s="764"/>
      <c r="C42" s="165">
        <f>SUMIF($G$7:$G$31,"Instrument",$F$7:$F$31)</f>
        <v>0</v>
      </c>
      <c r="D42" s="119">
        <f>+C42+'23'!D42</f>
        <v>0</v>
      </c>
      <c r="E42" s="144">
        <f t="shared" si="0"/>
        <v>0</v>
      </c>
      <c r="F42" s="361">
        <f>+(F38*480+F39*480+F40*480)/1440</f>
        <v>1160</v>
      </c>
      <c r="G42" s="361">
        <f>+(G38*480+G39*480+G40*480)/1440</f>
        <v>893.2</v>
      </c>
      <c r="H42" s="188" t="s">
        <v>83</v>
      </c>
      <c r="I42" s="247" t="s">
        <v>679</v>
      </c>
      <c r="J42" s="133"/>
      <c r="K42" s="131" t="s">
        <v>84</v>
      </c>
      <c r="L42" s="423"/>
      <c r="M42" s="424"/>
    </row>
    <row r="43" spans="1:14" ht="17.45" customHeight="1">
      <c r="A43" s="763" t="s">
        <v>85</v>
      </c>
      <c r="B43" s="764"/>
      <c r="C43" s="165">
        <f>SUMIF($G$7:$G$31,"Water",$F$7:$F$31)</f>
        <v>0</v>
      </c>
      <c r="D43" s="119">
        <f>+C43+'23'!D43</f>
        <v>0</v>
      </c>
      <c r="E43" s="144">
        <f t="shared" si="0"/>
        <v>0</v>
      </c>
      <c r="F43" s="361"/>
      <c r="G43" s="362"/>
      <c r="H43" s="189" t="s">
        <v>86</v>
      </c>
      <c r="I43" s="119">
        <f>+Report1!AH32</f>
        <v>67.599999999999994</v>
      </c>
      <c r="J43" s="134">
        <f>+I43+'23'!J43</f>
        <v>1615.3</v>
      </c>
      <c r="K43" s="131" t="s">
        <v>76</v>
      </c>
      <c r="L43" s="425">
        <f>+Report1!AN32</f>
        <v>10.6</v>
      </c>
      <c r="M43" s="426">
        <f>+L43+'23'!M43</f>
        <v>239</v>
      </c>
    </row>
    <row r="44" spans="1:14" ht="17.45" customHeight="1">
      <c r="A44" s="763" t="s">
        <v>18</v>
      </c>
      <c r="B44" s="764"/>
      <c r="C44" s="165">
        <f>SUMIF($G$7:$G$31,"PLN",$F$7:$F$31)</f>
        <v>0</v>
      </c>
      <c r="D44" s="119">
        <f>+C44+'23'!D44</f>
        <v>0</v>
      </c>
      <c r="E44" s="144">
        <f t="shared" si="0"/>
        <v>0</v>
      </c>
      <c r="F44" s="361"/>
      <c r="G44" s="362"/>
      <c r="H44" s="189" t="s">
        <v>87</v>
      </c>
      <c r="I44" s="119">
        <f>I43/I38</f>
        <v>1.2898301850791833</v>
      </c>
      <c r="J44" s="135">
        <f>J43/J38</f>
        <v>1.3406614748853181</v>
      </c>
      <c r="K44" s="131" t="s">
        <v>76</v>
      </c>
      <c r="L44" s="427">
        <f>+L43/I38</f>
        <v>0.20225147872543409</v>
      </c>
      <c r="M44" s="428">
        <f>+M43/J38</f>
        <v>0.1983644477791067</v>
      </c>
    </row>
    <row r="45" spans="1:14" ht="17.45" customHeight="1">
      <c r="A45" s="763" t="s">
        <v>19</v>
      </c>
      <c r="B45" s="764"/>
      <c r="C45" s="165">
        <f>SUMIF($G$7:$G$31,"Boiler",$F$7:$F$31)</f>
        <v>0</v>
      </c>
      <c r="D45" s="119">
        <f>+C45+'23'!D45</f>
        <v>0</v>
      </c>
      <c r="E45" s="144">
        <f t="shared" si="0"/>
        <v>0</v>
      </c>
      <c r="F45" s="361"/>
      <c r="G45" s="364"/>
      <c r="H45" s="189" t="s">
        <v>88</v>
      </c>
      <c r="I45" s="119">
        <f>I43/I40</f>
        <v>1.3180728059742235</v>
      </c>
      <c r="J45" s="135">
        <f>J43/J40</f>
        <v>1.3752020916216792</v>
      </c>
      <c r="K45" s="131" t="s">
        <v>76</v>
      </c>
      <c r="L45" s="427">
        <f>+L43/I40</f>
        <v>0.20668005537465634</v>
      </c>
      <c r="M45" s="428">
        <f>+M43/J40</f>
        <v>0.20347508196470088</v>
      </c>
    </row>
    <row r="46" spans="1:14" ht="17.45" customHeight="1">
      <c r="A46" s="763" t="s">
        <v>89</v>
      </c>
      <c r="B46" s="764"/>
      <c r="C46" s="165">
        <f>SUMIF($G$7:$G$31,"Gas",$F$7:$F$31)</f>
        <v>0</v>
      </c>
      <c r="D46" s="119">
        <f>+C46+'23'!D46</f>
        <v>0</v>
      </c>
      <c r="E46" s="144">
        <f t="shared" si="0"/>
        <v>0</v>
      </c>
      <c r="F46" s="361"/>
      <c r="G46" s="362"/>
      <c r="H46" s="189" t="s">
        <v>90</v>
      </c>
      <c r="I46" s="141">
        <f>+SUMIF(Listrik!P31,"&gt;0")</f>
        <v>40941.679999999986</v>
      </c>
      <c r="J46" s="136">
        <f>+I46+'23'!J46</f>
        <v>948630.6399999999</v>
      </c>
      <c r="K46" s="131" t="s">
        <v>91</v>
      </c>
      <c r="L46" s="427">
        <f>+Listrik!AF31</f>
        <v>0</v>
      </c>
      <c r="M46" s="429">
        <f>+L46+'23'!M46</f>
        <v>0</v>
      </c>
    </row>
    <row r="47" spans="1:14" ht="17.45" customHeight="1">
      <c r="A47" s="763" t="s">
        <v>92</v>
      </c>
      <c r="B47" s="764"/>
      <c r="C47" s="165">
        <f>SUMIF($G$7:$G$31,"Gas",$F$7:$F$31)</f>
        <v>0</v>
      </c>
      <c r="D47" s="119">
        <f>+C47+'23'!D47</f>
        <v>0</v>
      </c>
      <c r="E47" s="144">
        <f t="shared" si="0"/>
        <v>0</v>
      </c>
      <c r="F47" s="361"/>
      <c r="G47" s="362"/>
      <c r="H47" s="189" t="s">
        <v>93</v>
      </c>
      <c r="I47" s="119">
        <f>I46/I38</f>
        <v>781.18069070787999</v>
      </c>
      <c r="J47" s="136">
        <f>J46/J38</f>
        <v>787.34139351439558</v>
      </c>
      <c r="K47" s="131" t="s">
        <v>25</v>
      </c>
      <c r="L47" s="427">
        <f>+L46/I38</f>
        <v>0</v>
      </c>
      <c r="M47" s="428">
        <f>+M46/J38</f>
        <v>0</v>
      </c>
    </row>
    <row r="48" spans="1:14" ht="17.45" customHeight="1">
      <c r="A48" s="763" t="s">
        <v>15</v>
      </c>
      <c r="B48" s="764"/>
      <c r="C48" s="165">
        <f>SUMIF($G$7:$G$31,"Start Up",$F$7:$F$31)</f>
        <v>0</v>
      </c>
      <c r="D48" s="119">
        <f>+C48+'23'!D48</f>
        <v>0</v>
      </c>
      <c r="E48" s="144">
        <f t="shared" si="0"/>
        <v>0</v>
      </c>
      <c r="F48" s="361"/>
      <c r="G48" s="362"/>
      <c r="H48" s="189" t="s">
        <v>94</v>
      </c>
      <c r="I48" s="119">
        <f>I46/I40</f>
        <v>798.285725427496</v>
      </c>
      <c r="J48" s="136">
        <f>J46/J40</f>
        <v>807.62634823525786</v>
      </c>
      <c r="K48" s="131" t="s">
        <v>25</v>
      </c>
      <c r="L48" s="427">
        <f>+L46/I38</f>
        <v>0</v>
      </c>
      <c r="M48" s="428">
        <f>+M46/J40</f>
        <v>0</v>
      </c>
    </row>
    <row r="49" spans="1:13" ht="17.45" customHeight="1">
      <c r="A49" s="763" t="s">
        <v>21</v>
      </c>
      <c r="B49" s="764"/>
      <c r="C49" s="165">
        <f>SUMIF($G$7:$G$31,"Others",$F$7:$F$31)</f>
        <v>0</v>
      </c>
      <c r="D49" s="119">
        <f>+C49+'23'!D49</f>
        <v>0</v>
      </c>
      <c r="E49" s="144">
        <f t="shared" si="0"/>
        <v>0</v>
      </c>
      <c r="F49" s="186"/>
      <c r="H49" s="189" t="s">
        <v>95</v>
      </c>
      <c r="I49" s="119">
        <f>+Report1!AB32</f>
        <v>5136.4029435791126</v>
      </c>
      <c r="J49" s="136">
        <f>+I49+'23'!J49</f>
        <v>117232.81391446825</v>
      </c>
      <c r="K49" s="131" t="s">
        <v>96</v>
      </c>
      <c r="L49" s="423"/>
      <c r="M49" s="424"/>
    </row>
    <row r="50" spans="1:13" ht="17.45" customHeight="1">
      <c r="A50" s="763" t="s">
        <v>20</v>
      </c>
      <c r="B50" s="764"/>
      <c r="C50" s="165">
        <f>SUMIF($G$7:$G$31,"Steam",$F$7:$F$31)</f>
        <v>0</v>
      </c>
      <c r="D50" s="119">
        <f>+C50+'23'!D50</f>
        <v>0</v>
      </c>
      <c r="E50" s="144">
        <f t="shared" si="0"/>
        <v>0</v>
      </c>
      <c r="F50" s="186"/>
      <c r="H50" s="189" t="s">
        <v>97</v>
      </c>
      <c r="I50" s="141">
        <f>I49/I38</f>
        <v>98.004253836655465</v>
      </c>
      <c r="J50" s="134">
        <f>J49/J38</f>
        <v>97.300512107674763</v>
      </c>
      <c r="K50" s="131" t="s">
        <v>96</v>
      </c>
      <c r="L50" s="423"/>
      <c r="M50" s="424"/>
    </row>
    <row r="51" spans="1:13" ht="17.45" customHeight="1" thickBot="1">
      <c r="A51" s="765" t="s">
        <v>98</v>
      </c>
      <c r="B51" s="766"/>
      <c r="C51" s="165">
        <f>SUMIF($G$7:$G$31,"Planned shut",$F$7:$F$31)</f>
        <v>0</v>
      </c>
      <c r="D51" s="119">
        <f>+C51+'23'!D51</f>
        <v>609</v>
      </c>
      <c r="E51" s="144">
        <f t="shared" si="0"/>
        <v>10.15</v>
      </c>
      <c r="F51" s="186"/>
      <c r="H51" s="191" t="s">
        <v>99</v>
      </c>
      <c r="I51" s="142">
        <f>I49/I40</f>
        <v>100.15019290617725</v>
      </c>
      <c r="J51" s="137">
        <f>J49/J40</f>
        <v>99.807349038489349</v>
      </c>
      <c r="K51" s="138" t="s">
        <v>96</v>
      </c>
      <c r="L51" s="423"/>
      <c r="M51" s="424"/>
    </row>
    <row r="52" spans="1:13" ht="13.5" thickBot="1">
      <c r="A52" s="767" t="s">
        <v>29</v>
      </c>
      <c r="B52" s="768"/>
      <c r="C52" s="145">
        <f>SUM(C38:C51)</f>
        <v>51</v>
      </c>
      <c r="D52" s="145">
        <f>SUM(D38:D51)</f>
        <v>2383</v>
      </c>
      <c r="E52" s="146">
        <f>SUM(E38:E51)</f>
        <v>39.716666666666661</v>
      </c>
      <c r="F52" s="186"/>
      <c r="H52" s="192"/>
      <c r="I52" s="193"/>
      <c r="J52" s="139"/>
      <c r="K52" s="140"/>
      <c r="L52" s="430"/>
      <c r="M52" s="431"/>
    </row>
    <row r="53" spans="1:13" ht="13.5" thickBot="1">
      <c r="A53" s="769"/>
      <c r="B53" s="770"/>
      <c r="C53" s="147">
        <f>C52/(24*60)</f>
        <v>3.5416666666666666E-2</v>
      </c>
      <c r="D53" s="147">
        <f>D52/(24*60*G4)</f>
        <v>6.8952546296296297E-2</v>
      </c>
      <c r="E53" s="148">
        <f>E52/(G4*24)</f>
        <v>6.8952546296296283E-2</v>
      </c>
      <c r="F53" s="186"/>
    </row>
    <row r="54" spans="1:13">
      <c r="E54" s="194"/>
      <c r="F54" s="186"/>
    </row>
    <row r="55" spans="1:13">
      <c r="E55" s="194"/>
    </row>
    <row r="56" spans="1:13">
      <c r="A56" s="195" t="s">
        <v>100</v>
      </c>
      <c r="B56" s="196"/>
      <c r="C56" s="197"/>
      <c r="D56" s="197"/>
      <c r="E56" s="197"/>
      <c r="F56" s="198"/>
      <c r="G56" s="197"/>
      <c r="H56" s="199"/>
      <c r="I56" s="200" t="s">
        <v>101</v>
      </c>
      <c r="J56" s="201">
        <f>+D34+'23'!J56</f>
        <v>3992</v>
      </c>
      <c r="K56" s="202">
        <f>J56/(J40+J56/1000)/1000</f>
        <v>3.3871182598086006E-3</v>
      </c>
    </row>
    <row r="57" spans="1:13">
      <c r="A57" s="177"/>
      <c r="I57" s="200" t="s">
        <v>102</v>
      </c>
      <c r="J57" s="201">
        <f>+E34+'23'!J57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S61"/>
  <sheetViews>
    <sheetView zoomScale="80" zoomScaleNormal="80" workbookViewId="0">
      <selection activeCell="H18" sqref="H1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5703125" style="150" bestFit="1" customWidth="1"/>
    <col min="12" max="12" width="8.28515625" style="150" customWidth="1"/>
    <col min="13" max="13" width="16.28515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23</v>
      </c>
      <c r="H4" s="155" t="str">
        <f>+'1'!H4</f>
        <v>.11.25</v>
      </c>
      <c r="J4" s="150">
        <f>312.5+333.9+289.7</f>
        <v>936.09999999999991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469</v>
      </c>
      <c r="O6" s="150">
        <v>1140</v>
      </c>
      <c r="P6" s="150">
        <f>+O6-O6*0.19</f>
        <v>923.4</v>
      </c>
      <c r="Q6" s="150">
        <v>480</v>
      </c>
      <c r="R6" s="150">
        <f>+O6*Q6</f>
        <v>547200</v>
      </c>
      <c r="S6" s="150">
        <f>+P6*Q6</f>
        <v>443232</v>
      </c>
    </row>
    <row r="7" spans="1:19" ht="13.5" customHeight="1" thickBot="1">
      <c r="A7" s="775" t="s">
        <v>460</v>
      </c>
      <c r="B7" s="216" t="s">
        <v>479</v>
      </c>
      <c r="C7" s="217">
        <v>13970</v>
      </c>
      <c r="D7" s="218"/>
      <c r="E7" s="219"/>
      <c r="F7" s="229"/>
      <c r="G7" s="230" t="s">
        <v>13</v>
      </c>
      <c r="H7" s="231" t="s">
        <v>390</v>
      </c>
      <c r="I7" s="778" t="s">
        <v>678</v>
      </c>
      <c r="J7" s="215" t="str">
        <f>+'22'!J7</f>
        <v>T 13,5 RC HW</v>
      </c>
      <c r="K7" s="239"/>
      <c r="L7" s="243"/>
      <c r="M7" s="118">
        <f>+K7+'22'!M7+L7</f>
        <v>263166</v>
      </c>
      <c r="Q7" s="150">
        <f>480-Q6</f>
        <v>0</v>
      </c>
      <c r="R7" s="150">
        <f>+O7*Q7</f>
        <v>0</v>
      </c>
      <c r="S7" s="150">
        <f>+P7*Q7</f>
        <v>0</v>
      </c>
    </row>
    <row r="8" spans="1:19" ht="13.5" thickBot="1">
      <c r="A8" s="776"/>
      <c r="B8" s="216"/>
      <c r="C8" s="217"/>
      <c r="D8" s="218"/>
      <c r="E8" s="220"/>
      <c r="F8" s="232">
        <v>3</v>
      </c>
      <c r="G8" s="579" t="s">
        <v>13</v>
      </c>
      <c r="H8" s="231" t="s">
        <v>429</v>
      </c>
      <c r="I8" s="779"/>
      <c r="J8" s="215" t="str">
        <f>+'22'!J8</f>
        <v>T 14 RC HW</v>
      </c>
      <c r="K8" s="240"/>
      <c r="L8" s="240"/>
      <c r="M8" s="118">
        <f>+K8+'22'!M8+L8</f>
        <v>97781</v>
      </c>
      <c r="P8" s="150">
        <f t="shared" ref="P8" si="0">+O8-O8*0.2</f>
        <v>0</v>
      </c>
      <c r="R8" s="150">
        <f>+O8*Q8</f>
        <v>0</v>
      </c>
      <c r="S8" s="150">
        <f>+P8*Q8</f>
        <v>0</v>
      </c>
    </row>
    <row r="9" spans="1:19" ht="13.5" thickBot="1">
      <c r="A9" s="776"/>
      <c r="B9" s="216"/>
      <c r="C9" s="217"/>
      <c r="D9" s="218"/>
      <c r="E9" s="221"/>
      <c r="F9" s="229">
        <v>8</v>
      </c>
      <c r="G9" s="579" t="s">
        <v>13</v>
      </c>
      <c r="H9" s="234" t="s">
        <v>425</v>
      </c>
      <c r="I9" s="779"/>
      <c r="J9" s="215" t="str">
        <f>+'22'!J9</f>
        <v>T 15 RC HW</v>
      </c>
      <c r="K9" s="240">
        <f>+C34</f>
        <v>48630</v>
      </c>
      <c r="L9" s="240"/>
      <c r="M9" s="118">
        <f>+K9+'22'!M9+L9</f>
        <v>121476</v>
      </c>
    </row>
    <row r="10" spans="1:19" ht="26.25" thickBot="1">
      <c r="A10" s="776"/>
      <c r="B10" s="216"/>
      <c r="C10" s="217"/>
      <c r="D10" s="218"/>
      <c r="E10" s="220"/>
      <c r="F10" s="229">
        <v>8</v>
      </c>
      <c r="G10" s="238" t="s">
        <v>14</v>
      </c>
      <c r="H10" s="234" t="s">
        <v>667</v>
      </c>
      <c r="I10" s="779"/>
      <c r="J10" s="215" t="str">
        <f>+'22'!J10</f>
        <v>TW 29 RC HW</v>
      </c>
      <c r="K10" s="240"/>
      <c r="L10" s="240"/>
      <c r="M10" s="118">
        <f>+K10+'22'!M10+L10</f>
        <v>21998</v>
      </c>
    </row>
    <row r="11" spans="1:19" ht="51.75" thickBot="1">
      <c r="A11" s="776"/>
      <c r="B11" s="216"/>
      <c r="C11" s="217"/>
      <c r="D11" s="218"/>
      <c r="E11" s="220"/>
      <c r="F11" s="229">
        <v>33</v>
      </c>
      <c r="G11" s="233" t="s">
        <v>81</v>
      </c>
      <c r="H11" s="234" t="s">
        <v>668</v>
      </c>
      <c r="I11" s="779"/>
      <c r="J11" s="215" t="str">
        <f>+'22'!J11</f>
        <v>TW 20 RC HW</v>
      </c>
      <c r="K11" s="240"/>
      <c r="L11" s="240"/>
      <c r="M11" s="118">
        <f>+K11+'22'!M11+L11</f>
        <v>104164</v>
      </c>
    </row>
    <row r="12" spans="1:19" ht="13.5" thickBot="1">
      <c r="A12" s="776"/>
      <c r="B12" s="216"/>
      <c r="C12" s="217"/>
      <c r="D12" s="218"/>
      <c r="E12" s="220"/>
      <c r="F12" s="229"/>
      <c r="G12" s="233"/>
      <c r="H12" s="234"/>
      <c r="I12" s="779"/>
      <c r="J12" s="215" t="str">
        <f>+'22'!J12</f>
        <v>TW 19 RC HW</v>
      </c>
      <c r="K12" s="240"/>
      <c r="L12" s="240"/>
      <c r="M12" s="118">
        <f>+K12+'22'!M12+L12</f>
        <v>18863</v>
      </c>
    </row>
    <row r="13" spans="1:19" ht="13.5" thickBot="1">
      <c r="A13" s="776"/>
      <c r="B13" s="216"/>
      <c r="C13" s="217"/>
      <c r="D13" s="217"/>
      <c r="E13" s="220"/>
      <c r="F13" s="229"/>
      <c r="G13" s="233"/>
      <c r="H13" s="234"/>
      <c r="I13" s="780"/>
      <c r="J13" s="215" t="str">
        <f>+'22'!J13</f>
        <v>TW 17 RC HW</v>
      </c>
      <c r="K13" s="240"/>
      <c r="L13" s="240"/>
      <c r="M13" s="118">
        <f>+K13+'22'!M13+L13</f>
        <v>67816</v>
      </c>
    </row>
    <row r="14" spans="1:19" ht="13.5" thickBot="1">
      <c r="A14" s="777"/>
      <c r="B14" s="166" t="s">
        <v>3</v>
      </c>
      <c r="C14" s="100">
        <f>SUM(C7:C13)</f>
        <v>13970</v>
      </c>
      <c r="D14" s="112">
        <f>SUM(D7:D13)</f>
        <v>0</v>
      </c>
      <c r="E14" s="113">
        <f>SUM(E5:E13)</f>
        <v>0</v>
      </c>
      <c r="F14" s="103">
        <f>SUM(F6:F13)</f>
        <v>52</v>
      </c>
      <c r="G14" s="160"/>
      <c r="H14" s="167"/>
      <c r="I14" s="168"/>
      <c r="J14" s="215" t="str">
        <f>+'22'!J14</f>
        <v>F 14 RC HW</v>
      </c>
      <c r="K14" s="240"/>
      <c r="L14" s="240"/>
      <c r="M14" s="118">
        <f>+K14+'22'!M14+L14</f>
        <v>10232</v>
      </c>
    </row>
    <row r="15" spans="1:19" ht="13.5" customHeight="1" thickBot="1">
      <c r="A15" s="775" t="s">
        <v>445</v>
      </c>
      <c r="B15" s="166"/>
      <c r="C15" s="114">
        <f>C14/($C$23+$D$23+$E$23)</f>
        <v>0.78399461249228353</v>
      </c>
      <c r="D15" s="115">
        <f>D14/($C$23+$D$23+$E$23)</f>
        <v>0</v>
      </c>
      <c r="E15" s="116">
        <f>E14/($C$23+$D$23+$E$23)</f>
        <v>0</v>
      </c>
      <c r="F15" s="229"/>
      <c r="G15" s="230" t="s">
        <v>13</v>
      </c>
      <c r="H15" s="231" t="s">
        <v>390</v>
      </c>
      <c r="I15" s="778" t="s">
        <v>679</v>
      </c>
      <c r="J15" s="215" t="str">
        <f>+'22'!J15</f>
        <v>T 16,5 RC HW</v>
      </c>
      <c r="K15" s="240"/>
      <c r="L15" s="240"/>
      <c r="M15" s="118">
        <f>+K15+'22'!M15+L15</f>
        <v>10954</v>
      </c>
    </row>
    <row r="16" spans="1:19" ht="13.5" thickBot="1">
      <c r="A16" s="781"/>
      <c r="B16" s="216" t="s">
        <v>479</v>
      </c>
      <c r="C16" s="223">
        <v>17819</v>
      </c>
      <c r="D16" s="224"/>
      <c r="E16" s="225"/>
      <c r="F16" s="232">
        <v>6</v>
      </c>
      <c r="G16" s="579" t="s">
        <v>13</v>
      </c>
      <c r="H16" s="231" t="s">
        <v>429</v>
      </c>
      <c r="I16" s="779"/>
      <c r="J16" s="215" t="str">
        <f>+'22'!J16</f>
        <v>T 15,5 RC HW</v>
      </c>
      <c r="K16" s="240"/>
      <c r="L16" s="230"/>
      <c r="M16" s="118">
        <f>+K16+'22'!M16+L16</f>
        <v>263708</v>
      </c>
      <c r="Q16" s="150">
        <f>SUM(Q6:Q14)</f>
        <v>480</v>
      </c>
      <c r="R16" s="150">
        <f>SUM(R6:R14)</f>
        <v>547200</v>
      </c>
      <c r="S16" s="150">
        <f>SUM(S6:S14)</f>
        <v>443232</v>
      </c>
    </row>
    <row r="17" spans="1:19" ht="13.5" thickBot="1">
      <c r="A17" s="781"/>
      <c r="B17" s="216"/>
      <c r="C17" s="217"/>
      <c r="D17" s="218"/>
      <c r="E17" s="226"/>
      <c r="F17" s="229">
        <v>10</v>
      </c>
      <c r="G17" s="579" t="s">
        <v>13</v>
      </c>
      <c r="H17" s="234" t="s">
        <v>397</v>
      </c>
      <c r="I17" s="779"/>
      <c r="J17" s="215" t="str">
        <f>+'22'!J17</f>
        <v>T 16 RC HW</v>
      </c>
      <c r="K17" s="240"/>
      <c r="L17" s="230"/>
      <c r="M17" s="118">
        <f>+K17+'22'!M17+L17</f>
        <v>43235</v>
      </c>
      <c r="Q17" s="150">
        <f>480-Q16</f>
        <v>0</v>
      </c>
      <c r="R17" s="150">
        <f>+R16/Q16</f>
        <v>1140</v>
      </c>
      <c r="S17" s="150">
        <f>+S16/Q16</f>
        <v>923.4</v>
      </c>
    </row>
    <row r="18" spans="1:19" ht="26.25" thickBot="1">
      <c r="A18" s="781"/>
      <c r="B18" s="216"/>
      <c r="C18" s="217"/>
      <c r="D18" s="218"/>
      <c r="E18" s="226"/>
      <c r="F18" s="229"/>
      <c r="G18" s="238" t="s">
        <v>14</v>
      </c>
      <c r="H18" s="234" t="s">
        <v>665</v>
      </c>
      <c r="I18" s="779"/>
      <c r="J18" s="215" t="str">
        <f>+'22'!J18</f>
        <v>T 19 RC HW</v>
      </c>
      <c r="K18" s="240"/>
      <c r="L18" s="240"/>
      <c r="M18" s="118">
        <f>+K18+'22'!M18+L18</f>
        <v>66753</v>
      </c>
      <c r="N18" s="150" t="s">
        <v>469</v>
      </c>
      <c r="O18" s="150">
        <v>1160</v>
      </c>
      <c r="P18" s="150">
        <f>+O18-O18*0.23</f>
        <v>893.2</v>
      </c>
      <c r="Q18" s="150">
        <v>480</v>
      </c>
      <c r="R18" s="150">
        <f>+O18*Q18</f>
        <v>556800</v>
      </c>
      <c r="S18" s="150">
        <f>+P18*Q18</f>
        <v>428736</v>
      </c>
    </row>
    <row r="19" spans="1:19" ht="13.5" thickBot="1">
      <c r="A19" s="781"/>
      <c r="B19" s="216"/>
      <c r="C19" s="217"/>
      <c r="D19" s="218"/>
      <c r="E19" s="226"/>
      <c r="F19" s="236"/>
      <c r="G19" s="233"/>
      <c r="H19" s="234" t="s">
        <v>666</v>
      </c>
      <c r="I19" s="779"/>
      <c r="J19" s="215" t="str">
        <f>+'22'!J19</f>
        <v>T 20 RC HW</v>
      </c>
      <c r="K19" s="240"/>
      <c r="L19" s="240"/>
      <c r="M19" s="118">
        <f>+K19+'22'!M19+L19</f>
        <v>33158</v>
      </c>
      <c r="Q19" s="150">
        <f>480-Q18</f>
        <v>0</v>
      </c>
      <c r="R19" s="150">
        <f>+O19*Q19</f>
        <v>0</v>
      </c>
      <c r="S19" s="150">
        <f>+P19*Q19</f>
        <v>0</v>
      </c>
    </row>
    <row r="20" spans="1:19" ht="13.5" thickBot="1">
      <c r="A20" s="781"/>
      <c r="B20" s="216"/>
      <c r="C20" s="217"/>
      <c r="D20" s="218"/>
      <c r="E20" s="226"/>
      <c r="F20" s="229"/>
      <c r="G20" s="233"/>
      <c r="H20" s="234"/>
      <c r="I20" s="779"/>
      <c r="J20" s="215">
        <f>+'22'!J20</f>
        <v>0</v>
      </c>
      <c r="K20" s="240"/>
      <c r="L20" s="241"/>
      <c r="M20" s="118">
        <f>+K20+'22'!M20+L20</f>
        <v>0</v>
      </c>
      <c r="P20" s="150">
        <f t="shared" ref="P20" si="1">+O20-O20*0.2</f>
        <v>0</v>
      </c>
      <c r="R20" s="150">
        <f>+O20*Q20</f>
        <v>0</v>
      </c>
      <c r="S20" s="150">
        <f>+P20*Q20</f>
        <v>0</v>
      </c>
    </row>
    <row r="21" spans="1:19" ht="13.5" thickBot="1">
      <c r="A21" s="781"/>
      <c r="B21" s="216"/>
      <c r="C21" s="217"/>
      <c r="D21" s="218"/>
      <c r="E21" s="226"/>
      <c r="F21" s="232"/>
      <c r="G21" s="233"/>
      <c r="H21" s="234"/>
      <c r="I21" s="779"/>
      <c r="J21" s="215">
        <f>+'22'!J21</f>
        <v>0</v>
      </c>
      <c r="K21" s="240"/>
      <c r="L21" s="240"/>
      <c r="M21" s="118">
        <f>+K21+'22'!M21+L21</f>
        <v>0</v>
      </c>
    </row>
    <row r="22" spans="1:19" ht="13.5" thickBot="1">
      <c r="A22" s="781"/>
      <c r="B22" s="216"/>
      <c r="C22" s="217"/>
      <c r="D22" s="218"/>
      <c r="E22" s="226"/>
      <c r="F22" s="237"/>
      <c r="G22" s="233"/>
      <c r="H22" s="234"/>
      <c r="I22" s="780"/>
      <c r="J22" s="215">
        <f>+'22'!J22</f>
        <v>0</v>
      </c>
      <c r="K22" s="240"/>
      <c r="L22" s="240"/>
      <c r="M22" s="118">
        <f>+K22+'22'!M22+L22</f>
        <v>0</v>
      </c>
    </row>
    <row r="23" spans="1:19" ht="13.5" thickBot="1">
      <c r="A23" s="782"/>
      <c r="B23" s="166" t="s">
        <v>3</v>
      </c>
      <c r="C23" s="101">
        <f>SUM(C16:C22)</f>
        <v>17819</v>
      </c>
      <c r="D23" s="112">
        <f>SUM(D16:D22)</f>
        <v>0</v>
      </c>
      <c r="E23" s="113">
        <f>SUM(E18:E22)</f>
        <v>0</v>
      </c>
      <c r="F23" s="103">
        <f>SUM(F15:F22)</f>
        <v>16</v>
      </c>
      <c r="G23" s="160"/>
      <c r="H23" s="167"/>
      <c r="I23" s="170"/>
      <c r="J23" s="215">
        <f>+'22'!J23</f>
        <v>0</v>
      </c>
      <c r="K23" s="240"/>
      <c r="L23" s="240"/>
      <c r="M23" s="118">
        <f>+K23+'22'!M23+L23</f>
        <v>0</v>
      </c>
    </row>
    <row r="24" spans="1:19" ht="13.5" customHeight="1" thickBot="1">
      <c r="A24" s="775" t="s">
        <v>446</v>
      </c>
      <c r="B24" s="171"/>
      <c r="C24" s="114">
        <f>C23/($C$23+$D$23+$E$23)</f>
        <v>1</v>
      </c>
      <c r="D24" s="115">
        <f>D23/($C$23+$D$23+$E$23)</f>
        <v>0</v>
      </c>
      <c r="E24" s="116">
        <f>E23/($C$23+$D$23+$E$23)</f>
        <v>0</v>
      </c>
      <c r="F24" s="229"/>
      <c r="G24" s="230" t="s">
        <v>13</v>
      </c>
      <c r="H24" s="231" t="s">
        <v>390</v>
      </c>
      <c r="I24" s="778" t="s">
        <v>679</v>
      </c>
      <c r="J24" s="215">
        <f>+'22'!J24</f>
        <v>0</v>
      </c>
      <c r="K24" s="240"/>
      <c r="L24" s="240"/>
      <c r="M24" s="118">
        <f>+K24+'22'!M24+L24</f>
        <v>0</v>
      </c>
    </row>
    <row r="25" spans="1:19" ht="13.5" thickBot="1">
      <c r="A25" s="781"/>
      <c r="B25" s="216" t="s">
        <v>479</v>
      </c>
      <c r="C25" s="227">
        <v>16841</v>
      </c>
      <c r="D25" s="218"/>
      <c r="E25" s="226"/>
      <c r="F25" s="232">
        <v>3</v>
      </c>
      <c r="G25" s="579" t="s">
        <v>13</v>
      </c>
      <c r="H25" s="231" t="s">
        <v>426</v>
      </c>
      <c r="I25" s="779"/>
      <c r="J25" s="215">
        <f>+'22'!J25</f>
        <v>0</v>
      </c>
      <c r="K25" s="240"/>
      <c r="L25" s="240"/>
      <c r="M25" s="118">
        <f>+K25+'22'!M25+L25</f>
        <v>0</v>
      </c>
    </row>
    <row r="26" spans="1:19" ht="13.5" thickBot="1">
      <c r="A26" s="781"/>
      <c r="B26" s="216"/>
      <c r="C26" s="227"/>
      <c r="D26" s="218"/>
      <c r="E26" s="228"/>
      <c r="F26" s="229">
        <v>6</v>
      </c>
      <c r="G26" s="579" t="s">
        <v>13</v>
      </c>
      <c r="H26" s="234" t="s">
        <v>427</v>
      </c>
      <c r="I26" s="779"/>
      <c r="J26" s="215">
        <f>+'22'!J26</f>
        <v>0</v>
      </c>
      <c r="K26" s="240"/>
      <c r="L26" s="240"/>
      <c r="M26" s="118">
        <f>+K26+'22'!M26+L26</f>
        <v>0</v>
      </c>
    </row>
    <row r="27" spans="1:19" ht="26.25" thickBot="1">
      <c r="A27" s="781"/>
      <c r="B27" s="216"/>
      <c r="C27" s="217"/>
      <c r="D27" s="218"/>
      <c r="E27" s="226"/>
      <c r="F27" s="229"/>
      <c r="G27" s="238" t="s">
        <v>14</v>
      </c>
      <c r="H27" s="234" t="s">
        <v>664</v>
      </c>
      <c r="I27" s="779"/>
      <c r="J27" s="215">
        <f>+'22'!J27</f>
        <v>0</v>
      </c>
      <c r="K27" s="240"/>
      <c r="L27" s="240"/>
      <c r="M27" s="118">
        <f>+K27+'22'!M27+L27</f>
        <v>0</v>
      </c>
    </row>
    <row r="28" spans="1:19" ht="13.5" thickBot="1">
      <c r="A28" s="781"/>
      <c r="B28" s="216"/>
      <c r="C28" s="217"/>
      <c r="D28" s="218"/>
      <c r="E28" s="226"/>
      <c r="F28" s="232"/>
      <c r="G28" s="233"/>
      <c r="H28" s="234"/>
      <c r="I28" s="779"/>
      <c r="J28" s="215">
        <f>+'22'!J28</f>
        <v>0</v>
      </c>
      <c r="K28" s="240"/>
      <c r="L28" s="240"/>
      <c r="M28" s="118">
        <f>+K28+'22'!M28+L28</f>
        <v>0</v>
      </c>
      <c r="Q28" s="150">
        <f>SUM(Q18:Q26)</f>
        <v>480</v>
      </c>
      <c r="R28" s="150">
        <f>SUM(R18:R26)</f>
        <v>556800</v>
      </c>
      <c r="S28" s="150">
        <f>SUM(S18:S26)</f>
        <v>428736</v>
      </c>
    </row>
    <row r="29" spans="1:19" ht="13.5" thickBot="1">
      <c r="A29" s="781"/>
      <c r="B29" s="216"/>
      <c r="C29" s="217"/>
      <c r="D29" s="218"/>
      <c r="E29" s="226"/>
      <c r="F29" s="237"/>
      <c r="G29" s="233"/>
      <c r="H29" s="234"/>
      <c r="I29" s="779"/>
      <c r="J29" s="215">
        <f>+'22'!J29</f>
        <v>0</v>
      </c>
      <c r="K29" s="240"/>
      <c r="L29" s="240"/>
      <c r="M29" s="118">
        <f>+K29+'22'!M29+L29</f>
        <v>0</v>
      </c>
      <c r="Q29" s="150">
        <f>480-Q28</f>
        <v>0</v>
      </c>
      <c r="R29" s="150">
        <f>+R28/Q28</f>
        <v>1160</v>
      </c>
      <c r="S29" s="150">
        <f>+S28/Q28</f>
        <v>893.2</v>
      </c>
    </row>
    <row r="30" spans="1:19" ht="13.5" thickBot="1">
      <c r="A30" s="781"/>
      <c r="B30" s="216"/>
      <c r="C30" s="227"/>
      <c r="D30" s="218"/>
      <c r="E30" s="226"/>
      <c r="F30" s="237"/>
      <c r="G30" s="233"/>
      <c r="H30" s="234"/>
      <c r="I30" s="779"/>
      <c r="J30" s="215">
        <f>+'22'!J30</f>
        <v>0</v>
      </c>
      <c r="K30" s="240"/>
      <c r="L30" s="240"/>
      <c r="M30" s="118">
        <f>+K30+'22'!M30+L30</f>
        <v>0</v>
      </c>
      <c r="N30" s="156"/>
    </row>
    <row r="31" spans="1:19" ht="13.5" thickBot="1">
      <c r="A31" s="781"/>
      <c r="B31" s="216"/>
      <c r="C31" s="227"/>
      <c r="D31" s="218"/>
      <c r="E31" s="226"/>
      <c r="F31" s="237"/>
      <c r="G31" s="238"/>
      <c r="H31" s="235"/>
      <c r="I31" s="780"/>
      <c r="J31" s="215">
        <f>+'22'!J31</f>
        <v>0</v>
      </c>
      <c r="K31" s="240"/>
      <c r="L31" s="240"/>
      <c r="M31" s="118">
        <f>+K31+'22'!M31+L31</f>
        <v>0</v>
      </c>
      <c r="N31" s="150" t="s">
        <v>469</v>
      </c>
      <c r="O31" s="150">
        <v>1160</v>
      </c>
      <c r="P31" s="150">
        <f>+O31-O31*0.23</f>
        <v>893.2</v>
      </c>
      <c r="Q31" s="150">
        <v>480</v>
      </c>
      <c r="R31" s="150">
        <f>+O31*Q31</f>
        <v>556800</v>
      </c>
      <c r="S31" s="150">
        <f>+P31*Q31</f>
        <v>428736</v>
      </c>
    </row>
    <row r="32" spans="1:19" ht="13.5" thickBot="1">
      <c r="A32" s="782"/>
      <c r="B32" s="166" t="s">
        <v>3</v>
      </c>
      <c r="C32" s="100">
        <f>SUM(C25:C31)</f>
        <v>16841</v>
      </c>
      <c r="D32" s="101">
        <f>SUM(D25:D31)</f>
        <v>0</v>
      </c>
      <c r="E32" s="102">
        <f>SUM(E25:E31)</f>
        <v>0</v>
      </c>
      <c r="F32" s="103">
        <f>SUM(F24:F31)</f>
        <v>9</v>
      </c>
      <c r="G32" s="172"/>
      <c r="H32" s="173"/>
      <c r="I32" s="170"/>
      <c r="J32" s="215">
        <f>+'22'!J32</f>
        <v>0</v>
      </c>
      <c r="K32" s="240"/>
      <c r="L32" s="244"/>
      <c r="M32" s="118">
        <f>+K32+'22'!M32+L32</f>
        <v>0</v>
      </c>
      <c r="Q32" s="150">
        <f>480-Q31</f>
        <v>0</v>
      </c>
      <c r="R32" s="150">
        <f>+O32*Q32</f>
        <v>0</v>
      </c>
      <c r="S32" s="150">
        <f>+P32*Q32</f>
        <v>0</v>
      </c>
    </row>
    <row r="33" spans="1:19" ht="13.5" thickBot="1">
      <c r="A33" s="174"/>
      <c r="B33" s="175"/>
      <c r="C33" s="104">
        <f>C32/($C$32+$D$32+$E$32)</f>
        <v>1</v>
      </c>
      <c r="D33" s="105">
        <f>D32/($C$32+$D$32+$E$32)</f>
        <v>0</v>
      </c>
      <c r="E33" s="106">
        <f>E32/($C$32+$D$32+$E$32)</f>
        <v>0</v>
      </c>
      <c r="F33" s="107"/>
      <c r="G33" s="176"/>
      <c r="H33" s="177"/>
      <c r="I33" s="178"/>
      <c r="J33" s="122"/>
      <c r="K33" s="123"/>
      <c r="L33" s="214"/>
      <c r="M33" s="120"/>
      <c r="P33" s="150">
        <f t="shared" ref="P33" si="2">+O33-O33*0.2</f>
        <v>0</v>
      </c>
      <c r="R33" s="150">
        <f>+O33*Q33</f>
        <v>0</v>
      </c>
      <c r="S33" s="150">
        <f>+P33*Q33</f>
        <v>0</v>
      </c>
    </row>
    <row r="34" spans="1:19" ht="13.5" thickBot="1">
      <c r="A34" s="771" t="s">
        <v>70</v>
      </c>
      <c r="B34" s="772"/>
      <c r="C34" s="108">
        <f>C14+C23+C32</f>
        <v>48630</v>
      </c>
      <c r="D34" s="108">
        <f>D14+D23+D32</f>
        <v>0</v>
      </c>
      <c r="E34" s="108">
        <f>E14+E23+E32</f>
        <v>0</v>
      </c>
      <c r="F34" s="109">
        <f>F14+F23+F32</f>
        <v>77</v>
      </c>
      <c r="H34" s="179"/>
      <c r="I34" s="179"/>
      <c r="J34" s="124" t="s">
        <v>29</v>
      </c>
      <c r="K34" s="125">
        <f>SUM(K7:K32)</f>
        <v>48630</v>
      </c>
      <c r="L34" s="213">
        <f>SUM(L7:L32)</f>
        <v>0</v>
      </c>
      <c r="M34" s="121">
        <f>SUM(M7:M32)</f>
        <v>1123304</v>
      </c>
    </row>
    <row r="35" spans="1:19" ht="13.5" thickBot="1">
      <c r="A35" s="180"/>
      <c r="B35" s="181"/>
      <c r="C35" s="105">
        <f>C34/($C$34+$D$34+$E$34)</f>
        <v>1</v>
      </c>
      <c r="D35" s="105">
        <f>D34/($C$34+$D$34+$E$34)</f>
        <v>0</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row>
    <row r="37" spans="1:19" ht="17.45" customHeight="1" thickBot="1">
      <c r="A37" s="773" t="s">
        <v>71</v>
      </c>
      <c r="B37" s="774"/>
      <c r="C37" s="163" t="s">
        <v>72</v>
      </c>
      <c r="D37" s="184" t="s">
        <v>73</v>
      </c>
      <c r="E37" s="185" t="s">
        <v>74</v>
      </c>
      <c r="F37" s="361"/>
      <c r="G37" s="363"/>
      <c r="H37" s="187" t="s">
        <v>75</v>
      </c>
      <c r="I37" s="245">
        <f>(15*1440)/1440*G42*2.77*1440/1000000</f>
        <v>54.044251200000005</v>
      </c>
      <c r="J37" s="126">
        <f>+I37+'22'!J37</f>
        <v>1217.7792001103178</v>
      </c>
      <c r="K37" s="127" t="s">
        <v>76</v>
      </c>
      <c r="L37" s="421"/>
      <c r="M37" s="422"/>
    </row>
    <row r="38" spans="1:19" ht="17.45" customHeight="1">
      <c r="A38" s="767" t="s">
        <v>13</v>
      </c>
      <c r="B38" s="768"/>
      <c r="C38" s="165">
        <f>SUMIF($G$7:$G$31,"Process",$F$7:$F$31)</f>
        <v>36</v>
      </c>
      <c r="D38" s="119">
        <f>+C38+'22'!D38</f>
        <v>1237</v>
      </c>
      <c r="E38" s="144">
        <f t="shared" ref="E38:E51" si="3">D38/60</f>
        <v>20.616666666666667</v>
      </c>
      <c r="F38" s="361">
        <v>1140</v>
      </c>
      <c r="G38" s="361">
        <v>923.4</v>
      </c>
      <c r="H38" s="188" t="s">
        <v>77</v>
      </c>
      <c r="I38" s="543">
        <f>15.94+16.276+16.933</f>
        <v>49.149000000000001</v>
      </c>
      <c r="J38" s="128">
        <f>+I38+'22'!J38</f>
        <v>1152.4429999999998</v>
      </c>
      <c r="K38" s="129" t="s">
        <v>76</v>
      </c>
      <c r="L38" s="423"/>
      <c r="M38" s="424"/>
    </row>
    <row r="39" spans="1:19" ht="17.45" customHeight="1">
      <c r="A39" s="763" t="s">
        <v>14</v>
      </c>
      <c r="B39" s="764"/>
      <c r="C39" s="165">
        <f>SUMIF($G$7:$G$31,"Cleaning",$F$7:$F$31)</f>
        <v>8</v>
      </c>
      <c r="D39" s="119">
        <f>+C39+'22'!D39</f>
        <v>283</v>
      </c>
      <c r="E39" s="144">
        <f t="shared" si="3"/>
        <v>4.7166666666666668</v>
      </c>
      <c r="F39" s="361">
        <v>1160</v>
      </c>
      <c r="G39" s="361">
        <v>893.2</v>
      </c>
      <c r="H39" s="188" t="s">
        <v>78</v>
      </c>
      <c r="I39" s="143"/>
      <c r="J39" s="130">
        <f>J37/G4</f>
        <v>52.946921743926858</v>
      </c>
      <c r="K39" s="131" t="s">
        <v>76</v>
      </c>
      <c r="L39" s="423"/>
      <c r="M39" s="424"/>
    </row>
    <row r="40" spans="1:19" ht="17.45" customHeight="1">
      <c r="A40" s="763" t="s">
        <v>79</v>
      </c>
      <c r="B40" s="764"/>
      <c r="C40" s="165">
        <f>SUMIF($G$7:$G$31,"Mechanical",$F$7:$F$31)</f>
        <v>0</v>
      </c>
      <c r="D40" s="119">
        <f>+C40+'22'!D40</f>
        <v>0</v>
      </c>
      <c r="E40" s="144">
        <f t="shared" si="3"/>
        <v>0</v>
      </c>
      <c r="F40" s="361">
        <v>1160</v>
      </c>
      <c r="G40" s="361">
        <v>893.2</v>
      </c>
      <c r="H40" s="188" t="s">
        <v>80</v>
      </c>
      <c r="I40" s="119">
        <f>(K34+L34)/1000</f>
        <v>48.63</v>
      </c>
      <c r="J40" s="132">
        <f>+I40+'22'!J40</f>
        <v>1123.3040000000001</v>
      </c>
      <c r="K40" s="131" t="s">
        <v>76</v>
      </c>
      <c r="L40" s="423"/>
      <c r="M40" s="424"/>
    </row>
    <row r="41" spans="1:19" ht="17.45" customHeight="1">
      <c r="A41" s="763" t="s">
        <v>81</v>
      </c>
      <c r="B41" s="764"/>
      <c r="C41" s="165">
        <f>SUMIF($G$7:$G$31,"Electrical",$F$7:$F$31)</f>
        <v>33</v>
      </c>
      <c r="D41" s="119">
        <f>+C41+'22'!D41</f>
        <v>203</v>
      </c>
      <c r="E41" s="144">
        <f t="shared" si="3"/>
        <v>3.3833333333333333</v>
      </c>
      <c r="F41" s="361"/>
      <c r="G41" s="361"/>
      <c r="H41" s="188" t="s">
        <v>82</v>
      </c>
      <c r="I41" s="143"/>
      <c r="J41" s="130">
        <f>J40/G4</f>
        <v>48.839304347826094</v>
      </c>
      <c r="K41" s="131" t="s">
        <v>76</v>
      </c>
      <c r="L41" s="423"/>
      <c r="M41" s="424"/>
      <c r="Q41" s="150">
        <f>SUM(Q31:Q39)</f>
        <v>480</v>
      </c>
      <c r="R41" s="150">
        <f>SUM(R31:R39)</f>
        <v>556800</v>
      </c>
      <c r="S41" s="150">
        <f>SUM(S31:S39)</f>
        <v>428736</v>
      </c>
    </row>
    <row r="42" spans="1:19" ht="17.45" customHeight="1">
      <c r="A42" s="763" t="s">
        <v>17</v>
      </c>
      <c r="B42" s="764"/>
      <c r="C42" s="165">
        <f>SUMIF($G$7:$G$31,"Instrument",$F$7:$F$31)</f>
        <v>0</v>
      </c>
      <c r="D42" s="119">
        <f>+C42+'22'!D42</f>
        <v>0</v>
      </c>
      <c r="E42" s="144">
        <f t="shared" si="3"/>
        <v>0</v>
      </c>
      <c r="F42" s="361">
        <f>+(F38*480+F39*480+F40*480)/1440</f>
        <v>1153.3333333333333</v>
      </c>
      <c r="G42" s="361">
        <f>+(G38*480+G39*480+G40*480)/1440</f>
        <v>903.26666666666665</v>
      </c>
      <c r="H42" s="188" t="s">
        <v>83</v>
      </c>
      <c r="I42" s="247" t="s">
        <v>680</v>
      </c>
      <c r="J42" s="133"/>
      <c r="K42" s="131" t="s">
        <v>84</v>
      </c>
      <c r="L42" s="423"/>
      <c r="M42" s="424"/>
      <c r="Q42" s="150">
        <f>480-Q41</f>
        <v>0</v>
      </c>
      <c r="R42" s="150">
        <f>+R41/Q41</f>
        <v>1160</v>
      </c>
      <c r="S42" s="150">
        <f>+S41/Q41</f>
        <v>893.2</v>
      </c>
    </row>
    <row r="43" spans="1:19" ht="17.45" customHeight="1">
      <c r="A43" s="763" t="s">
        <v>202</v>
      </c>
      <c r="B43" s="764"/>
      <c r="C43" s="165">
        <f>SUMIF($G$7:$G$31,"Change Grade",$F$7:$F$31)</f>
        <v>0</v>
      </c>
      <c r="D43" s="119">
        <f>+C43+'22'!D43</f>
        <v>0</v>
      </c>
      <c r="E43" s="144">
        <f t="shared" si="3"/>
        <v>0</v>
      </c>
      <c r="F43" s="361"/>
      <c r="G43" s="362"/>
      <c r="H43" s="189" t="s">
        <v>86</v>
      </c>
      <c r="I43" s="119">
        <f>+Report1!AH31</f>
        <v>69.099999999999994</v>
      </c>
      <c r="J43" s="134">
        <f>+I43+'22'!J43</f>
        <v>1547.7</v>
      </c>
      <c r="K43" s="131" t="s">
        <v>76</v>
      </c>
      <c r="L43" s="425">
        <f>+Report1!AN31</f>
        <v>10.5</v>
      </c>
      <c r="M43" s="426">
        <f>+L43+'22'!M43</f>
        <v>228.4</v>
      </c>
    </row>
    <row r="44" spans="1:19" ht="17.45" customHeight="1">
      <c r="A44" s="763" t="s">
        <v>18</v>
      </c>
      <c r="B44" s="764"/>
      <c r="C44" s="165">
        <f>SUMIF($G$7:$G$31,"PLN",$F$7:$F$31)</f>
        <v>0</v>
      </c>
      <c r="D44" s="119">
        <f>+C44+'22'!D44</f>
        <v>0</v>
      </c>
      <c r="E44" s="144">
        <f t="shared" si="3"/>
        <v>0</v>
      </c>
      <c r="F44" s="361"/>
      <c r="G44" s="362"/>
      <c r="H44" s="189" t="s">
        <v>87</v>
      </c>
      <c r="I44" s="119">
        <f>I43/I38</f>
        <v>1.4059289100490344</v>
      </c>
      <c r="J44" s="135">
        <f>J43/J38</f>
        <v>1.3429731448757123</v>
      </c>
      <c r="K44" s="131" t="s">
        <v>76</v>
      </c>
      <c r="L44" s="427">
        <f>+L43/I38</f>
        <v>0.21363608618690105</v>
      </c>
      <c r="M44" s="428">
        <f>+M43/J38</f>
        <v>0.19818767609330792</v>
      </c>
    </row>
    <row r="45" spans="1:19" ht="17.45" customHeight="1">
      <c r="A45" s="763" t="s">
        <v>19</v>
      </c>
      <c r="B45" s="764"/>
      <c r="C45" s="165">
        <f>SUMIF($G$7:$G$31,"Boiler",$F$7:$F$31)</f>
        <v>0</v>
      </c>
      <c r="D45" s="119">
        <f>+C45+'22'!D45</f>
        <v>0</v>
      </c>
      <c r="E45" s="144">
        <f t="shared" si="3"/>
        <v>0</v>
      </c>
      <c r="F45" s="361"/>
      <c r="G45" s="364"/>
      <c r="H45" s="189" t="s">
        <v>88</v>
      </c>
      <c r="I45" s="119">
        <f>I43/I40</f>
        <v>1.4209335800945917</v>
      </c>
      <c r="J45" s="135">
        <f>J43/J40</f>
        <v>1.3778104591455207</v>
      </c>
      <c r="K45" s="131" t="s">
        <v>76</v>
      </c>
      <c r="L45" s="427">
        <f>+L43/I40</f>
        <v>0.21591610117211596</v>
      </c>
      <c r="M45" s="428">
        <f>+M43/J40</f>
        <v>0.20332875161131803</v>
      </c>
    </row>
    <row r="46" spans="1:19" ht="17.45" customHeight="1">
      <c r="A46" s="763" t="s">
        <v>89</v>
      </c>
      <c r="B46" s="764"/>
      <c r="C46" s="165">
        <f>SUMIF($G$7:$G$31,"Gas",$F$7:$F$31)</f>
        <v>0</v>
      </c>
      <c r="D46" s="119">
        <f>+C46+'22'!D46</f>
        <v>0</v>
      </c>
      <c r="E46" s="144">
        <f t="shared" si="3"/>
        <v>0</v>
      </c>
      <c r="F46" s="361"/>
      <c r="G46" s="362"/>
      <c r="H46" s="189" t="s">
        <v>90</v>
      </c>
      <c r="I46" s="141">
        <f>+SUMIF(Listrik!P30,"&gt;0")</f>
        <v>41851.600000000006</v>
      </c>
      <c r="J46" s="136">
        <f>+I46+'22'!J46</f>
        <v>907688.95999999996</v>
      </c>
      <c r="K46" s="131" t="s">
        <v>91</v>
      </c>
      <c r="L46" s="427">
        <f>+Listrik!AF30</f>
        <v>0</v>
      </c>
      <c r="M46" s="429">
        <f>+L46+'22'!M46</f>
        <v>0</v>
      </c>
    </row>
    <row r="47" spans="1:19" ht="17.45" customHeight="1">
      <c r="A47" s="763" t="s">
        <v>92</v>
      </c>
      <c r="B47" s="764"/>
      <c r="C47" s="165">
        <f>SUMIF($G$7:$G$31,"Gas",$F$7:$F$31)</f>
        <v>0</v>
      </c>
      <c r="D47" s="119">
        <f>+C47+'22'!D47</f>
        <v>0</v>
      </c>
      <c r="E47" s="144">
        <f t="shared" si="3"/>
        <v>0</v>
      </c>
      <c r="F47" s="361"/>
      <c r="G47" s="362"/>
      <c r="H47" s="189" t="s">
        <v>93</v>
      </c>
      <c r="I47" s="119">
        <f>I46/I38</f>
        <v>851.52495472949613</v>
      </c>
      <c r="J47" s="136">
        <f>J46/J38</f>
        <v>787.62156566528688</v>
      </c>
      <c r="K47" s="131" t="s">
        <v>25</v>
      </c>
      <c r="L47" s="427">
        <f>+L46/I38</f>
        <v>0</v>
      </c>
      <c r="M47" s="428">
        <f>+M46/J38</f>
        <v>0</v>
      </c>
    </row>
    <row r="48" spans="1:19" ht="17.45" customHeight="1">
      <c r="A48" s="763" t="s">
        <v>15</v>
      </c>
      <c r="B48" s="764"/>
      <c r="C48" s="165">
        <f>SUMIF($G$7:$G$31,"Start Up",$F$7:$F$31)</f>
        <v>0</v>
      </c>
      <c r="D48" s="119">
        <f>+C48+'22'!D48</f>
        <v>0</v>
      </c>
      <c r="E48" s="144">
        <f t="shared" si="3"/>
        <v>0</v>
      </c>
      <c r="F48" s="361"/>
      <c r="G48" s="362"/>
      <c r="H48" s="189" t="s">
        <v>94</v>
      </c>
      <c r="I48" s="119">
        <f>I46/I40</f>
        <v>860.61279045856475</v>
      </c>
      <c r="J48" s="136">
        <f>J46/J40</f>
        <v>808.05281562248501</v>
      </c>
      <c r="K48" s="131" t="s">
        <v>25</v>
      </c>
      <c r="L48" s="427">
        <f>+L46/I38</f>
        <v>0</v>
      </c>
      <c r="M48" s="428">
        <f>+M46/J40</f>
        <v>0</v>
      </c>
    </row>
    <row r="49" spans="1:13" ht="17.45" customHeight="1">
      <c r="A49" s="763" t="s">
        <v>21</v>
      </c>
      <c r="B49" s="764"/>
      <c r="C49" s="165">
        <f>SUMIF($G$7:$G$31,"Others",$F$7:$F$31)</f>
        <v>0</v>
      </c>
      <c r="D49" s="119">
        <f>+C49+'22'!D49</f>
        <v>0</v>
      </c>
      <c r="E49" s="144">
        <f t="shared" si="3"/>
        <v>0</v>
      </c>
      <c r="F49" s="186"/>
      <c r="H49" s="189" t="s">
        <v>95</v>
      </c>
      <c r="I49" s="119">
        <f>+Report1!AB31</f>
        <v>4809.6641632370647</v>
      </c>
      <c r="J49" s="136">
        <f>+I49+'22'!J49</f>
        <v>112096.41097088913</v>
      </c>
      <c r="K49" s="131" t="s">
        <v>96</v>
      </c>
      <c r="L49" s="423"/>
      <c r="M49" s="424"/>
    </row>
    <row r="50" spans="1:13" ht="17.45" customHeight="1">
      <c r="A50" s="763" t="s">
        <v>20</v>
      </c>
      <c r="B50" s="764"/>
      <c r="C50" s="165">
        <f>SUMIF($G$7:$G$31,"Steam",$F$7:$F$31)</f>
        <v>0</v>
      </c>
      <c r="D50" s="119">
        <f>+C50+'22'!D50</f>
        <v>0</v>
      </c>
      <c r="E50" s="144">
        <f t="shared" si="3"/>
        <v>0</v>
      </c>
      <c r="F50" s="186"/>
      <c r="H50" s="189" t="s">
        <v>97</v>
      </c>
      <c r="I50" s="141">
        <f>I49/I38</f>
        <v>97.858840734034558</v>
      </c>
      <c r="J50" s="134">
        <f>J49/J38</f>
        <v>97.2685078315276</v>
      </c>
      <c r="K50" s="131" t="s">
        <v>96</v>
      </c>
      <c r="L50" s="423"/>
      <c r="M50" s="424"/>
    </row>
    <row r="51" spans="1:13" ht="17.45" customHeight="1" thickBot="1">
      <c r="A51" s="765" t="s">
        <v>98</v>
      </c>
      <c r="B51" s="766"/>
      <c r="C51" s="165">
        <f>SUMIF($G$7:$G$31,"Planned shut",$F$7:$F$31)</f>
        <v>0</v>
      </c>
      <c r="D51" s="119">
        <f>+C51+'22'!D51</f>
        <v>609</v>
      </c>
      <c r="E51" s="144">
        <f t="shared" si="3"/>
        <v>10.15</v>
      </c>
      <c r="F51" s="186"/>
      <c r="H51" s="191" t="s">
        <v>99</v>
      </c>
      <c r="I51" s="142">
        <f>I49/I40</f>
        <v>98.903231816513767</v>
      </c>
      <c r="J51" s="137">
        <f>J49/J40</f>
        <v>99.791695721629338</v>
      </c>
      <c r="K51" s="138" t="s">
        <v>96</v>
      </c>
      <c r="L51" s="423"/>
      <c r="M51" s="424"/>
    </row>
    <row r="52" spans="1:13" ht="13.5" thickBot="1">
      <c r="A52" s="767" t="s">
        <v>29</v>
      </c>
      <c r="B52" s="768"/>
      <c r="C52" s="145">
        <f>SUM(C38:C51)</f>
        <v>77</v>
      </c>
      <c r="D52" s="145">
        <f>SUM(D38:D51)</f>
        <v>2332</v>
      </c>
      <c r="E52" s="146">
        <f>SUM(E38:E51)</f>
        <v>38.866666666666667</v>
      </c>
      <c r="F52" s="186"/>
      <c r="H52" s="192"/>
      <c r="I52" s="193"/>
      <c r="J52" s="139"/>
      <c r="K52" s="140"/>
      <c r="L52" s="430"/>
      <c r="M52" s="431"/>
    </row>
    <row r="53" spans="1:13" ht="13.5" thickBot="1">
      <c r="A53" s="769"/>
      <c r="B53" s="770"/>
      <c r="C53" s="147">
        <f>C52/(24*60)</f>
        <v>5.347222222222222E-2</v>
      </c>
      <c r="D53" s="147">
        <f>D52/(24*60*G4)</f>
        <v>7.0410628019323671E-2</v>
      </c>
      <c r="E53" s="148">
        <f>E52/(G4*24)</f>
        <v>7.0410628019323671E-2</v>
      </c>
      <c r="F53" s="186"/>
    </row>
    <row r="54" spans="1:13">
      <c r="E54" s="194"/>
      <c r="F54" s="186"/>
    </row>
    <row r="55" spans="1:13">
      <c r="E55" s="194"/>
    </row>
    <row r="56" spans="1:13">
      <c r="A56" s="195" t="s">
        <v>100</v>
      </c>
      <c r="B56" s="196"/>
      <c r="C56" s="197"/>
      <c r="D56" s="197"/>
      <c r="E56" s="197"/>
      <c r="F56" s="198"/>
      <c r="G56" s="197"/>
      <c r="H56" s="199"/>
      <c r="I56" s="200" t="s">
        <v>101</v>
      </c>
      <c r="J56" s="201">
        <f>+D34+'22'!J56</f>
        <v>3992</v>
      </c>
      <c r="K56" s="202">
        <f>J56/(J40+J56/1000)/1000</f>
        <v>3.5412172135801064E-3</v>
      </c>
    </row>
    <row r="57" spans="1:13">
      <c r="A57" s="177"/>
      <c r="I57" s="200" t="s">
        <v>102</v>
      </c>
      <c r="J57" s="201">
        <f>+E34+'22'!J57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Z61"/>
  <sheetViews>
    <sheetView zoomScale="80" zoomScaleNormal="80" workbookViewId="0">
      <selection activeCell="G15" sqref="G15"/>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7109375" style="150" bestFit="1" customWidth="1"/>
    <col min="12" max="12" width="8.28515625" style="150" customWidth="1"/>
    <col min="13" max="13" width="14.425781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22</v>
      </c>
      <c r="H4" s="155" t="str">
        <f>+'1'!H4</f>
        <v>.11.25</v>
      </c>
      <c r="J4" s="150">
        <f>379.1+111.4+514.8</f>
        <v>1005.3</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656</v>
      </c>
      <c r="O6" s="150">
        <v>920</v>
      </c>
      <c r="P6" s="150">
        <f>+O6-O6*0.2</f>
        <v>736</v>
      </c>
      <c r="Q6" s="150">
        <f>60*3+37</f>
        <v>217</v>
      </c>
      <c r="R6" s="150">
        <f>+O6*Q6</f>
        <v>199640</v>
      </c>
      <c r="S6" s="150">
        <f>+P6*Q6</f>
        <v>159712</v>
      </c>
    </row>
    <row r="7" spans="1:19" ht="13.5" customHeight="1" thickBot="1">
      <c r="A7" s="775" t="s">
        <v>460</v>
      </c>
      <c r="B7" s="216" t="s">
        <v>663</v>
      </c>
      <c r="C7" s="217">
        <f>6016+6590</f>
        <v>12606</v>
      </c>
      <c r="D7" s="218">
        <v>445</v>
      </c>
      <c r="E7" s="219"/>
      <c r="F7" s="229"/>
      <c r="G7" s="230" t="s">
        <v>13</v>
      </c>
      <c r="H7" s="231" t="s">
        <v>390</v>
      </c>
      <c r="I7" s="778" t="s">
        <v>676</v>
      </c>
      <c r="J7" s="215" t="str">
        <f>+'21'!J7</f>
        <v>T 13,5 RC HW</v>
      </c>
      <c r="K7" s="239"/>
      <c r="L7" s="243"/>
      <c r="M7" s="118">
        <f>+K7+'21'!M7+L7</f>
        <v>263166</v>
      </c>
      <c r="N7" s="150" t="s">
        <v>469</v>
      </c>
      <c r="O7" s="150">
        <v>1160</v>
      </c>
      <c r="P7" s="150">
        <f t="shared" ref="P7:P8" si="0">+O7-O7*0.2</f>
        <v>928</v>
      </c>
      <c r="Q7" s="150">
        <f>480-Q6</f>
        <v>263</v>
      </c>
      <c r="R7" s="150">
        <f>+O7*Q7</f>
        <v>305080</v>
      </c>
      <c r="S7" s="150">
        <f>+P7*Q7</f>
        <v>244064</v>
      </c>
    </row>
    <row r="8" spans="1:19" ht="13.5" thickBot="1">
      <c r="A8" s="776"/>
      <c r="B8" s="216" t="s">
        <v>479</v>
      </c>
      <c r="C8" s="217">
        <v>4113</v>
      </c>
      <c r="D8" s="218"/>
      <c r="E8" s="220"/>
      <c r="F8" s="232">
        <v>3</v>
      </c>
      <c r="G8" s="579" t="s">
        <v>13</v>
      </c>
      <c r="H8" s="231" t="s">
        <v>429</v>
      </c>
      <c r="I8" s="779"/>
      <c r="J8" s="215" t="str">
        <f>+'21'!J8</f>
        <v>T 14 RC HW</v>
      </c>
      <c r="K8" s="240"/>
      <c r="L8" s="240"/>
      <c r="M8" s="118">
        <f>+K8+'21'!M8+L8</f>
        <v>97781</v>
      </c>
      <c r="P8" s="150">
        <f t="shared" si="0"/>
        <v>0</v>
      </c>
      <c r="R8" s="150">
        <f>+O8*Q8</f>
        <v>0</v>
      </c>
      <c r="S8" s="150">
        <f>+P8*Q8</f>
        <v>0</v>
      </c>
    </row>
    <row r="9" spans="1:19" ht="13.5" thickBot="1">
      <c r="A9" s="776"/>
      <c r="B9" s="216"/>
      <c r="C9" s="217"/>
      <c r="D9" s="218"/>
      <c r="E9" s="221"/>
      <c r="F9" s="229">
        <v>8</v>
      </c>
      <c r="G9" s="579" t="s">
        <v>13</v>
      </c>
      <c r="H9" s="234" t="s">
        <v>425</v>
      </c>
      <c r="I9" s="779"/>
      <c r="J9" s="215" t="str">
        <f>+'21'!J9</f>
        <v>T 15 RC HW</v>
      </c>
      <c r="K9" s="240">
        <f>+C8+C16+C25</f>
        <v>38608</v>
      </c>
      <c r="L9" s="240"/>
      <c r="M9" s="118">
        <f>+K9+'21'!M9+L9</f>
        <v>72846</v>
      </c>
    </row>
    <row r="10" spans="1:19" ht="39" thickBot="1">
      <c r="A10" s="776"/>
      <c r="B10" s="216"/>
      <c r="C10" s="217"/>
      <c r="D10" s="218"/>
      <c r="E10" s="220"/>
      <c r="F10" s="229">
        <v>8</v>
      </c>
      <c r="G10" s="238" t="s">
        <v>14</v>
      </c>
      <c r="H10" s="234" t="s">
        <v>672</v>
      </c>
      <c r="I10" s="779"/>
      <c r="J10" s="215" t="str">
        <f>+'21'!J10</f>
        <v>TW 29 RC HW</v>
      </c>
      <c r="K10" s="240"/>
      <c r="L10" s="240"/>
      <c r="M10" s="118">
        <f>+K10+'21'!M10+L10</f>
        <v>21998</v>
      </c>
    </row>
    <row r="11" spans="1:19" ht="13.5" thickBot="1">
      <c r="A11" s="776"/>
      <c r="B11" s="216"/>
      <c r="C11" s="217"/>
      <c r="D11" s="218"/>
      <c r="E11" s="220"/>
      <c r="F11" s="229"/>
      <c r="G11" s="233"/>
      <c r="H11" s="234" t="s">
        <v>673</v>
      </c>
      <c r="I11" s="779"/>
      <c r="J11" s="215" t="str">
        <f>+'21'!J11</f>
        <v>TW 20 RC HW</v>
      </c>
      <c r="K11" s="240"/>
      <c r="L11" s="240"/>
      <c r="M11" s="118">
        <f>+K11+'21'!M11+L11</f>
        <v>104164</v>
      </c>
    </row>
    <row r="12" spans="1:19" ht="13.5" thickBot="1">
      <c r="A12" s="776"/>
      <c r="B12" s="216"/>
      <c r="C12" s="217"/>
      <c r="D12" s="218"/>
      <c r="E12" s="220"/>
      <c r="F12" s="229"/>
      <c r="G12" s="233"/>
      <c r="H12" s="234"/>
      <c r="I12" s="779"/>
      <c r="J12" s="215" t="str">
        <f>+'21'!J12</f>
        <v>TW 19 RC HW</v>
      </c>
      <c r="K12" s="240"/>
      <c r="L12" s="240"/>
      <c r="M12" s="118">
        <f>+K12+'21'!M12+L12</f>
        <v>18863</v>
      </c>
    </row>
    <row r="13" spans="1:19" ht="13.5" thickBot="1">
      <c r="A13" s="776"/>
      <c r="B13" s="216"/>
      <c r="C13" s="217"/>
      <c r="D13" s="217"/>
      <c r="E13" s="220"/>
      <c r="F13" s="229"/>
      <c r="G13" s="233"/>
      <c r="H13" s="234"/>
      <c r="I13" s="780"/>
      <c r="J13" s="215" t="str">
        <f>+'21'!J13</f>
        <v>TW 17 RC HW</v>
      </c>
      <c r="K13" s="240"/>
      <c r="L13" s="240"/>
      <c r="M13" s="118">
        <f>+K13+'21'!M13+L13</f>
        <v>67816</v>
      </c>
    </row>
    <row r="14" spans="1:19" ht="13.5" thickBot="1">
      <c r="A14" s="777"/>
      <c r="B14" s="166" t="s">
        <v>3</v>
      </c>
      <c r="C14" s="100">
        <f>SUM(C7:C13)</f>
        <v>16719</v>
      </c>
      <c r="D14" s="112">
        <f>SUM(D7:D13)</f>
        <v>445</v>
      </c>
      <c r="E14" s="113">
        <f>SUM(E5:E13)</f>
        <v>0</v>
      </c>
      <c r="F14" s="103">
        <f>SUM(F6:F13)</f>
        <v>19</v>
      </c>
      <c r="G14" s="160"/>
      <c r="H14" s="167"/>
      <c r="I14" s="168"/>
      <c r="J14" s="215" t="str">
        <f>+'21'!J14</f>
        <v>F 14 RC HW</v>
      </c>
      <c r="K14" s="240"/>
      <c r="L14" s="240"/>
      <c r="M14" s="118">
        <f>+K14+'21'!M14+L14</f>
        <v>10232</v>
      </c>
    </row>
    <row r="15" spans="1:19" ht="13.5" customHeight="1" thickBot="1">
      <c r="A15" s="775" t="s">
        <v>444</v>
      </c>
      <c r="B15" s="166"/>
      <c r="C15" s="114">
        <f>C14/($C$23+$D$23+$E$23)</f>
        <v>0.91430602646833647</v>
      </c>
      <c r="D15" s="115">
        <f>D14/($C$23+$D$23+$E$23)</f>
        <v>2.4335557256917859E-2</v>
      </c>
      <c r="E15" s="116">
        <f>E14/($C$23+$D$23+$E$23)</f>
        <v>0</v>
      </c>
      <c r="F15" s="229"/>
      <c r="G15" s="230" t="s">
        <v>13</v>
      </c>
      <c r="H15" s="231" t="s">
        <v>390</v>
      </c>
      <c r="I15" s="778" t="s">
        <v>675</v>
      </c>
      <c r="J15" s="215" t="str">
        <f>+'21'!J15</f>
        <v>T 16,5 RC HW</v>
      </c>
      <c r="K15" s="240"/>
      <c r="L15" s="240"/>
      <c r="M15" s="118">
        <f>+K15+'21'!M15+L15</f>
        <v>10954</v>
      </c>
    </row>
    <row r="16" spans="1:19" ht="13.5" thickBot="1">
      <c r="A16" s="781"/>
      <c r="B16" s="216" t="s">
        <v>479</v>
      </c>
      <c r="C16" s="223">
        <v>18286</v>
      </c>
      <c r="D16" s="224"/>
      <c r="E16" s="225"/>
      <c r="F16" s="232">
        <v>4</v>
      </c>
      <c r="G16" s="579" t="s">
        <v>13</v>
      </c>
      <c r="H16" s="231" t="s">
        <v>426</v>
      </c>
      <c r="I16" s="779"/>
      <c r="J16" s="215" t="str">
        <f>+'21'!J16</f>
        <v>T 15,5 RC HW</v>
      </c>
      <c r="K16" s="240"/>
      <c r="L16" s="230"/>
      <c r="M16" s="118">
        <f>+K16+'21'!M16+L16</f>
        <v>263708</v>
      </c>
      <c r="Q16" s="150">
        <f>SUM(Q6:Q14)</f>
        <v>480</v>
      </c>
      <c r="R16" s="150">
        <f>SUM(R6:R14)</f>
        <v>504720</v>
      </c>
      <c r="S16" s="150">
        <f>SUM(S6:S14)</f>
        <v>403776</v>
      </c>
    </row>
    <row r="17" spans="1:26" ht="13.5" thickBot="1">
      <c r="A17" s="781"/>
      <c r="B17" s="216"/>
      <c r="C17" s="217"/>
      <c r="D17" s="218"/>
      <c r="E17" s="226"/>
      <c r="F17" s="229">
        <v>8</v>
      </c>
      <c r="G17" s="579" t="s">
        <v>13</v>
      </c>
      <c r="H17" s="234" t="s">
        <v>397</v>
      </c>
      <c r="I17" s="779"/>
      <c r="J17" s="215" t="str">
        <f>+'21'!J17</f>
        <v>T 16 RC HW</v>
      </c>
      <c r="K17" s="240"/>
      <c r="L17" s="230"/>
      <c r="M17" s="118">
        <f>+K17+'21'!M17+L17</f>
        <v>43235</v>
      </c>
      <c r="Q17" s="150">
        <f>480-Q16</f>
        <v>0</v>
      </c>
      <c r="R17" s="150">
        <f>+R16/Q16</f>
        <v>1051.5</v>
      </c>
      <c r="S17" s="150">
        <f>+S16/Q16</f>
        <v>841.2</v>
      </c>
    </row>
    <row r="18" spans="1:26" ht="26.25" thickBot="1">
      <c r="A18" s="781"/>
      <c r="B18" s="216"/>
      <c r="C18" s="217"/>
      <c r="D18" s="218"/>
      <c r="E18" s="226"/>
      <c r="F18" s="229">
        <v>10</v>
      </c>
      <c r="G18" s="238" t="s">
        <v>14</v>
      </c>
      <c r="H18" s="234" t="s">
        <v>671</v>
      </c>
      <c r="I18" s="779"/>
      <c r="J18" s="215" t="str">
        <f>+'21'!J18</f>
        <v>T 19 RC HW</v>
      </c>
      <c r="K18" s="240"/>
      <c r="L18" s="240"/>
      <c r="M18" s="118">
        <f>+K18+'21'!M18+L18</f>
        <v>66753</v>
      </c>
      <c r="N18" s="150" t="s">
        <v>469</v>
      </c>
      <c r="O18" s="150">
        <v>1150</v>
      </c>
      <c r="P18" s="150">
        <f>+O18-O18*0.22</f>
        <v>897</v>
      </c>
      <c r="Q18" s="150">
        <v>480</v>
      </c>
      <c r="R18" s="150">
        <f>+O18*Q18</f>
        <v>552000</v>
      </c>
      <c r="S18" s="150">
        <f>+P18*Q18</f>
        <v>430560</v>
      </c>
      <c r="U18" s="150" t="s">
        <v>469</v>
      </c>
      <c r="V18" s="150">
        <v>1150</v>
      </c>
      <c r="W18" s="150">
        <f>+V18-V18*0.22</f>
        <v>897</v>
      </c>
      <c r="X18" s="150">
        <v>480</v>
      </c>
      <c r="Y18" s="150">
        <f>+V18*X18</f>
        <v>552000</v>
      </c>
      <c r="Z18" s="150">
        <f>+W18*X18</f>
        <v>430560</v>
      </c>
    </row>
    <row r="19" spans="1:26" ht="13.5" thickBot="1">
      <c r="A19" s="781"/>
      <c r="B19" s="216"/>
      <c r="C19" s="217"/>
      <c r="D19" s="218"/>
      <c r="E19" s="226"/>
      <c r="F19" s="236"/>
      <c r="G19" s="233"/>
      <c r="H19" s="234"/>
      <c r="I19" s="779"/>
      <c r="J19" s="215" t="str">
        <f>+'21'!J19</f>
        <v>T 20 RC HW</v>
      </c>
      <c r="K19" s="240">
        <f>+C7</f>
        <v>12606</v>
      </c>
      <c r="L19" s="240"/>
      <c r="M19" s="118">
        <f>+K19+'21'!M19+L19</f>
        <v>33158</v>
      </c>
      <c r="P19" s="150">
        <f t="shared" ref="P19:P20" si="1">+O19-O19*0.2</f>
        <v>0</v>
      </c>
      <c r="Q19" s="150">
        <f>480-Q18</f>
        <v>0</v>
      </c>
      <c r="R19" s="150">
        <f>+O19*Q19</f>
        <v>0</v>
      </c>
      <c r="S19" s="150">
        <f>+P19*Q19</f>
        <v>0</v>
      </c>
      <c r="U19" s="150" t="s">
        <v>469</v>
      </c>
      <c r="V19" s="150">
        <v>1160</v>
      </c>
      <c r="W19" s="150">
        <v>928</v>
      </c>
      <c r="X19" s="150">
        <v>263</v>
      </c>
      <c r="Y19" s="150">
        <f>+V19*X19</f>
        <v>305080</v>
      </c>
      <c r="Z19" s="150">
        <f>+W19*X19</f>
        <v>244064</v>
      </c>
    </row>
    <row r="20" spans="1:26" ht="13.5" thickBot="1">
      <c r="A20" s="781"/>
      <c r="B20" s="216"/>
      <c r="C20" s="217"/>
      <c r="D20" s="218"/>
      <c r="E20" s="226"/>
      <c r="F20" s="229"/>
      <c r="G20" s="233"/>
      <c r="H20" s="234"/>
      <c r="I20" s="779"/>
      <c r="J20" s="215">
        <f>+'21'!J20</f>
        <v>0</v>
      </c>
      <c r="K20" s="240"/>
      <c r="L20" s="241"/>
      <c r="M20" s="118">
        <f>+K20+'21'!M20+L20</f>
        <v>0</v>
      </c>
      <c r="P20" s="150">
        <f t="shared" si="1"/>
        <v>0</v>
      </c>
      <c r="R20" s="150">
        <f>+O20*Q20</f>
        <v>0</v>
      </c>
      <c r="S20" s="150">
        <f>+P20*Q20</f>
        <v>0</v>
      </c>
      <c r="V20" s="150">
        <v>1160</v>
      </c>
      <c r="W20" s="150">
        <v>904.8</v>
      </c>
      <c r="X20" s="150">
        <v>329</v>
      </c>
      <c r="Y20" s="150">
        <f>+V20*X20</f>
        <v>381640</v>
      </c>
      <c r="Z20" s="150">
        <f>+W20*X20</f>
        <v>297679.2</v>
      </c>
    </row>
    <row r="21" spans="1:26" ht="13.5" thickBot="1">
      <c r="A21" s="781"/>
      <c r="B21" s="216"/>
      <c r="C21" s="217"/>
      <c r="D21" s="218"/>
      <c r="E21" s="226"/>
      <c r="F21" s="232"/>
      <c r="G21" s="233"/>
      <c r="H21" s="234"/>
      <c r="I21" s="779"/>
      <c r="J21" s="215">
        <f>+'21'!J21</f>
        <v>0</v>
      </c>
      <c r="K21" s="240"/>
      <c r="L21" s="240"/>
      <c r="M21" s="118">
        <f>+K21+'21'!M21+L21</f>
        <v>0</v>
      </c>
      <c r="V21" s="150">
        <v>1160</v>
      </c>
      <c r="W21" s="150">
        <v>939.6</v>
      </c>
      <c r="X21" s="150">
        <v>151</v>
      </c>
      <c r="Y21" s="150">
        <f t="shared" ref="Y21:Y22" si="2">+V21*X21</f>
        <v>175160</v>
      </c>
      <c r="Z21" s="150">
        <f t="shared" ref="Z21:Z22" si="3">+W21*X21</f>
        <v>141879.6</v>
      </c>
    </row>
    <row r="22" spans="1:26" ht="13.5" thickBot="1">
      <c r="A22" s="781"/>
      <c r="B22" s="216"/>
      <c r="C22" s="217"/>
      <c r="D22" s="218"/>
      <c r="E22" s="226"/>
      <c r="F22" s="237"/>
      <c r="G22" s="233"/>
      <c r="H22" s="234"/>
      <c r="I22" s="780"/>
      <c r="J22" s="215">
        <f>+'21'!J22</f>
        <v>0</v>
      </c>
      <c r="K22" s="240"/>
      <c r="L22" s="240"/>
      <c r="M22" s="118">
        <f>+K22+'21'!M22+L22</f>
        <v>0</v>
      </c>
      <c r="Y22" s="150">
        <f t="shared" si="2"/>
        <v>0</v>
      </c>
      <c r="Z22" s="150">
        <f t="shared" si="3"/>
        <v>0</v>
      </c>
    </row>
    <row r="23" spans="1:26" ht="13.5" thickBot="1">
      <c r="A23" s="782"/>
      <c r="B23" s="166" t="s">
        <v>3</v>
      </c>
      <c r="C23" s="101">
        <f>SUM(C16:C22)</f>
        <v>18286</v>
      </c>
      <c r="D23" s="112">
        <f>SUM(D16:D22)</f>
        <v>0</v>
      </c>
      <c r="E23" s="113">
        <f>SUM(E18:E22)</f>
        <v>0</v>
      </c>
      <c r="F23" s="103">
        <f>SUM(F15:F22)</f>
        <v>22</v>
      </c>
      <c r="G23" s="160"/>
      <c r="H23" s="167"/>
      <c r="I23" s="170"/>
      <c r="J23" s="215">
        <f>+'21'!J23</f>
        <v>0</v>
      </c>
      <c r="K23" s="240"/>
      <c r="L23" s="240"/>
      <c r="M23" s="118">
        <f>+K23+'21'!M23+L23</f>
        <v>0</v>
      </c>
    </row>
    <row r="24" spans="1:26" ht="13.5" customHeight="1" thickBot="1">
      <c r="A24" s="775" t="s">
        <v>446</v>
      </c>
      <c r="B24" s="171"/>
      <c r="C24" s="114">
        <f>C23/($C$23+$D$23+$E$23)</f>
        <v>1</v>
      </c>
      <c r="D24" s="115">
        <f>D23/($C$23+$D$23+$E$23)</f>
        <v>0</v>
      </c>
      <c r="E24" s="116">
        <f>E23/($C$23+$D$23+$E$23)</f>
        <v>0</v>
      </c>
      <c r="F24" s="229"/>
      <c r="G24" s="230" t="s">
        <v>13</v>
      </c>
      <c r="H24" s="231" t="s">
        <v>390</v>
      </c>
      <c r="I24" s="778" t="s">
        <v>674</v>
      </c>
      <c r="J24" s="215">
        <f>+'21'!J24</f>
        <v>0</v>
      </c>
      <c r="K24" s="240"/>
      <c r="L24" s="240"/>
      <c r="M24" s="118">
        <f>+K24+'21'!M24+L24</f>
        <v>0</v>
      </c>
    </row>
    <row r="25" spans="1:26" ht="13.5" customHeight="1" thickBot="1">
      <c r="A25" s="781"/>
      <c r="B25" s="216" t="s">
        <v>479</v>
      </c>
      <c r="C25" s="227">
        <v>16209</v>
      </c>
      <c r="D25" s="218"/>
      <c r="E25" s="226"/>
      <c r="F25" s="232">
        <v>8</v>
      </c>
      <c r="G25" s="579" t="s">
        <v>13</v>
      </c>
      <c r="H25" s="231" t="s">
        <v>426</v>
      </c>
      <c r="I25" s="779"/>
      <c r="J25" s="215">
        <f>+'21'!J25</f>
        <v>0</v>
      </c>
      <c r="K25" s="240"/>
      <c r="L25" s="240"/>
      <c r="M25" s="118">
        <f>+K25+'21'!M25+L25</f>
        <v>0</v>
      </c>
    </row>
    <row r="26" spans="1:26" ht="13.5" customHeight="1" thickBot="1">
      <c r="A26" s="781"/>
      <c r="B26" s="216"/>
      <c r="C26" s="227"/>
      <c r="D26" s="218"/>
      <c r="E26" s="228"/>
      <c r="F26" s="229">
        <v>12</v>
      </c>
      <c r="G26" s="579" t="s">
        <v>13</v>
      </c>
      <c r="H26" s="234" t="s">
        <v>397</v>
      </c>
      <c r="I26" s="779"/>
      <c r="J26" s="215">
        <f>+'21'!J26</f>
        <v>0</v>
      </c>
      <c r="K26" s="240"/>
      <c r="L26" s="240"/>
      <c r="M26" s="118">
        <f>+K26+'21'!M26+L26</f>
        <v>0</v>
      </c>
    </row>
    <row r="27" spans="1:26" ht="26.25" thickBot="1">
      <c r="A27" s="781"/>
      <c r="B27" s="216"/>
      <c r="C27" s="217"/>
      <c r="D27" s="218"/>
      <c r="E27" s="226"/>
      <c r="F27" s="229"/>
      <c r="G27" s="238" t="s">
        <v>14</v>
      </c>
      <c r="H27" s="234" t="s">
        <v>669</v>
      </c>
      <c r="I27" s="779"/>
      <c r="J27" s="215">
        <f>+'21'!J27</f>
        <v>0</v>
      </c>
      <c r="K27" s="240"/>
      <c r="L27" s="240"/>
      <c r="M27" s="118">
        <f>+K27+'21'!M27+L27</f>
        <v>0</v>
      </c>
    </row>
    <row r="28" spans="1:26" ht="13.5" customHeight="1" thickBot="1">
      <c r="A28" s="781"/>
      <c r="B28" s="216"/>
      <c r="C28" s="217"/>
      <c r="D28" s="218"/>
      <c r="E28" s="226"/>
      <c r="F28" s="232"/>
      <c r="G28" s="233"/>
      <c r="H28" s="234" t="s">
        <v>670</v>
      </c>
      <c r="I28" s="779"/>
      <c r="J28" s="215">
        <f>+'21'!J28</f>
        <v>0</v>
      </c>
      <c r="K28" s="240"/>
      <c r="L28" s="240"/>
      <c r="M28" s="118">
        <f>+K28+'21'!M28+L28</f>
        <v>0</v>
      </c>
      <c r="Q28" s="150">
        <f>SUM(Q18:Q26)</f>
        <v>480</v>
      </c>
      <c r="R28" s="150">
        <f>SUM(R18:R26)</f>
        <v>552000</v>
      </c>
      <c r="S28" s="150">
        <f>SUM(S18:S26)</f>
        <v>430560</v>
      </c>
      <c r="X28" s="150">
        <f>SUM(X18:X26)</f>
        <v>1223</v>
      </c>
      <c r="Y28" s="150">
        <f>SUM(Y18:Y26)</f>
        <v>1413880</v>
      </c>
      <c r="Z28" s="150">
        <f>SUM(Z18:Z26)</f>
        <v>1114182.8</v>
      </c>
    </row>
    <row r="29" spans="1:26" ht="13.5" customHeight="1" thickBot="1">
      <c r="A29" s="781"/>
      <c r="B29" s="216"/>
      <c r="C29" s="217"/>
      <c r="D29" s="218"/>
      <c r="E29" s="226"/>
      <c r="F29" s="237"/>
      <c r="G29" s="233"/>
      <c r="H29" s="234"/>
      <c r="I29" s="779"/>
      <c r="J29" s="215">
        <f>+'21'!J29</f>
        <v>0</v>
      </c>
      <c r="K29" s="240"/>
      <c r="L29" s="240"/>
      <c r="M29" s="118">
        <f>+K29+'21'!M29+L29</f>
        <v>0</v>
      </c>
      <c r="Q29" s="150">
        <f>480-Q28</f>
        <v>0</v>
      </c>
      <c r="R29" s="150">
        <f>+R28/Q28</f>
        <v>1150</v>
      </c>
      <c r="S29" s="150">
        <f>+S28/Q28</f>
        <v>897</v>
      </c>
      <c r="X29" s="150">
        <f>480-X28</f>
        <v>-743</v>
      </c>
      <c r="Y29" s="150">
        <f>+Y28/X28</f>
        <v>1156.0752248569092</v>
      </c>
      <c r="Z29" s="150">
        <f>+Z28/X28</f>
        <v>911.02436631234673</v>
      </c>
    </row>
    <row r="30" spans="1:26" ht="13.5" customHeight="1" thickBot="1">
      <c r="A30" s="781"/>
      <c r="B30" s="216"/>
      <c r="C30" s="227"/>
      <c r="D30" s="218"/>
      <c r="E30" s="226"/>
      <c r="F30" s="237"/>
      <c r="G30" s="233"/>
      <c r="H30" s="234"/>
      <c r="I30" s="779"/>
      <c r="J30" s="215">
        <f>+'21'!J30</f>
        <v>0</v>
      </c>
      <c r="K30" s="240"/>
      <c r="L30" s="240"/>
      <c r="M30" s="118">
        <f>+K30+'21'!M30+L30</f>
        <v>0</v>
      </c>
    </row>
    <row r="31" spans="1:26" ht="13.5" customHeight="1" thickBot="1">
      <c r="A31" s="781"/>
      <c r="B31" s="216"/>
      <c r="C31" s="227"/>
      <c r="D31" s="218"/>
      <c r="E31" s="226"/>
      <c r="F31" s="237"/>
      <c r="G31" s="238"/>
      <c r="H31" s="235"/>
      <c r="I31" s="780"/>
      <c r="J31" s="215">
        <f>+'21'!J31</f>
        <v>0</v>
      </c>
      <c r="K31" s="240"/>
      <c r="L31" s="240"/>
      <c r="M31" s="118">
        <f>+K31+'21'!M31+L31</f>
        <v>0</v>
      </c>
      <c r="N31" s="150" t="s">
        <v>469</v>
      </c>
      <c r="O31" s="150">
        <v>1160</v>
      </c>
      <c r="P31" s="150">
        <f>+O31-O31*0.22</f>
        <v>904.8</v>
      </c>
      <c r="Q31" s="150">
        <f>60*5+29</f>
        <v>329</v>
      </c>
      <c r="R31" s="150">
        <f>+O31*Q31</f>
        <v>381640</v>
      </c>
      <c r="S31" s="150">
        <f>+P31*Q31</f>
        <v>297679.2</v>
      </c>
    </row>
    <row r="32" spans="1:26" ht="13.5" customHeight="1" thickBot="1">
      <c r="A32" s="782"/>
      <c r="B32" s="166" t="s">
        <v>3</v>
      </c>
      <c r="C32" s="100">
        <f>SUM(C25:C31)</f>
        <v>16209</v>
      </c>
      <c r="D32" s="101">
        <f>SUM(D25:D31)</f>
        <v>0</v>
      </c>
      <c r="E32" s="102">
        <f>SUM(E25:E31)</f>
        <v>0</v>
      </c>
      <c r="F32" s="103">
        <f>SUM(F24:F31)</f>
        <v>20</v>
      </c>
      <c r="G32" s="172"/>
      <c r="H32" s="173"/>
      <c r="I32" s="170"/>
      <c r="J32" s="215">
        <f>+'21'!J32</f>
        <v>0</v>
      </c>
      <c r="K32" s="242"/>
      <c r="L32" s="244"/>
      <c r="M32" s="118">
        <f>+K32+'21'!M32+L32</f>
        <v>0</v>
      </c>
      <c r="O32" s="150">
        <v>1160</v>
      </c>
      <c r="P32" s="150">
        <f>+O32-O32*0.19</f>
        <v>939.6</v>
      </c>
      <c r="Q32" s="150">
        <f>480-Q31</f>
        <v>151</v>
      </c>
      <c r="R32" s="150">
        <f>+O32*Q32</f>
        <v>175160</v>
      </c>
      <c r="S32" s="150">
        <f>+P32*Q32</f>
        <v>141879.6</v>
      </c>
    </row>
    <row r="33" spans="1:19" ht="13.5" thickBot="1">
      <c r="A33" s="174"/>
      <c r="B33" s="175"/>
      <c r="C33" s="104">
        <f>C32/($C$32+$D$32+$E$32)</f>
        <v>1</v>
      </c>
      <c r="D33" s="105">
        <f>D32/($C$32+$D$32+$E$32)</f>
        <v>0</v>
      </c>
      <c r="E33" s="106">
        <f>E32/($C$32+$D$32+$E$32)</f>
        <v>0</v>
      </c>
      <c r="F33" s="107"/>
      <c r="G33" s="176"/>
      <c r="H33" s="177"/>
      <c r="I33" s="178"/>
      <c r="J33" s="122"/>
      <c r="K33" s="123"/>
      <c r="L33" s="214"/>
      <c r="M33" s="120"/>
      <c r="P33" s="150">
        <f t="shared" ref="P33" si="4">+O33-O33*0.2</f>
        <v>0</v>
      </c>
      <c r="R33" s="150">
        <f>+O33*Q33</f>
        <v>0</v>
      </c>
      <c r="S33" s="150">
        <f>+P33*Q33</f>
        <v>0</v>
      </c>
    </row>
    <row r="34" spans="1:19" ht="13.5" thickBot="1">
      <c r="A34" s="771" t="s">
        <v>70</v>
      </c>
      <c r="B34" s="772"/>
      <c r="C34" s="108">
        <f>C14+C23+C32</f>
        <v>51214</v>
      </c>
      <c r="D34" s="108">
        <f>D14+D23+D32</f>
        <v>445</v>
      </c>
      <c r="E34" s="108">
        <f>E14+E23+E32</f>
        <v>0</v>
      </c>
      <c r="F34" s="109">
        <f>F14+F23+F32</f>
        <v>61</v>
      </c>
      <c r="H34" s="179"/>
      <c r="I34" s="179"/>
      <c r="J34" s="124" t="s">
        <v>29</v>
      </c>
      <c r="K34" s="125">
        <f>SUM(K7:K32)</f>
        <v>51214</v>
      </c>
      <c r="L34" s="213">
        <f>SUM(L7:L32)</f>
        <v>0</v>
      </c>
      <c r="M34" s="121">
        <f>SUM(M7:M32)</f>
        <v>1074674</v>
      </c>
    </row>
    <row r="35" spans="1:19" ht="13.5" thickBot="1">
      <c r="A35" s="180"/>
      <c r="B35" s="181"/>
      <c r="C35" s="105">
        <f>C34/($C$34+$D$34+$E$34)</f>
        <v>0.99138581854081576</v>
      </c>
      <c r="D35" s="105">
        <f>D34/($C$34+$D$34+$E$34)</f>
        <v>8.6141814591842655E-3</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row>
    <row r="37" spans="1:19" ht="17.45" customHeight="1" thickBot="1">
      <c r="A37" s="773" t="s">
        <v>71</v>
      </c>
      <c r="B37" s="774"/>
      <c r="C37" s="163" t="s">
        <v>72</v>
      </c>
      <c r="D37" s="184" t="s">
        <v>73</v>
      </c>
      <c r="E37" s="185" t="s">
        <v>74</v>
      </c>
      <c r="F37" s="361"/>
      <c r="G37" s="363"/>
      <c r="H37" s="187" t="s">
        <v>75</v>
      </c>
      <c r="I37" s="245">
        <f>(20*217+1223*15)/1440*G42*2.77*1440/1000000</f>
        <v>55.589097777958337</v>
      </c>
      <c r="J37" s="126">
        <f>+I37+'21'!J37</f>
        <v>1163.7349489103178</v>
      </c>
      <c r="K37" s="127" t="s">
        <v>76</v>
      </c>
      <c r="L37" s="421"/>
      <c r="M37" s="422"/>
    </row>
    <row r="38" spans="1:19" ht="17.45" customHeight="1">
      <c r="A38" s="767" t="s">
        <v>13</v>
      </c>
      <c r="B38" s="768"/>
      <c r="C38" s="165">
        <f>SUMIF($G$7:$G$31,"Process",$F$7:$F$31)</f>
        <v>43</v>
      </c>
      <c r="D38" s="119">
        <f>+C38+'21'!D38</f>
        <v>1201</v>
      </c>
      <c r="E38" s="144">
        <f t="shared" ref="E38:E51" si="5">D38/60</f>
        <v>20.016666666666666</v>
      </c>
      <c r="F38" s="361">
        <v>1051.5</v>
      </c>
      <c r="G38" s="361">
        <v>841.2</v>
      </c>
      <c r="H38" s="188" t="s">
        <v>77</v>
      </c>
      <c r="I38" s="543">
        <f>15.807+16.978+12.823+4.136</f>
        <v>49.744000000000007</v>
      </c>
      <c r="J38" s="128">
        <f>+I38+'21'!J38</f>
        <v>1103.2939999999999</v>
      </c>
      <c r="K38" s="129" t="s">
        <v>76</v>
      </c>
      <c r="L38" s="423"/>
      <c r="M38" s="424"/>
    </row>
    <row r="39" spans="1:19" ht="17.45" customHeight="1">
      <c r="A39" s="763" t="s">
        <v>14</v>
      </c>
      <c r="B39" s="764"/>
      <c r="C39" s="165">
        <f>SUMIF($G$7:$G$31,"Cleaning",$F$7:$F$31)</f>
        <v>18</v>
      </c>
      <c r="D39" s="119">
        <f>+C39+'21'!D39</f>
        <v>275</v>
      </c>
      <c r="E39" s="144">
        <f t="shared" si="5"/>
        <v>4.583333333333333</v>
      </c>
      <c r="F39" s="361">
        <v>1150</v>
      </c>
      <c r="G39" s="361">
        <v>897</v>
      </c>
      <c r="H39" s="188" t="s">
        <v>78</v>
      </c>
      <c r="I39" s="143"/>
      <c r="J39" s="130">
        <f>J37/G4</f>
        <v>52.897043132287173</v>
      </c>
      <c r="K39" s="131" t="s">
        <v>76</v>
      </c>
      <c r="L39" s="423"/>
      <c r="M39" s="424"/>
    </row>
    <row r="40" spans="1:19" ht="17.45" customHeight="1">
      <c r="A40" s="763" t="s">
        <v>79</v>
      </c>
      <c r="B40" s="764"/>
      <c r="C40" s="165">
        <f>SUMIF($G$7:$G$31,"Mechanical",$F$7:$F$31)</f>
        <v>0</v>
      </c>
      <c r="D40" s="119">
        <f>+C40+'21'!D40</f>
        <v>0</v>
      </c>
      <c r="E40" s="144">
        <f t="shared" si="5"/>
        <v>0</v>
      </c>
      <c r="F40" s="361">
        <v>1160</v>
      </c>
      <c r="G40" s="361">
        <v>915.74750000000006</v>
      </c>
      <c r="H40" s="188" t="s">
        <v>80</v>
      </c>
      <c r="I40" s="119">
        <f>(K34+L34)/1000</f>
        <v>51.213999999999999</v>
      </c>
      <c r="J40" s="132">
        <f>+I40+'21'!J40</f>
        <v>1074.674</v>
      </c>
      <c r="K40" s="131" t="s">
        <v>76</v>
      </c>
      <c r="L40" s="423"/>
      <c r="M40" s="424"/>
    </row>
    <row r="41" spans="1:19" ht="17.45" customHeight="1">
      <c r="A41" s="763" t="s">
        <v>81</v>
      </c>
      <c r="B41" s="764"/>
      <c r="C41" s="165">
        <f>SUMIF($G$7:$G$31,"Electrical",$F$7:$F$31)</f>
        <v>0</v>
      </c>
      <c r="D41" s="119">
        <f>+C41+'21'!D41</f>
        <v>170</v>
      </c>
      <c r="E41" s="144">
        <f t="shared" si="5"/>
        <v>2.8333333333333335</v>
      </c>
      <c r="F41" s="361"/>
      <c r="G41" s="361"/>
      <c r="H41" s="188" t="s">
        <v>82</v>
      </c>
      <c r="I41" s="143"/>
      <c r="J41" s="130">
        <f>J40/G4</f>
        <v>48.848818181818181</v>
      </c>
      <c r="K41" s="131" t="s">
        <v>76</v>
      </c>
      <c r="L41" s="423"/>
      <c r="M41" s="424"/>
      <c r="Q41" s="150">
        <f>SUM(Q31:Q39)</f>
        <v>480</v>
      </c>
      <c r="R41" s="150">
        <f>SUM(R31:R39)</f>
        <v>556800</v>
      </c>
      <c r="S41" s="150">
        <f>SUM(S31:S39)</f>
        <v>439558.80000000005</v>
      </c>
    </row>
    <row r="42" spans="1:19" ht="17.45" customHeight="1">
      <c r="A42" s="763" t="s">
        <v>17</v>
      </c>
      <c r="B42" s="764"/>
      <c r="C42" s="165">
        <f>SUMIF($G$7:$G$31,"Instrument",$F$7:$F$31)</f>
        <v>0</v>
      </c>
      <c r="D42" s="119">
        <f>+C42+'21'!D42</f>
        <v>0</v>
      </c>
      <c r="E42" s="144">
        <f t="shared" si="5"/>
        <v>0</v>
      </c>
      <c r="F42" s="361">
        <f>+(F38*480+F39*480+F40*480)/1440</f>
        <v>1120.5</v>
      </c>
      <c r="G42" s="361">
        <f>+(G38*480+G39*480+G40*480)/1440</f>
        <v>884.6491666666667</v>
      </c>
      <c r="H42" s="188" t="s">
        <v>83</v>
      </c>
      <c r="I42" s="247" t="s">
        <v>677</v>
      </c>
      <c r="J42" s="133"/>
      <c r="K42" s="131" t="s">
        <v>84</v>
      </c>
      <c r="L42" s="423"/>
      <c r="M42" s="424"/>
      <c r="Q42" s="150">
        <f>480-Q41</f>
        <v>0</v>
      </c>
      <c r="R42" s="150">
        <f>+R41/Q41</f>
        <v>1160</v>
      </c>
      <c r="S42" s="150">
        <f>+S41/Q41</f>
        <v>915.74750000000006</v>
      </c>
    </row>
    <row r="43" spans="1:19" ht="17.45" customHeight="1">
      <c r="A43" s="763" t="s">
        <v>202</v>
      </c>
      <c r="B43" s="764"/>
      <c r="C43" s="165">
        <f>SUMIF($G$7:$G$31,"Change Grade",$F$7:$F$31)</f>
        <v>0</v>
      </c>
      <c r="D43" s="119">
        <f>+C43+'21'!D43</f>
        <v>0</v>
      </c>
      <c r="E43" s="144">
        <f t="shared" si="5"/>
        <v>0</v>
      </c>
      <c r="F43" s="361"/>
      <c r="G43" s="362"/>
      <c r="H43" s="189" t="s">
        <v>86</v>
      </c>
      <c r="I43" s="119">
        <f>+Report1!AH30</f>
        <v>70.2</v>
      </c>
      <c r="J43" s="134">
        <f>+I43+'21'!J43</f>
        <v>1478.6000000000001</v>
      </c>
      <c r="K43" s="131" t="s">
        <v>76</v>
      </c>
      <c r="L43" s="425">
        <f>+Report1!AN30</f>
        <v>9.6999999999999993</v>
      </c>
      <c r="M43" s="426">
        <f>+L43+'21'!M43</f>
        <v>217.9</v>
      </c>
    </row>
    <row r="44" spans="1:19" ht="17.45" customHeight="1">
      <c r="A44" s="763" t="s">
        <v>18</v>
      </c>
      <c r="B44" s="764"/>
      <c r="C44" s="165">
        <f>SUMIF($G$7:$G$31,"PLN",$F$7:$F$31)</f>
        <v>0</v>
      </c>
      <c r="D44" s="119">
        <f>+C44+'21'!D44</f>
        <v>0</v>
      </c>
      <c r="E44" s="144">
        <f t="shared" si="5"/>
        <v>0</v>
      </c>
      <c r="F44" s="361"/>
      <c r="G44" s="362"/>
      <c r="H44" s="189" t="s">
        <v>87</v>
      </c>
      <c r="I44" s="119">
        <f>I43/I38</f>
        <v>1.4112254744290766</v>
      </c>
      <c r="J44" s="135">
        <f>J43/J38</f>
        <v>1.3401686223255092</v>
      </c>
      <c r="K44" s="131" t="s">
        <v>76</v>
      </c>
      <c r="L44" s="427">
        <f>+L43/I38</f>
        <v>0.19499839176584108</v>
      </c>
      <c r="M44" s="428">
        <f>+M43/J38</f>
        <v>0.19749948789715166</v>
      </c>
      <c r="N44" s="150" t="s">
        <v>656</v>
      </c>
      <c r="O44" s="150">
        <v>920</v>
      </c>
      <c r="P44" s="150">
        <v>736</v>
      </c>
      <c r="Q44" s="150">
        <v>217</v>
      </c>
    </row>
    <row r="45" spans="1:19" ht="17.45" customHeight="1">
      <c r="A45" s="763" t="s">
        <v>19</v>
      </c>
      <c r="B45" s="764"/>
      <c r="C45" s="165">
        <f>SUMIF($G$7:$G$31,"Boiler",$F$7:$F$31)</f>
        <v>0</v>
      </c>
      <c r="D45" s="119">
        <f>+C45+'21'!D45</f>
        <v>0</v>
      </c>
      <c r="E45" s="144">
        <f t="shared" si="5"/>
        <v>0</v>
      </c>
      <c r="F45" s="361"/>
      <c r="G45" s="364"/>
      <c r="H45" s="189" t="s">
        <v>88</v>
      </c>
      <c r="I45" s="119">
        <f>I43/I40</f>
        <v>1.3707189440387395</v>
      </c>
      <c r="J45" s="135">
        <f>J43/J40</f>
        <v>1.3758590977356855</v>
      </c>
      <c r="K45" s="131" t="s">
        <v>76</v>
      </c>
      <c r="L45" s="427">
        <f>+L43/I40</f>
        <v>0.18940133557230443</v>
      </c>
      <c r="M45" s="428">
        <f>+M43/J40</f>
        <v>0.20275916231340854</v>
      </c>
      <c r="N45" s="150" t="s">
        <v>469</v>
      </c>
      <c r="O45" s="150">
        <v>1156.0752248569092</v>
      </c>
      <c r="P45" s="150">
        <v>911.02436631234673</v>
      </c>
      <c r="Q45" s="150">
        <v>1223</v>
      </c>
    </row>
    <row r="46" spans="1:19" ht="17.45" customHeight="1">
      <c r="A46" s="763" t="s">
        <v>89</v>
      </c>
      <c r="B46" s="764"/>
      <c r="C46" s="165">
        <f>SUMIF($G$7:$G$31,"Gas",$F$7:$F$31)</f>
        <v>0</v>
      </c>
      <c r="D46" s="119">
        <f>+C46+'21'!D46</f>
        <v>0</v>
      </c>
      <c r="E46" s="144">
        <f t="shared" si="5"/>
        <v>0</v>
      </c>
      <c r="F46" s="361"/>
      <c r="G46" s="362"/>
      <c r="H46" s="189" t="s">
        <v>90</v>
      </c>
      <c r="I46" s="141">
        <f>+SUMIF(Listrik!P29,"&gt;0")</f>
        <v>39211.700000000055</v>
      </c>
      <c r="J46" s="136">
        <f>+I46+'21'!J46</f>
        <v>865837.36</v>
      </c>
      <c r="K46" s="131" t="s">
        <v>91</v>
      </c>
      <c r="L46" s="427">
        <f>+Listrik!AF29</f>
        <v>0</v>
      </c>
      <c r="M46" s="429">
        <f>+L46+'21'!M46</f>
        <v>0</v>
      </c>
      <c r="Q46" s="150">
        <f>+Q44+Q45</f>
        <v>1440</v>
      </c>
    </row>
    <row r="47" spans="1:19" ht="17.45" customHeight="1">
      <c r="A47" s="763" t="s">
        <v>92</v>
      </c>
      <c r="B47" s="764"/>
      <c r="C47" s="165">
        <f>SUMIF($G$7:$G$31,"Gas",$F$7:$F$31)</f>
        <v>0</v>
      </c>
      <c r="D47" s="119">
        <f>+C47+'21'!D47</f>
        <v>0</v>
      </c>
      <c r="E47" s="144">
        <f t="shared" si="5"/>
        <v>0</v>
      </c>
      <c r="F47" s="361"/>
      <c r="G47" s="362"/>
      <c r="H47" s="189" t="s">
        <v>93</v>
      </c>
      <c r="I47" s="119">
        <f>I46/I38</f>
        <v>788.26994210357134</v>
      </c>
      <c r="J47" s="136">
        <f>J46/J38</f>
        <v>784.77482883075595</v>
      </c>
      <c r="K47" s="131" t="s">
        <v>25</v>
      </c>
      <c r="L47" s="427">
        <f>+L46/I38</f>
        <v>0</v>
      </c>
      <c r="M47" s="428">
        <f>+M46/J38</f>
        <v>0</v>
      </c>
    </row>
    <row r="48" spans="1:19" ht="17.45" customHeight="1">
      <c r="A48" s="763" t="s">
        <v>15</v>
      </c>
      <c r="B48" s="764"/>
      <c r="C48" s="165">
        <f>SUMIF($G$7:$G$31,"Start Up",$F$7:$F$31)</f>
        <v>0</v>
      </c>
      <c r="D48" s="119">
        <f>+C48+'21'!D48</f>
        <v>0</v>
      </c>
      <c r="E48" s="144">
        <f t="shared" si="5"/>
        <v>0</v>
      </c>
      <c r="F48" s="361"/>
      <c r="G48" s="362"/>
      <c r="H48" s="189" t="s">
        <v>94</v>
      </c>
      <c r="I48" s="119">
        <f>I46/I40</f>
        <v>765.64415980005572</v>
      </c>
      <c r="J48" s="136">
        <f>J46/J40</f>
        <v>805.67442777995927</v>
      </c>
      <c r="K48" s="131" t="s">
        <v>25</v>
      </c>
      <c r="L48" s="427">
        <f>+L46/I38</f>
        <v>0</v>
      </c>
      <c r="M48" s="428">
        <f>+M46/J40</f>
        <v>0</v>
      </c>
    </row>
    <row r="49" spans="1:13" ht="17.45" customHeight="1">
      <c r="A49" s="763" t="s">
        <v>21</v>
      </c>
      <c r="B49" s="764"/>
      <c r="C49" s="165">
        <f>SUMIF($G$7:$G$31,"Others",$F$7:$F$31)</f>
        <v>0</v>
      </c>
      <c r="D49" s="119">
        <f>+C49+'21'!D49</f>
        <v>0</v>
      </c>
      <c r="E49" s="144">
        <f t="shared" si="5"/>
        <v>0</v>
      </c>
      <c r="F49" s="186"/>
      <c r="H49" s="189" t="s">
        <v>95</v>
      </c>
      <c r="I49" s="119">
        <f>+Report1!AB30</f>
        <v>5286.2928978596783</v>
      </c>
      <c r="J49" s="136">
        <f>+I49+'21'!J49</f>
        <v>107286.74680765207</v>
      </c>
      <c r="K49" s="131" t="s">
        <v>96</v>
      </c>
      <c r="L49" s="423"/>
      <c r="M49" s="424"/>
    </row>
    <row r="50" spans="1:13" ht="17.45" customHeight="1">
      <c r="A50" s="763" t="s">
        <v>20</v>
      </c>
      <c r="B50" s="764"/>
      <c r="C50" s="165">
        <f>SUMIF($G$7:$G$31,"Steam",$F$7:$F$31)</f>
        <v>0</v>
      </c>
      <c r="D50" s="119">
        <f>+C50+'21'!D50</f>
        <v>0</v>
      </c>
      <c r="E50" s="144">
        <f t="shared" si="5"/>
        <v>0</v>
      </c>
      <c r="F50" s="186"/>
      <c r="H50" s="189" t="s">
        <v>97</v>
      </c>
      <c r="I50" s="141">
        <f>I49/I38</f>
        <v>106.26996015317782</v>
      </c>
      <c r="J50" s="134">
        <f>J49/J38</f>
        <v>97.242209970916264</v>
      </c>
      <c r="K50" s="131" t="s">
        <v>96</v>
      </c>
      <c r="L50" s="423"/>
      <c r="M50" s="424"/>
    </row>
    <row r="51" spans="1:13" ht="17.45" customHeight="1" thickBot="1">
      <c r="A51" s="765" t="s">
        <v>98</v>
      </c>
      <c r="B51" s="766"/>
      <c r="C51" s="165">
        <f>SUMIF($G$7:$G$31,"Planned shut",$F$7:$F$31)</f>
        <v>0</v>
      </c>
      <c r="D51" s="119">
        <f>+C51+'21'!D51</f>
        <v>609</v>
      </c>
      <c r="E51" s="144">
        <f t="shared" si="5"/>
        <v>10.15</v>
      </c>
      <c r="F51" s="186"/>
      <c r="H51" s="191" t="s">
        <v>99</v>
      </c>
      <c r="I51" s="142">
        <f>I49/I40</f>
        <v>103.21968402897018</v>
      </c>
      <c r="J51" s="137">
        <f>J49/J40</f>
        <v>99.831899541304693</v>
      </c>
      <c r="K51" s="138" t="s">
        <v>96</v>
      </c>
      <c r="L51" s="423"/>
      <c r="M51" s="424"/>
    </row>
    <row r="52" spans="1:13" ht="13.5" thickBot="1">
      <c r="A52" s="767" t="s">
        <v>29</v>
      </c>
      <c r="B52" s="768"/>
      <c r="C52" s="145">
        <f>SUM(C38:C51)</f>
        <v>61</v>
      </c>
      <c r="D52" s="145">
        <f>SUM(D38:D51)</f>
        <v>2255</v>
      </c>
      <c r="E52" s="146">
        <f>SUM(E38:E51)</f>
        <v>37.583333333333329</v>
      </c>
      <c r="F52" s="186"/>
      <c r="H52" s="192"/>
      <c r="I52" s="193"/>
      <c r="J52" s="139"/>
      <c r="K52" s="140"/>
      <c r="L52" s="430"/>
      <c r="M52" s="431"/>
    </row>
    <row r="53" spans="1:13" ht="13.5" thickBot="1">
      <c r="A53" s="769"/>
      <c r="B53" s="770"/>
      <c r="C53" s="147">
        <f>C52/(24*60)</f>
        <v>4.2361111111111113E-2</v>
      </c>
      <c r="D53" s="147">
        <f>D52/(24*60*G4)</f>
        <v>7.1180555555555552E-2</v>
      </c>
      <c r="E53" s="148">
        <f>E52/(G4*24)</f>
        <v>7.1180555555555552E-2</v>
      </c>
      <c r="F53" s="186"/>
    </row>
    <row r="54" spans="1:13">
      <c r="E54" s="194"/>
      <c r="F54" s="186"/>
    </row>
    <row r="55" spans="1:13">
      <c r="E55" s="194"/>
    </row>
    <row r="56" spans="1:13">
      <c r="A56" s="195" t="s">
        <v>100</v>
      </c>
      <c r="B56" s="196"/>
      <c r="C56" s="197"/>
      <c r="D56" s="197"/>
      <c r="E56" s="197"/>
      <c r="F56" s="198"/>
      <c r="G56" s="197"/>
      <c r="H56" s="199"/>
      <c r="I56" s="200" t="s">
        <v>101</v>
      </c>
      <c r="J56" s="201">
        <f>+D34+'21'!J56</f>
        <v>3992</v>
      </c>
      <c r="K56" s="202">
        <f>J56/(J40+J56/1000)/1000</f>
        <v>3.7008675530701813E-3</v>
      </c>
    </row>
    <row r="57" spans="1:13">
      <c r="A57" s="177"/>
      <c r="I57" s="200" t="s">
        <v>102</v>
      </c>
      <c r="J57" s="201">
        <f>+E34+'21'!J57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AA61"/>
  <sheetViews>
    <sheetView zoomScale="80" zoomScaleNormal="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17.7109375" style="150" customWidth="1"/>
    <col min="11" max="11" width="12.5703125" style="150" bestFit="1" customWidth="1"/>
    <col min="12" max="12" width="11" style="150" customWidth="1"/>
    <col min="13" max="13" width="14.710937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21</v>
      </c>
      <c r="H4" s="155" t="str">
        <f>+'1'!H4</f>
        <v>.11.25</v>
      </c>
      <c r="J4" s="150">
        <f>603.6+258.9+455.8</f>
        <v>1318.3</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644</v>
      </c>
      <c r="O6" s="150">
        <v>910</v>
      </c>
      <c r="P6" s="150">
        <f>+O6-O6*0.2</f>
        <v>728</v>
      </c>
      <c r="Q6" s="150">
        <f>60*6+35</f>
        <v>395</v>
      </c>
      <c r="R6" s="150">
        <f>+O6*Q6</f>
        <v>359450</v>
      </c>
      <c r="S6" s="150">
        <f>+P6*Q6</f>
        <v>287560</v>
      </c>
    </row>
    <row r="7" spans="1:19" ht="13.5" customHeight="1" thickBot="1">
      <c r="A7" s="775" t="s">
        <v>460</v>
      </c>
      <c r="B7" s="216" t="s">
        <v>650</v>
      </c>
      <c r="C7" s="217">
        <v>15711</v>
      </c>
      <c r="D7" s="218"/>
      <c r="E7" s="219"/>
      <c r="F7" s="229"/>
      <c r="G7" s="230" t="s">
        <v>13</v>
      </c>
      <c r="H7" s="231" t="s">
        <v>390</v>
      </c>
      <c r="I7" s="778" t="s">
        <v>658</v>
      </c>
      <c r="J7" s="366" t="str">
        <f>+'20'!J7</f>
        <v>T 13,5 RC HW</v>
      </c>
      <c r="K7" s="239"/>
      <c r="L7" s="243"/>
      <c r="M7" s="118">
        <f>+K7+'20'!M7+L7</f>
        <v>263166</v>
      </c>
      <c r="O7" s="150">
        <v>880</v>
      </c>
      <c r="P7" s="150">
        <f t="shared" ref="P7:P8" si="0">+O7-O7*0.2</f>
        <v>704</v>
      </c>
      <c r="Q7" s="150">
        <f>60-35+37</f>
        <v>62</v>
      </c>
      <c r="R7" s="150">
        <f>+O7*Q7</f>
        <v>54560</v>
      </c>
      <c r="S7" s="150">
        <f>+P7*Q7</f>
        <v>43648</v>
      </c>
    </row>
    <row r="8" spans="1:19" ht="13.5" thickBot="1">
      <c r="A8" s="776"/>
      <c r="B8" s="216"/>
      <c r="C8" s="217"/>
      <c r="D8" s="218"/>
      <c r="E8" s="220"/>
      <c r="F8" s="232">
        <v>2</v>
      </c>
      <c r="G8" s="579" t="s">
        <v>13</v>
      </c>
      <c r="H8" s="231" t="s">
        <v>424</v>
      </c>
      <c r="I8" s="779"/>
      <c r="J8" s="215" t="str">
        <f>+'20'!J8</f>
        <v>T 14 RC HW</v>
      </c>
      <c r="K8" s="240"/>
      <c r="L8" s="240"/>
      <c r="M8" s="118">
        <f>+K8+'20'!M8+L8</f>
        <v>97781</v>
      </c>
      <c r="O8" s="150">
        <v>930</v>
      </c>
      <c r="P8" s="150">
        <f t="shared" si="0"/>
        <v>744</v>
      </c>
      <c r="Q8" s="150">
        <f>60-37</f>
        <v>23</v>
      </c>
      <c r="R8" s="150">
        <f>+O8*Q8</f>
        <v>21390</v>
      </c>
      <c r="S8" s="150">
        <f>+P8*Q8</f>
        <v>17112</v>
      </c>
    </row>
    <row r="9" spans="1:19" ht="13.5" thickBot="1">
      <c r="A9" s="776"/>
      <c r="B9" s="216"/>
      <c r="C9" s="217"/>
      <c r="D9" s="218"/>
      <c r="E9" s="221"/>
      <c r="F9" s="229">
        <v>7</v>
      </c>
      <c r="G9" s="579" t="s">
        <v>13</v>
      </c>
      <c r="H9" s="234" t="s">
        <v>493</v>
      </c>
      <c r="I9" s="779"/>
      <c r="J9" s="215" t="str">
        <f>+'20'!J9</f>
        <v>T 15 RC HW</v>
      </c>
      <c r="K9" s="240"/>
      <c r="L9" s="240"/>
      <c r="M9" s="118">
        <f>+K9+'20'!M9+L9</f>
        <v>34238</v>
      </c>
    </row>
    <row r="10" spans="1:19" ht="26.25" thickBot="1">
      <c r="A10" s="776"/>
      <c r="B10" s="216"/>
      <c r="C10" s="217"/>
      <c r="D10" s="218"/>
      <c r="E10" s="220"/>
      <c r="F10" s="229">
        <v>8</v>
      </c>
      <c r="G10" s="238" t="s">
        <v>14</v>
      </c>
      <c r="H10" s="234" t="s">
        <v>651</v>
      </c>
      <c r="I10" s="779"/>
      <c r="J10" s="215" t="str">
        <f>+'20'!J10</f>
        <v>TW 29 RC HW</v>
      </c>
      <c r="K10" s="240"/>
      <c r="L10" s="240"/>
      <c r="M10" s="118">
        <f>+K10+'20'!M10+L10</f>
        <v>21998</v>
      </c>
    </row>
    <row r="11" spans="1:19" ht="26.25" thickBot="1">
      <c r="A11" s="776"/>
      <c r="B11" s="216"/>
      <c r="C11" s="217"/>
      <c r="D11" s="218"/>
      <c r="E11" s="220"/>
      <c r="F11" s="229"/>
      <c r="G11" s="233"/>
      <c r="H11" s="234" t="s">
        <v>652</v>
      </c>
      <c r="I11" s="779"/>
      <c r="J11" s="215" t="str">
        <f>+'20'!J11</f>
        <v>TW 20 RC HW</v>
      </c>
      <c r="K11" s="240"/>
      <c r="L11" s="240"/>
      <c r="M11" s="118">
        <f>+K11+'20'!M11+L11</f>
        <v>104164</v>
      </c>
    </row>
    <row r="12" spans="1:19" ht="13.5" thickBot="1">
      <c r="A12" s="776"/>
      <c r="B12" s="216"/>
      <c r="C12" s="217"/>
      <c r="D12" s="218"/>
      <c r="E12" s="220"/>
      <c r="F12" s="229"/>
      <c r="G12" s="233"/>
      <c r="H12" s="234"/>
      <c r="I12" s="779"/>
      <c r="J12" s="215" t="str">
        <f>+'20'!J12</f>
        <v>TW 19 RC HW</v>
      </c>
      <c r="K12" s="240"/>
      <c r="L12" s="240"/>
      <c r="M12" s="118">
        <f>+K12+'20'!M12+L12</f>
        <v>18863</v>
      </c>
    </row>
    <row r="13" spans="1:19" ht="13.5" thickBot="1">
      <c r="A13" s="776"/>
      <c r="B13" s="216"/>
      <c r="C13" s="217"/>
      <c r="D13" s="217"/>
      <c r="E13" s="220"/>
      <c r="F13" s="229"/>
      <c r="G13" s="233"/>
      <c r="H13" s="234"/>
      <c r="I13" s="780"/>
      <c r="J13" s="215" t="str">
        <f>+'20'!J13</f>
        <v>TW 17 RC HW</v>
      </c>
      <c r="K13" s="240"/>
      <c r="L13" s="240"/>
      <c r="M13" s="118">
        <f>+K13+'20'!M13+L13</f>
        <v>67816</v>
      </c>
    </row>
    <row r="14" spans="1:19" ht="13.5" thickBot="1">
      <c r="A14" s="777"/>
      <c r="B14" s="166" t="s">
        <v>3</v>
      </c>
      <c r="C14" s="100">
        <f>SUM(C7:C13)</f>
        <v>15711</v>
      </c>
      <c r="D14" s="112">
        <f>SUM(D7:D13)</f>
        <v>0</v>
      </c>
      <c r="E14" s="113">
        <f>SUM(E5:E13)</f>
        <v>0</v>
      </c>
      <c r="F14" s="103">
        <f>SUM(F6:F13)</f>
        <v>17</v>
      </c>
      <c r="G14" s="160"/>
      <c r="H14" s="167"/>
      <c r="I14" s="168"/>
      <c r="J14" s="215" t="str">
        <f>+'20'!J14</f>
        <v>F 14 RC HW</v>
      </c>
      <c r="K14" s="240"/>
      <c r="L14" s="240"/>
      <c r="M14" s="118">
        <f>+K14+'20'!M14+L14</f>
        <v>10232</v>
      </c>
    </row>
    <row r="15" spans="1:19" ht="13.5" customHeight="1" thickBot="1">
      <c r="A15" s="775" t="s">
        <v>444</v>
      </c>
      <c r="B15" s="166"/>
      <c r="C15" s="114">
        <f>C14/($C$23+$D$23+$E$23)</f>
        <v>0.82524424834541443</v>
      </c>
      <c r="D15" s="115">
        <f>D14/($C$23+$D$23+$E$23)</f>
        <v>0</v>
      </c>
      <c r="E15" s="116">
        <f>E14/($C$23+$D$23+$E$23)</f>
        <v>0</v>
      </c>
      <c r="F15" s="229"/>
      <c r="G15" s="230" t="s">
        <v>13</v>
      </c>
      <c r="H15" s="231" t="s">
        <v>390</v>
      </c>
      <c r="I15" s="778" t="s">
        <v>659</v>
      </c>
      <c r="J15" s="215" t="str">
        <f>+'20'!J15</f>
        <v>T 16,5 RC HW</v>
      </c>
      <c r="K15" s="240"/>
      <c r="L15" s="240"/>
      <c r="M15" s="118">
        <f>+K15+'20'!M15+L15</f>
        <v>10954</v>
      </c>
    </row>
    <row r="16" spans="1:19" ht="13.5" thickBot="1">
      <c r="A16" s="781"/>
      <c r="B16" s="216" t="s">
        <v>650</v>
      </c>
      <c r="C16" s="223">
        <v>17478</v>
      </c>
      <c r="D16" s="224"/>
      <c r="E16" s="225"/>
      <c r="F16" s="232">
        <v>4</v>
      </c>
      <c r="G16" s="579" t="s">
        <v>13</v>
      </c>
      <c r="H16" s="231" t="s">
        <v>424</v>
      </c>
      <c r="I16" s="779"/>
      <c r="J16" s="215" t="str">
        <f>+'20'!J16</f>
        <v>T 15,5 RC HW</v>
      </c>
      <c r="K16" s="240"/>
      <c r="L16" s="230"/>
      <c r="M16" s="118">
        <f>+K16+'20'!M16+L16</f>
        <v>263708</v>
      </c>
      <c r="Q16" s="150">
        <f>SUM(Q6:Q14)</f>
        <v>480</v>
      </c>
      <c r="R16" s="150">
        <f>SUM(R6:R14)</f>
        <v>435400</v>
      </c>
      <c r="S16" s="150">
        <f>SUM(S6:S14)</f>
        <v>348320</v>
      </c>
    </row>
    <row r="17" spans="1:27" ht="13.5" thickBot="1">
      <c r="A17" s="781"/>
      <c r="B17" s="216" t="s">
        <v>663</v>
      </c>
      <c r="C17" s="217">
        <f>708+452</f>
        <v>1160</v>
      </c>
      <c r="D17" s="218">
        <v>400</v>
      </c>
      <c r="E17" s="226"/>
      <c r="F17" s="229">
        <v>8</v>
      </c>
      <c r="G17" s="579" t="s">
        <v>13</v>
      </c>
      <c r="H17" s="234" t="s">
        <v>427</v>
      </c>
      <c r="I17" s="779"/>
      <c r="J17" s="215" t="str">
        <f>+'20'!J17</f>
        <v>T 16 RC HW</v>
      </c>
      <c r="K17" s="240"/>
      <c r="L17" s="230"/>
      <c r="M17" s="118">
        <f>+K17+'20'!M17+L17</f>
        <v>43235</v>
      </c>
      <c r="Q17" s="150">
        <f>480-Q16</f>
        <v>0</v>
      </c>
      <c r="R17" s="150">
        <f>+R16/Q16</f>
        <v>907.08333333333337</v>
      </c>
      <c r="S17" s="150">
        <f>+S16/Q16</f>
        <v>725.66666666666663</v>
      </c>
    </row>
    <row r="18" spans="1:27" ht="26.25" thickBot="1">
      <c r="A18" s="781"/>
      <c r="B18" s="216"/>
      <c r="C18" s="217"/>
      <c r="D18" s="218"/>
      <c r="E18" s="226"/>
      <c r="F18" s="229">
        <v>10</v>
      </c>
      <c r="G18" s="238" t="s">
        <v>14</v>
      </c>
      <c r="H18" s="234" t="s">
        <v>653</v>
      </c>
      <c r="I18" s="779"/>
      <c r="J18" s="215" t="str">
        <f>+'20'!J18</f>
        <v>T 19 RC HW</v>
      </c>
      <c r="K18" s="240">
        <f>+C7+C16</f>
        <v>33189</v>
      </c>
      <c r="L18" s="240"/>
      <c r="M18" s="118">
        <f>+K18+'20'!M18+L18</f>
        <v>66753</v>
      </c>
      <c r="N18" s="150" t="s">
        <v>644</v>
      </c>
      <c r="O18" s="150">
        <v>930</v>
      </c>
      <c r="P18" s="150">
        <f>+O18-O18*0.2</f>
        <v>744</v>
      </c>
      <c r="Q18" s="150">
        <f>60*5+10</f>
        <v>310</v>
      </c>
      <c r="R18" s="150">
        <f>+O18*Q18</f>
        <v>288300</v>
      </c>
      <c r="S18" s="150">
        <f>+P18*Q18</f>
        <v>230640</v>
      </c>
      <c r="V18" s="150" t="s">
        <v>644</v>
      </c>
      <c r="W18" s="150">
        <v>910</v>
      </c>
      <c r="X18" s="150">
        <v>728</v>
      </c>
      <c r="Y18" s="150">
        <v>395</v>
      </c>
      <c r="Z18" s="150">
        <f>+W18*Y18</f>
        <v>359450</v>
      </c>
      <c r="AA18" s="150">
        <f>+X18*Y18</f>
        <v>287560</v>
      </c>
    </row>
    <row r="19" spans="1:27" ht="13.5" thickBot="1">
      <c r="A19" s="781"/>
      <c r="B19" s="216"/>
      <c r="C19" s="217"/>
      <c r="D19" s="218"/>
      <c r="E19" s="226"/>
      <c r="F19" s="236"/>
      <c r="G19" s="233"/>
      <c r="H19" s="234" t="s">
        <v>654</v>
      </c>
      <c r="I19" s="779"/>
      <c r="J19" s="215" t="s">
        <v>663</v>
      </c>
      <c r="K19" s="240">
        <f>+C17+C25</f>
        <v>20552</v>
      </c>
      <c r="L19" s="240"/>
      <c r="M19" s="118">
        <f>+K19+'20'!M19+L19</f>
        <v>20552</v>
      </c>
      <c r="N19" s="150" t="s">
        <v>656</v>
      </c>
      <c r="O19" s="150">
        <v>920</v>
      </c>
      <c r="P19" s="150">
        <f t="shared" ref="P19:P20" si="1">+O19-O19*0.2</f>
        <v>736</v>
      </c>
      <c r="Q19" s="150">
        <f>480-Q18</f>
        <v>170</v>
      </c>
      <c r="R19" s="150">
        <f>+O19*Q19</f>
        <v>156400</v>
      </c>
      <c r="S19" s="150">
        <f>+P19*Q19</f>
        <v>125120</v>
      </c>
      <c r="W19" s="150">
        <v>880</v>
      </c>
      <c r="X19" s="150">
        <v>704</v>
      </c>
      <c r="Y19" s="150">
        <v>62</v>
      </c>
      <c r="Z19" s="150">
        <f>+W19*Y19</f>
        <v>54560</v>
      </c>
      <c r="AA19" s="150">
        <f>+X19*Y19</f>
        <v>43648</v>
      </c>
    </row>
    <row r="20" spans="1:27" ht="13.5" thickBot="1">
      <c r="A20" s="781"/>
      <c r="B20" s="216"/>
      <c r="C20" s="217"/>
      <c r="D20" s="218"/>
      <c r="E20" s="226"/>
      <c r="F20" s="229"/>
      <c r="G20" s="233"/>
      <c r="H20" s="234"/>
      <c r="I20" s="779"/>
      <c r="J20" s="215"/>
      <c r="K20" s="240"/>
      <c r="L20" s="241"/>
      <c r="M20" s="118">
        <f>+K20+'20'!M20+L20</f>
        <v>0</v>
      </c>
      <c r="P20" s="150">
        <f t="shared" si="1"/>
        <v>0</v>
      </c>
      <c r="R20" s="150">
        <f>+O20*Q20</f>
        <v>0</v>
      </c>
      <c r="S20" s="150">
        <f>+P20*Q20</f>
        <v>0</v>
      </c>
      <c r="W20" s="150">
        <v>930</v>
      </c>
      <c r="X20" s="150">
        <v>744</v>
      </c>
      <c r="Y20" s="150">
        <v>23</v>
      </c>
      <c r="Z20" s="150">
        <f>+W20*Y20</f>
        <v>21390</v>
      </c>
      <c r="AA20" s="150">
        <f>+X20*Y20</f>
        <v>17112</v>
      </c>
    </row>
    <row r="21" spans="1:27" ht="13.5" thickBot="1">
      <c r="A21" s="781"/>
      <c r="B21" s="216"/>
      <c r="C21" s="217"/>
      <c r="D21" s="218"/>
      <c r="E21" s="226"/>
      <c r="F21" s="232"/>
      <c r="G21" s="233"/>
      <c r="H21" s="234"/>
      <c r="I21" s="779"/>
      <c r="J21" s="215">
        <f>+'20'!J21</f>
        <v>0</v>
      </c>
      <c r="K21" s="240"/>
      <c r="L21" s="240"/>
      <c r="M21" s="118">
        <f>+K21+'20'!M21+L21</f>
        <v>0</v>
      </c>
      <c r="V21" s="150" t="s">
        <v>644</v>
      </c>
      <c r="W21" s="150">
        <v>930</v>
      </c>
      <c r="X21" s="150">
        <v>744</v>
      </c>
      <c r="Y21" s="150">
        <v>310</v>
      </c>
      <c r="Z21" s="150">
        <f>+W21*Y21</f>
        <v>288300</v>
      </c>
      <c r="AA21" s="150">
        <f>+X21*Y21</f>
        <v>230640</v>
      </c>
    </row>
    <row r="22" spans="1:27" ht="13.5" thickBot="1">
      <c r="A22" s="781"/>
      <c r="B22" s="216"/>
      <c r="C22" s="217"/>
      <c r="D22" s="218"/>
      <c r="E22" s="226"/>
      <c r="F22" s="237"/>
      <c r="G22" s="233"/>
      <c r="H22" s="234"/>
      <c r="I22" s="780"/>
      <c r="J22" s="215">
        <f>+'20'!J22</f>
        <v>0</v>
      </c>
      <c r="K22" s="240"/>
      <c r="L22" s="240"/>
      <c r="M22" s="118">
        <f>+K22+'20'!M22+L22</f>
        <v>0</v>
      </c>
    </row>
    <row r="23" spans="1:27" ht="13.5" thickBot="1">
      <c r="A23" s="782"/>
      <c r="B23" s="166" t="s">
        <v>3</v>
      </c>
      <c r="C23" s="101">
        <f>SUM(C16:C22)</f>
        <v>18638</v>
      </c>
      <c r="D23" s="112">
        <f>SUM(D16:D22)</f>
        <v>400</v>
      </c>
      <c r="E23" s="113">
        <f>SUM(E18:E22)</f>
        <v>0</v>
      </c>
      <c r="F23" s="103">
        <f>SUM(F15:F22)</f>
        <v>22</v>
      </c>
      <c r="G23" s="160"/>
      <c r="H23" s="167"/>
      <c r="I23" s="170"/>
      <c r="J23" s="215">
        <f>+'20'!J23</f>
        <v>0</v>
      </c>
      <c r="K23" s="240"/>
      <c r="L23" s="240"/>
      <c r="M23" s="118">
        <f>+K23+'20'!M23+L23</f>
        <v>0</v>
      </c>
    </row>
    <row r="24" spans="1:27" ht="13.5" customHeight="1" thickBot="1">
      <c r="A24" s="775" t="s">
        <v>446</v>
      </c>
      <c r="B24" s="171"/>
      <c r="C24" s="114">
        <f>C23/($C$23+$D$23+$E$23)</f>
        <v>0.97898938964176907</v>
      </c>
      <c r="D24" s="115">
        <f>D23/($C$23+$D$23+$E$23)</f>
        <v>2.1010610358230906E-2</v>
      </c>
      <c r="E24" s="116">
        <f>E23/($C$23+$D$23+$E$23)</f>
        <v>0</v>
      </c>
      <c r="F24" s="229"/>
      <c r="G24" s="230" t="s">
        <v>13</v>
      </c>
      <c r="H24" s="231" t="s">
        <v>390</v>
      </c>
      <c r="I24" s="778" t="s">
        <v>660</v>
      </c>
      <c r="J24" s="215">
        <f>+'20'!J24</f>
        <v>0</v>
      </c>
      <c r="K24" s="240"/>
      <c r="L24" s="240"/>
      <c r="M24" s="118">
        <f>+K24+'20'!M24+L24</f>
        <v>0</v>
      </c>
    </row>
    <row r="25" spans="1:27" ht="13.5" thickBot="1">
      <c r="A25" s="781"/>
      <c r="B25" s="216" t="s">
        <v>663</v>
      </c>
      <c r="C25" s="227">
        <f>8974+10418</f>
        <v>19392</v>
      </c>
      <c r="D25" s="218"/>
      <c r="E25" s="226"/>
      <c r="F25" s="232">
        <v>2</v>
      </c>
      <c r="G25" s="579" t="s">
        <v>13</v>
      </c>
      <c r="H25" s="231" t="s">
        <v>429</v>
      </c>
      <c r="I25" s="779"/>
      <c r="J25" s="215">
        <f>+'20'!J25</f>
        <v>0</v>
      </c>
      <c r="K25" s="240"/>
      <c r="L25" s="240"/>
      <c r="M25" s="118">
        <f>+K25+'20'!M25+L25</f>
        <v>0</v>
      </c>
    </row>
    <row r="26" spans="1:27" ht="13.5" thickBot="1">
      <c r="A26" s="781"/>
      <c r="B26" s="216"/>
      <c r="C26" s="227"/>
      <c r="D26" s="218"/>
      <c r="E26" s="228"/>
      <c r="F26" s="229">
        <v>3</v>
      </c>
      <c r="G26" s="579" t="s">
        <v>13</v>
      </c>
      <c r="H26" s="234" t="s">
        <v>425</v>
      </c>
      <c r="I26" s="779"/>
      <c r="J26" s="215">
        <f>+'20'!J26</f>
        <v>0</v>
      </c>
      <c r="K26" s="240"/>
      <c r="L26" s="240"/>
      <c r="M26" s="118">
        <f>+K26+'20'!M26+L26</f>
        <v>0</v>
      </c>
    </row>
    <row r="27" spans="1:27" ht="26.25" thickBot="1">
      <c r="A27" s="781"/>
      <c r="B27" s="216"/>
      <c r="C27" s="217"/>
      <c r="D27" s="218"/>
      <c r="E27" s="226"/>
      <c r="F27" s="229"/>
      <c r="G27" s="238" t="s">
        <v>14</v>
      </c>
      <c r="H27" s="234" t="s">
        <v>655</v>
      </c>
      <c r="I27" s="779"/>
      <c r="J27" s="215">
        <f>+'20'!J27</f>
        <v>0</v>
      </c>
      <c r="K27" s="240"/>
      <c r="L27" s="240"/>
      <c r="M27" s="118">
        <f>+K27+'20'!M27+L27</f>
        <v>0</v>
      </c>
    </row>
    <row r="28" spans="1:27" ht="13.5" thickBot="1">
      <c r="A28" s="781"/>
      <c r="B28" s="216"/>
      <c r="C28" s="217"/>
      <c r="D28" s="218"/>
      <c r="E28" s="226"/>
      <c r="F28" s="232"/>
      <c r="G28" s="233"/>
      <c r="H28" s="234"/>
      <c r="I28" s="779"/>
      <c r="J28" s="215">
        <f>+'20'!J28</f>
        <v>0</v>
      </c>
      <c r="K28" s="240"/>
      <c r="L28" s="240"/>
      <c r="M28" s="118">
        <f>+K28+'20'!M28+L28</f>
        <v>0</v>
      </c>
      <c r="Q28" s="150">
        <f>SUM(Q18:Q26)</f>
        <v>480</v>
      </c>
      <c r="R28" s="150">
        <f>SUM(R18:R26)</f>
        <v>444700</v>
      </c>
      <c r="S28" s="150">
        <f>SUM(S18:S26)</f>
        <v>355760</v>
      </c>
      <c r="Y28" s="150">
        <f>SUM(Y18:Y26)</f>
        <v>790</v>
      </c>
      <c r="Z28" s="150">
        <f>SUM(Z18:Z26)</f>
        <v>723700</v>
      </c>
      <c r="AA28" s="150">
        <f>SUM(AA18:AA26)</f>
        <v>578960</v>
      </c>
    </row>
    <row r="29" spans="1:27" ht="13.5" thickBot="1">
      <c r="A29" s="781"/>
      <c r="B29" s="216"/>
      <c r="C29" s="217"/>
      <c r="D29" s="218"/>
      <c r="E29" s="226"/>
      <c r="F29" s="237"/>
      <c r="G29" s="233"/>
      <c r="H29" s="234"/>
      <c r="I29" s="779"/>
      <c r="J29" s="215">
        <f>+'20'!J29</f>
        <v>0</v>
      </c>
      <c r="K29" s="240"/>
      <c r="L29" s="240"/>
      <c r="M29" s="118">
        <f>+K29+'20'!M29+L29</f>
        <v>0</v>
      </c>
      <c r="Q29" s="150">
        <f>480-Q28</f>
        <v>0</v>
      </c>
      <c r="R29" s="150">
        <f>+R28/Q28</f>
        <v>926.45833333333337</v>
      </c>
      <c r="S29" s="150">
        <f>+S28/Q28</f>
        <v>741.16666666666663</v>
      </c>
      <c r="Y29" s="150">
        <f>480-Y28</f>
        <v>-310</v>
      </c>
      <c r="Z29" s="150">
        <f>+Z28/Y28</f>
        <v>916.07594936708858</v>
      </c>
      <c r="AA29" s="150">
        <f>+AA28/Y28</f>
        <v>732.86075949367091</v>
      </c>
    </row>
    <row r="30" spans="1:27" ht="13.5" thickBot="1">
      <c r="A30" s="781"/>
      <c r="B30" s="216"/>
      <c r="C30" s="227"/>
      <c r="D30" s="218"/>
      <c r="E30" s="226"/>
      <c r="F30" s="237"/>
      <c r="G30" s="233"/>
      <c r="H30" s="234"/>
      <c r="I30" s="779"/>
      <c r="J30" s="215">
        <f>+'20'!J30</f>
        <v>0</v>
      </c>
      <c r="K30" s="240"/>
      <c r="L30" s="240"/>
      <c r="M30" s="118">
        <f>+K30+'20'!M30+L30</f>
        <v>0</v>
      </c>
      <c r="N30" s="156"/>
    </row>
    <row r="31" spans="1:27" ht="13.5" thickBot="1">
      <c r="A31" s="781"/>
      <c r="B31" s="216"/>
      <c r="C31" s="227"/>
      <c r="D31" s="218"/>
      <c r="E31" s="226"/>
      <c r="F31" s="237"/>
      <c r="G31" s="238"/>
      <c r="H31" s="235"/>
      <c r="I31" s="780"/>
      <c r="J31" s="215">
        <f>+'20'!J31</f>
        <v>0</v>
      </c>
      <c r="K31" s="240"/>
      <c r="L31" s="240"/>
      <c r="M31" s="118">
        <f>+K31+'20'!M31+L31</f>
        <v>0</v>
      </c>
      <c r="N31" s="150" t="s">
        <v>656</v>
      </c>
      <c r="O31" s="150">
        <v>930</v>
      </c>
      <c r="P31" s="150">
        <f>+O31-O31*0.2</f>
        <v>744</v>
      </c>
      <c r="Q31" s="150">
        <v>480</v>
      </c>
      <c r="R31" s="150">
        <f>+O31*Q31</f>
        <v>446400</v>
      </c>
      <c r="S31" s="150">
        <f>+P31*Q31</f>
        <v>357120</v>
      </c>
      <c r="V31" s="150" t="s">
        <v>656</v>
      </c>
      <c r="W31" s="150">
        <v>920</v>
      </c>
      <c r="X31" s="150">
        <v>736</v>
      </c>
      <c r="Y31" s="150">
        <v>170</v>
      </c>
      <c r="Z31" s="150">
        <f>+W31*Y31</f>
        <v>156400</v>
      </c>
      <c r="AA31" s="150">
        <f>+X31*Y31</f>
        <v>125120</v>
      </c>
    </row>
    <row r="32" spans="1:27" ht="13.5" thickBot="1">
      <c r="A32" s="782"/>
      <c r="B32" s="166" t="s">
        <v>3</v>
      </c>
      <c r="C32" s="100">
        <f>SUM(C25:C31)</f>
        <v>19392</v>
      </c>
      <c r="D32" s="101">
        <f>SUM(D25:D31)</f>
        <v>0</v>
      </c>
      <c r="E32" s="102">
        <f>SUM(E25:E31)</f>
        <v>0</v>
      </c>
      <c r="F32" s="103">
        <f>SUM(F24:F31)</f>
        <v>5</v>
      </c>
      <c r="G32" s="172"/>
      <c r="H32" s="173"/>
      <c r="I32" s="170"/>
      <c r="J32" s="215">
        <f>+'20'!J32</f>
        <v>0</v>
      </c>
      <c r="K32" s="242"/>
      <c r="L32" s="244"/>
      <c r="M32" s="118">
        <f>+K32+'20'!M32+L32</f>
        <v>0</v>
      </c>
      <c r="P32" s="150">
        <f t="shared" ref="P32:P33" si="2">+O32-O32*0.2</f>
        <v>0</v>
      </c>
      <c r="Q32" s="150">
        <f>480-Q31</f>
        <v>0</v>
      </c>
      <c r="R32" s="150">
        <f>+O32*Q32</f>
        <v>0</v>
      </c>
      <c r="S32" s="150">
        <f>+P32*Q32</f>
        <v>0</v>
      </c>
      <c r="V32" s="150" t="s">
        <v>656</v>
      </c>
      <c r="W32" s="150">
        <v>930</v>
      </c>
      <c r="X32" s="150">
        <v>744</v>
      </c>
      <c r="Y32" s="150">
        <v>480</v>
      </c>
      <c r="Z32" s="150">
        <f>+W32*Y32</f>
        <v>446400</v>
      </c>
      <c r="AA32" s="150">
        <f>+X32*Y32</f>
        <v>357120</v>
      </c>
    </row>
    <row r="33" spans="1:27" ht="13.5" thickBot="1">
      <c r="A33" s="174"/>
      <c r="B33" s="175"/>
      <c r="C33" s="104">
        <f>C32/($C$32+$D$32+$E$32)</f>
        <v>1</v>
      </c>
      <c r="D33" s="105">
        <f>D32/($C$32+$D$32+$E$32)</f>
        <v>0</v>
      </c>
      <c r="E33" s="106">
        <f>E32/($C$32+$D$32+$E$32)</f>
        <v>0</v>
      </c>
      <c r="F33" s="107"/>
      <c r="G33" s="176"/>
      <c r="H33" s="177"/>
      <c r="I33" s="178"/>
      <c r="J33" s="122"/>
      <c r="K33" s="123"/>
      <c r="L33" s="214"/>
      <c r="M33" s="120"/>
      <c r="P33" s="150">
        <f t="shared" si="2"/>
        <v>0</v>
      </c>
      <c r="R33" s="150">
        <f>+O33*Q33</f>
        <v>0</v>
      </c>
      <c r="S33" s="150">
        <f>+P33*Q33</f>
        <v>0</v>
      </c>
    </row>
    <row r="34" spans="1:27" ht="13.5" thickBot="1">
      <c r="A34" s="771" t="s">
        <v>70</v>
      </c>
      <c r="B34" s="772"/>
      <c r="C34" s="108">
        <f>C14+C23+C32</f>
        <v>53741</v>
      </c>
      <c r="D34" s="108">
        <f>D14+D23+D32</f>
        <v>400</v>
      </c>
      <c r="E34" s="108">
        <f>E14+E23+E32</f>
        <v>0</v>
      </c>
      <c r="F34" s="109">
        <f>F14+F23+F32</f>
        <v>44</v>
      </c>
      <c r="H34" s="179"/>
      <c r="I34" s="179"/>
      <c r="J34" s="124" t="s">
        <v>29</v>
      </c>
      <c r="K34" s="125">
        <f>SUM(K7:K32)</f>
        <v>53741</v>
      </c>
      <c r="L34" s="213">
        <f>SUM(L7:L32)</f>
        <v>0</v>
      </c>
      <c r="M34" s="121">
        <f>SUM(M7:M32)</f>
        <v>1023460</v>
      </c>
    </row>
    <row r="35" spans="1:27" ht="13.5" thickBot="1">
      <c r="A35" s="180"/>
      <c r="B35" s="181"/>
      <c r="C35" s="105">
        <f>C34/($C$34+$D$34+$E$34)</f>
        <v>0.99261188378493193</v>
      </c>
      <c r="D35" s="105">
        <f>D34/($C$34+$D$34+$E$34)</f>
        <v>7.3881162150680633E-3</v>
      </c>
      <c r="E35" s="110">
        <f>E34/($C$34+$D$34+$E$34)</f>
        <v>0</v>
      </c>
      <c r="K35" s="156"/>
      <c r="L35" s="762" t="s">
        <v>187</v>
      </c>
      <c r="M35" s="762"/>
    </row>
    <row r="36" spans="1:27" ht="13.5" thickBot="1">
      <c r="A36" s="179"/>
      <c r="B36" s="179"/>
      <c r="C36" s="156"/>
      <c r="D36" s="156"/>
      <c r="E36" s="156"/>
      <c r="G36" s="156"/>
      <c r="H36" s="182"/>
      <c r="I36" s="163" t="s">
        <v>41</v>
      </c>
      <c r="J36" s="163" t="s">
        <v>42</v>
      </c>
      <c r="K36" s="183"/>
      <c r="L36" s="163" t="s">
        <v>41</v>
      </c>
      <c r="M36" s="163" t="s">
        <v>42</v>
      </c>
    </row>
    <row r="37" spans="1:27" ht="17.45" customHeight="1" thickBot="1">
      <c r="A37" s="773" t="s">
        <v>71</v>
      </c>
      <c r="B37" s="774"/>
      <c r="C37" s="163" t="s">
        <v>72</v>
      </c>
      <c r="D37" s="184" t="s">
        <v>73</v>
      </c>
      <c r="E37" s="185" t="s">
        <v>74</v>
      </c>
      <c r="F37" s="361"/>
      <c r="G37" s="363"/>
      <c r="H37" s="187" t="s">
        <v>75</v>
      </c>
      <c r="I37" s="245">
        <f>(19*790+20*650)/1440*G42*2.77*1440/1000000</f>
        <v>57.177824472222227</v>
      </c>
      <c r="J37" s="126">
        <f>+I37+'20'!J37</f>
        <v>1108.1458511323594</v>
      </c>
      <c r="K37" s="127" t="s">
        <v>76</v>
      </c>
      <c r="L37" s="421"/>
      <c r="M37" s="422"/>
    </row>
    <row r="38" spans="1:27" ht="17.45" customHeight="1">
      <c r="A38" s="767" t="s">
        <v>13</v>
      </c>
      <c r="B38" s="768"/>
      <c r="C38" s="165">
        <f>SUMIF($G$7:$G$31,"Process",$F$7:$F$31)</f>
        <v>26</v>
      </c>
      <c r="D38" s="119">
        <f>+C38+'20'!D38</f>
        <v>1158</v>
      </c>
      <c r="E38" s="144">
        <f t="shared" ref="E38:E51" si="3">D38/60</f>
        <v>19.3</v>
      </c>
      <c r="F38" s="361">
        <v>907.08333333333337</v>
      </c>
      <c r="G38" s="361">
        <v>725.66666666666663</v>
      </c>
      <c r="H38" s="188" t="s">
        <v>77</v>
      </c>
      <c r="I38" s="543">
        <f>17.841+5.049+13.496+19.219</f>
        <v>55.605000000000004</v>
      </c>
      <c r="J38" s="128">
        <f>+I38+'20'!J38</f>
        <v>1053.55</v>
      </c>
      <c r="K38" s="129" t="s">
        <v>76</v>
      </c>
      <c r="L38" s="423"/>
      <c r="M38" s="424"/>
    </row>
    <row r="39" spans="1:27" ht="17.45" customHeight="1">
      <c r="A39" s="763" t="s">
        <v>14</v>
      </c>
      <c r="B39" s="764"/>
      <c r="C39" s="165">
        <f>SUMIF($G$7:$G$31,"Cleaning",$F$7:$F$31)</f>
        <v>18</v>
      </c>
      <c r="D39" s="119">
        <f>+C39+'20'!D39</f>
        <v>257</v>
      </c>
      <c r="E39" s="144">
        <f t="shared" si="3"/>
        <v>4.2833333333333332</v>
      </c>
      <c r="F39" s="361">
        <v>926.45833333333337</v>
      </c>
      <c r="G39" s="361">
        <v>741.16666666666663</v>
      </c>
      <c r="H39" s="188" t="s">
        <v>78</v>
      </c>
      <c r="I39" s="143"/>
      <c r="J39" s="130">
        <f>J37/G4</f>
        <v>52.768850053921881</v>
      </c>
      <c r="K39" s="131" t="s">
        <v>76</v>
      </c>
      <c r="L39" s="423"/>
      <c r="M39" s="424"/>
    </row>
    <row r="40" spans="1:27" ht="17.45" customHeight="1">
      <c r="A40" s="763" t="s">
        <v>79</v>
      </c>
      <c r="B40" s="764"/>
      <c r="C40" s="165">
        <f>SUMIF($G$7:$G$31,"Mechanical",$F$7:$F$31)</f>
        <v>0</v>
      </c>
      <c r="D40" s="119">
        <f>+C40+'20'!D40</f>
        <v>0</v>
      </c>
      <c r="E40" s="144">
        <f t="shared" si="3"/>
        <v>0</v>
      </c>
      <c r="F40" s="361">
        <v>930</v>
      </c>
      <c r="G40" s="361">
        <v>744</v>
      </c>
      <c r="H40" s="188" t="s">
        <v>80</v>
      </c>
      <c r="I40" s="119">
        <f>(K34+L34)/1000</f>
        <v>53.741</v>
      </c>
      <c r="J40" s="132">
        <f>+I40+'20'!J40</f>
        <v>1023.46</v>
      </c>
      <c r="K40" s="131" t="s">
        <v>76</v>
      </c>
      <c r="L40" s="423"/>
      <c r="M40" s="424"/>
    </row>
    <row r="41" spans="1:27" ht="17.45" customHeight="1">
      <c r="A41" s="763" t="s">
        <v>81</v>
      </c>
      <c r="B41" s="764"/>
      <c r="C41" s="165">
        <f>SUMIF($G$7:$G$31,"Electrical",$F$7:$F$31)</f>
        <v>0</v>
      </c>
      <c r="D41" s="119">
        <f>+C41+'20'!D41</f>
        <v>170</v>
      </c>
      <c r="E41" s="144">
        <f t="shared" si="3"/>
        <v>2.8333333333333335</v>
      </c>
      <c r="F41" s="361"/>
      <c r="G41" s="361"/>
      <c r="H41" s="188" t="s">
        <v>82</v>
      </c>
      <c r="I41" s="143"/>
      <c r="J41" s="130">
        <f>J40/G4</f>
        <v>48.73619047619048</v>
      </c>
      <c r="K41" s="131" t="s">
        <v>76</v>
      </c>
      <c r="L41" s="423"/>
      <c r="M41" s="424"/>
      <c r="Q41" s="150">
        <f>SUM(Q31:Q39)</f>
        <v>480</v>
      </c>
      <c r="R41" s="150">
        <f>SUM(R31:R39)</f>
        <v>446400</v>
      </c>
      <c r="S41" s="150">
        <f>SUM(S31:S39)</f>
        <v>357120</v>
      </c>
      <c r="Y41" s="150">
        <f>SUM(Y31:Y39)</f>
        <v>650</v>
      </c>
      <c r="Z41" s="150">
        <f>SUM(Z31:Z39)</f>
        <v>602800</v>
      </c>
      <c r="AA41" s="150">
        <f>SUM(AA31:AA39)</f>
        <v>482240</v>
      </c>
    </row>
    <row r="42" spans="1:27" ht="17.45" customHeight="1">
      <c r="A42" s="763" t="s">
        <v>17</v>
      </c>
      <c r="B42" s="764"/>
      <c r="C42" s="165">
        <f>SUMIF($G$7:$G$31,"Instrument",$F$7:$F$31)</f>
        <v>0</v>
      </c>
      <c r="D42" s="119">
        <f>+C42+'20'!D42</f>
        <v>0</v>
      </c>
      <c r="E42" s="144">
        <f t="shared" si="3"/>
        <v>0</v>
      </c>
      <c r="F42" s="361">
        <f>+(480*F38+480*F39+480*F40)/1440</f>
        <v>921.18055555555554</v>
      </c>
      <c r="G42" s="361">
        <f>+(480*G38+480*G39+480*G40)/1440</f>
        <v>736.94444444444446</v>
      </c>
      <c r="H42" s="188" t="s">
        <v>83</v>
      </c>
      <c r="I42" s="247"/>
      <c r="J42" s="133"/>
      <c r="K42" s="131" t="s">
        <v>84</v>
      </c>
      <c r="L42" s="423"/>
      <c r="M42" s="424"/>
      <c r="Q42" s="150">
        <f>480-Q41</f>
        <v>0</v>
      </c>
      <c r="R42" s="150">
        <f>+R41/Q41</f>
        <v>930</v>
      </c>
      <c r="S42" s="150">
        <f>+S41/Q41</f>
        <v>744</v>
      </c>
      <c r="Y42" s="150">
        <f>480-Y41</f>
        <v>-170</v>
      </c>
      <c r="Z42" s="150">
        <f>+Z41/Y41</f>
        <v>927.38461538461536</v>
      </c>
      <c r="AA42" s="150">
        <f>+AA41/Y41</f>
        <v>741.90769230769229</v>
      </c>
    </row>
    <row r="43" spans="1:27" ht="17.45" customHeight="1">
      <c r="A43" s="763" t="s">
        <v>85</v>
      </c>
      <c r="B43" s="764"/>
      <c r="C43" s="165">
        <f>SUMIF($G$7:$G$31,"Water",$F$7:$F$31)</f>
        <v>0</v>
      </c>
      <c r="D43" s="119">
        <f>+C43+'20'!D43</f>
        <v>0</v>
      </c>
      <c r="E43" s="144">
        <f t="shared" si="3"/>
        <v>0</v>
      </c>
      <c r="F43" s="361"/>
      <c r="G43" s="362"/>
      <c r="H43" s="189" t="s">
        <v>86</v>
      </c>
      <c r="I43" s="119">
        <f>+Report1!AH29</f>
        <v>70.3</v>
      </c>
      <c r="J43" s="134">
        <f>+I43+'20'!J43</f>
        <v>1408.4</v>
      </c>
      <c r="K43" s="131" t="s">
        <v>76</v>
      </c>
      <c r="L43" s="425">
        <f>+Report1!AN29</f>
        <v>9.8000000000000007</v>
      </c>
      <c r="M43" s="426">
        <f>+L43+'20'!M43</f>
        <v>208.20000000000002</v>
      </c>
    </row>
    <row r="44" spans="1:27" ht="17.45" customHeight="1">
      <c r="A44" s="763" t="s">
        <v>18</v>
      </c>
      <c r="B44" s="764"/>
      <c r="C44" s="165">
        <f>SUMIF($G$7:$G$31,"PLN",$F$7:$F$31)</f>
        <v>0</v>
      </c>
      <c r="D44" s="119">
        <f>+C44+'20'!D44</f>
        <v>0</v>
      </c>
      <c r="E44" s="144">
        <f t="shared" si="3"/>
        <v>0</v>
      </c>
      <c r="F44" s="361"/>
      <c r="G44" s="362"/>
      <c r="H44" s="189" t="s">
        <v>87</v>
      </c>
      <c r="I44" s="119">
        <f>I43/I38</f>
        <v>1.2642747954320652</v>
      </c>
      <c r="J44" s="135">
        <f>J43/J38</f>
        <v>1.3368136301077311</v>
      </c>
      <c r="K44" s="131" t="s">
        <v>76</v>
      </c>
      <c r="L44" s="427">
        <f>+L43/I38</f>
        <v>0.17624314360219404</v>
      </c>
      <c r="M44" s="428">
        <f>+M43/J38</f>
        <v>0.19761757866261689</v>
      </c>
    </row>
    <row r="45" spans="1:27" ht="17.45" customHeight="1">
      <c r="A45" s="763" t="s">
        <v>19</v>
      </c>
      <c r="B45" s="764"/>
      <c r="C45" s="165">
        <f>SUMIF($G$7:$G$31,"Boiler",$F$7:$F$31)</f>
        <v>0</v>
      </c>
      <c r="D45" s="119">
        <f>+C45+'20'!D45</f>
        <v>0</v>
      </c>
      <c r="E45" s="144">
        <f t="shared" si="3"/>
        <v>0</v>
      </c>
      <c r="F45" s="361"/>
      <c r="G45" s="364"/>
      <c r="H45" s="189" t="s">
        <v>88</v>
      </c>
      <c r="I45" s="119">
        <f>I43/I40</f>
        <v>1.3081260117973241</v>
      </c>
      <c r="J45" s="135">
        <f>J43/J40</f>
        <v>1.3761163113360562</v>
      </c>
      <c r="K45" s="131" t="s">
        <v>76</v>
      </c>
      <c r="L45" s="427">
        <f>+L43/I40</f>
        <v>0.18235611544258576</v>
      </c>
      <c r="M45" s="428">
        <f>+M43/J40</f>
        <v>0.20342758876751413</v>
      </c>
    </row>
    <row r="46" spans="1:27" ht="17.45" customHeight="1">
      <c r="A46" s="763" t="s">
        <v>89</v>
      </c>
      <c r="B46" s="764"/>
      <c r="C46" s="165">
        <f>SUMIF($G$7:$G$31,"Gas",$F$7:$F$31)</f>
        <v>0</v>
      </c>
      <c r="D46" s="119">
        <f>+C46+'20'!D46</f>
        <v>0</v>
      </c>
      <c r="E46" s="144">
        <f t="shared" si="3"/>
        <v>0</v>
      </c>
      <c r="F46" s="361"/>
      <c r="G46" s="362"/>
      <c r="H46" s="189" t="s">
        <v>90</v>
      </c>
      <c r="I46" s="141">
        <f>+SUMIF(Listrik!P28,"&gt;0")</f>
        <v>38136.019999999946</v>
      </c>
      <c r="J46" s="136">
        <f>+I46+'20'!J46</f>
        <v>826625.65999999992</v>
      </c>
      <c r="K46" s="131" t="s">
        <v>91</v>
      </c>
      <c r="L46" s="427">
        <f>+Listrik!AF28</f>
        <v>0</v>
      </c>
      <c r="M46" s="429">
        <f>+L46+'20'!M46</f>
        <v>0</v>
      </c>
      <c r="N46" s="150" t="s">
        <v>644</v>
      </c>
      <c r="O46" s="150">
        <v>916.07594936708858</v>
      </c>
      <c r="P46" s="150">
        <v>732.86075949367091</v>
      </c>
      <c r="Q46" s="150">
        <v>790</v>
      </c>
    </row>
    <row r="47" spans="1:27" ht="17.45" customHeight="1">
      <c r="A47" s="763" t="s">
        <v>92</v>
      </c>
      <c r="B47" s="764"/>
      <c r="C47" s="165">
        <f>SUMIF($G$7:$G$31,"Gas",$F$7:$F$31)</f>
        <v>0</v>
      </c>
      <c r="D47" s="119">
        <f>+C47+'20'!D47</f>
        <v>0</v>
      </c>
      <c r="E47" s="144">
        <f t="shared" si="3"/>
        <v>0</v>
      </c>
      <c r="F47" s="361"/>
      <c r="G47" s="362"/>
      <c r="H47" s="189" t="s">
        <v>93</v>
      </c>
      <c r="I47" s="119">
        <f>I46/I38</f>
        <v>685.83796421185048</v>
      </c>
      <c r="J47" s="136">
        <f>J46/J38</f>
        <v>784.60980494518526</v>
      </c>
      <c r="K47" s="131" t="s">
        <v>25</v>
      </c>
      <c r="L47" s="427">
        <f>+L46/I38</f>
        <v>0</v>
      </c>
      <c r="M47" s="428">
        <f>+M46/J38</f>
        <v>0</v>
      </c>
      <c r="N47" s="150" t="s">
        <v>656</v>
      </c>
      <c r="O47" s="150">
        <v>927.38461538461536</v>
      </c>
      <c r="P47" s="150">
        <v>741.90769230769229</v>
      </c>
      <c r="Q47" s="150">
        <v>650</v>
      </c>
    </row>
    <row r="48" spans="1:27" ht="17.45" customHeight="1">
      <c r="A48" s="763" t="s">
        <v>15</v>
      </c>
      <c r="B48" s="764"/>
      <c r="C48" s="165">
        <f>SUMIF($G$7:$G$31,"Start Up",$F$7:$F$31)</f>
        <v>0</v>
      </c>
      <c r="D48" s="119">
        <f>+C48+'20'!D48</f>
        <v>0</v>
      </c>
      <c r="E48" s="144">
        <f t="shared" si="3"/>
        <v>0</v>
      </c>
      <c r="F48" s="361"/>
      <c r="G48" s="362"/>
      <c r="H48" s="189" t="s">
        <v>94</v>
      </c>
      <c r="I48" s="119">
        <f>I46/I40</f>
        <v>709.62616996334168</v>
      </c>
      <c r="J48" s="136">
        <f>J46/J40</f>
        <v>807.67754479901498</v>
      </c>
      <c r="K48" s="131" t="s">
        <v>25</v>
      </c>
      <c r="L48" s="427">
        <f>+L46/I38</f>
        <v>0</v>
      </c>
      <c r="M48" s="428">
        <f>+M46/J40</f>
        <v>0</v>
      </c>
      <c r="Q48" s="150">
        <f>+Q46+Q47</f>
        <v>1440</v>
      </c>
    </row>
    <row r="49" spans="1:13" ht="17.45" customHeight="1">
      <c r="A49" s="783" t="s">
        <v>21</v>
      </c>
      <c r="B49" s="764"/>
      <c r="C49" s="165">
        <f>SUMIF($G$7:$G$31,"Others",$F$7:$F$31)</f>
        <v>0</v>
      </c>
      <c r="D49" s="119">
        <f>+C49+'20'!D49</f>
        <v>0</v>
      </c>
      <c r="E49" s="144">
        <f t="shared" si="3"/>
        <v>0</v>
      </c>
      <c r="F49" s="186"/>
      <c r="H49" s="189" t="s">
        <v>95</v>
      </c>
      <c r="I49" s="119">
        <f>+Report1!AB29</f>
        <v>4746.5878913899542</v>
      </c>
      <c r="J49" s="136">
        <f>+I49+'20'!J49</f>
        <v>102000.4539097924</v>
      </c>
      <c r="K49" s="131" t="s">
        <v>96</v>
      </c>
      <c r="L49" s="423"/>
      <c r="M49" s="424"/>
    </row>
    <row r="50" spans="1:13" ht="17.45" customHeight="1">
      <c r="A50" s="763" t="s">
        <v>20</v>
      </c>
      <c r="B50" s="764"/>
      <c r="C50" s="165">
        <f>SUMIF($G$7:$G$31,"Steam",$F$7:$F$31)</f>
        <v>0</v>
      </c>
      <c r="D50" s="119">
        <f>+C50+'20'!D50</f>
        <v>0</v>
      </c>
      <c r="E50" s="144">
        <f t="shared" si="3"/>
        <v>0</v>
      </c>
      <c r="F50" s="186"/>
      <c r="H50" s="189" t="s">
        <v>97</v>
      </c>
      <c r="I50" s="141">
        <f>I49/I38</f>
        <v>85.362609322721951</v>
      </c>
      <c r="J50" s="134">
        <f>J49/J38</f>
        <v>96.815959289822416</v>
      </c>
      <c r="K50" s="131" t="s">
        <v>96</v>
      </c>
      <c r="L50" s="423"/>
      <c r="M50" s="424"/>
    </row>
    <row r="51" spans="1:13" ht="17.45" customHeight="1" thickBot="1">
      <c r="A51" s="765" t="s">
        <v>98</v>
      </c>
      <c r="B51" s="766"/>
      <c r="C51" s="165">
        <f>SUMIF($G$7:$G$31,"Planned shut",$F$7:$F$31)</f>
        <v>0</v>
      </c>
      <c r="D51" s="119">
        <f>+C51+'20'!D51</f>
        <v>609</v>
      </c>
      <c r="E51" s="144">
        <f t="shared" si="3"/>
        <v>10.15</v>
      </c>
      <c r="F51" s="186"/>
      <c r="H51" s="191" t="s">
        <v>99</v>
      </c>
      <c r="I51" s="142">
        <f>I49/I40</f>
        <v>88.323400967416944</v>
      </c>
      <c r="J51" s="137">
        <f>J49/J40</f>
        <v>99.662374601637964</v>
      </c>
      <c r="K51" s="138" t="s">
        <v>96</v>
      </c>
      <c r="L51" s="423"/>
      <c r="M51" s="424"/>
    </row>
    <row r="52" spans="1:13" ht="13.5" thickBot="1">
      <c r="A52" s="767" t="s">
        <v>29</v>
      </c>
      <c r="B52" s="768"/>
      <c r="C52" s="145">
        <f>SUM(C38:C51)</f>
        <v>44</v>
      </c>
      <c r="D52" s="145">
        <f>SUM(D38:D51)</f>
        <v>2194</v>
      </c>
      <c r="E52" s="146">
        <f>SUM(E38:E51)</f>
        <v>36.56666666666667</v>
      </c>
      <c r="F52" s="186"/>
      <c r="H52" s="192"/>
      <c r="I52" s="193"/>
      <c r="J52" s="139"/>
      <c r="K52" s="140"/>
      <c r="L52" s="430"/>
      <c r="M52" s="431"/>
    </row>
    <row r="53" spans="1:13" ht="13.5" thickBot="1">
      <c r="A53" s="769"/>
      <c r="B53" s="770"/>
      <c r="C53" s="147">
        <f>C52/(24*60)</f>
        <v>3.0555555555555555E-2</v>
      </c>
      <c r="D53" s="147">
        <f>D52/(24*60*G4)</f>
        <v>7.255291005291005E-2</v>
      </c>
      <c r="E53" s="148">
        <f>E52/(G4*24)</f>
        <v>7.2552910052910063E-2</v>
      </c>
      <c r="F53" s="186"/>
    </row>
    <row r="54" spans="1:13">
      <c r="E54" s="194"/>
      <c r="F54" s="186"/>
    </row>
    <row r="55" spans="1:13">
      <c r="E55" s="194"/>
    </row>
    <row r="56" spans="1:13">
      <c r="A56" s="195" t="s">
        <v>100</v>
      </c>
      <c r="B56" s="196"/>
      <c r="C56" s="197"/>
      <c r="D56" s="197"/>
      <c r="E56" s="197"/>
      <c r="F56" s="198"/>
      <c r="G56" s="197"/>
      <c r="H56" s="199"/>
      <c r="I56" s="200" t="s">
        <v>101</v>
      </c>
      <c r="J56" s="201">
        <f>+D34+'20'!J56</f>
        <v>3547</v>
      </c>
      <c r="K56" s="202">
        <f>J56/(J40+J56/1000)/1000</f>
        <v>3.4537252423790681E-3</v>
      </c>
    </row>
    <row r="57" spans="1:13">
      <c r="A57" s="177"/>
      <c r="I57" s="200" t="s">
        <v>102</v>
      </c>
      <c r="J57" s="201">
        <f>+E34+'20'!J57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Y61"/>
  <sheetViews>
    <sheetView view="pageBreakPreview" zoomScale="80" zoomScaleNormal="80" zoomScaleSheetLayoutView="80" workbookViewId="0">
      <selection activeCell="F26" activeCellId="2" sqref="F9 F17 F2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customWidth="1"/>
    <col min="11" max="11" width="12.5703125" style="150" bestFit="1" customWidth="1"/>
    <col min="12" max="12" width="10" style="150" customWidth="1"/>
    <col min="13" max="13" width="14.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20</v>
      </c>
      <c r="H4" s="155" t="str">
        <f>+'1'!H4</f>
        <v>.11.25</v>
      </c>
      <c r="J4" s="150">
        <f>474.7+436.9+370.4</f>
        <v>1282</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590</v>
      </c>
      <c r="O6" s="150">
        <v>1160</v>
      </c>
      <c r="P6" s="150">
        <f>+O6-O6*0.22</f>
        <v>904.8</v>
      </c>
      <c r="Q6" s="150">
        <v>30</v>
      </c>
      <c r="R6" s="150">
        <f>+O6*Q6</f>
        <v>34800</v>
      </c>
      <c r="S6" s="150">
        <f>+P6*Q6</f>
        <v>27144</v>
      </c>
    </row>
    <row r="7" spans="1:19" ht="13.5" customHeight="1" thickBot="1">
      <c r="A7" s="775" t="s">
        <v>460</v>
      </c>
      <c r="B7" s="216" t="s">
        <v>595</v>
      </c>
      <c r="C7" s="217">
        <v>5427</v>
      </c>
      <c r="D7" s="218"/>
      <c r="E7" s="219"/>
      <c r="F7" s="229"/>
      <c r="G7" s="230" t="s">
        <v>13</v>
      </c>
      <c r="H7" s="231" t="s">
        <v>390</v>
      </c>
      <c r="I7" s="778" t="s">
        <v>647</v>
      </c>
      <c r="J7" s="215" t="str">
        <f>+'19'!J7</f>
        <v>T 13,5 RC HW</v>
      </c>
      <c r="K7" s="239"/>
      <c r="L7" s="243"/>
      <c r="M7" s="118">
        <f>+K7+'19'!M7+L7</f>
        <v>263166</v>
      </c>
      <c r="N7" s="150" t="s">
        <v>604</v>
      </c>
      <c r="O7" s="150">
        <v>1160</v>
      </c>
      <c r="P7" s="150">
        <f>+O7-O7*0.19</f>
        <v>939.6</v>
      </c>
      <c r="Q7" s="150">
        <f>60-30+360+27</f>
        <v>417</v>
      </c>
      <c r="R7" s="150">
        <f>+O7*Q7</f>
        <v>483720</v>
      </c>
      <c r="S7" s="150">
        <f>+P7*Q7</f>
        <v>391813.2</v>
      </c>
    </row>
    <row r="8" spans="1:19" ht="13.5" thickBot="1">
      <c r="A8" s="776"/>
      <c r="B8" s="216" t="s">
        <v>619</v>
      </c>
      <c r="C8" s="217">
        <v>12157</v>
      </c>
      <c r="D8" s="218"/>
      <c r="E8" s="220"/>
      <c r="F8" s="232">
        <v>4</v>
      </c>
      <c r="G8" s="579" t="s">
        <v>13</v>
      </c>
      <c r="H8" s="231" t="s">
        <v>426</v>
      </c>
      <c r="I8" s="779"/>
      <c r="J8" s="215" t="str">
        <f>+'19'!J8</f>
        <v>T 14 RC HW</v>
      </c>
      <c r="K8" s="240"/>
      <c r="L8" s="240"/>
      <c r="M8" s="118">
        <f>+K8+'19'!M8+L8</f>
        <v>97781</v>
      </c>
      <c r="N8" s="150" t="s">
        <v>644</v>
      </c>
      <c r="O8" s="150">
        <v>980</v>
      </c>
      <c r="P8" s="150">
        <f>+O8-O8*0.2</f>
        <v>784</v>
      </c>
      <c r="Q8" s="150">
        <f>60-27</f>
        <v>33</v>
      </c>
      <c r="R8" s="150">
        <f>+O8*Q8</f>
        <v>32340</v>
      </c>
      <c r="S8" s="150">
        <f>+P8*Q8</f>
        <v>25872</v>
      </c>
    </row>
    <row r="9" spans="1:19" ht="13.5" thickBot="1">
      <c r="A9" s="776"/>
      <c r="B9" s="216"/>
      <c r="C9" s="217"/>
      <c r="D9" s="218"/>
      <c r="E9" s="221"/>
      <c r="F9" s="229">
        <v>10</v>
      </c>
      <c r="G9" s="579" t="s">
        <v>13</v>
      </c>
      <c r="H9" s="234" t="s">
        <v>397</v>
      </c>
      <c r="I9" s="779"/>
      <c r="J9" s="215" t="str">
        <f>+'19'!J9</f>
        <v>T 15 RC HW</v>
      </c>
      <c r="K9" s="240"/>
      <c r="L9" s="240"/>
      <c r="M9" s="118">
        <f>+K9+'19'!M9+L9</f>
        <v>34238</v>
      </c>
    </row>
    <row r="10" spans="1:19" ht="26.25" thickBot="1">
      <c r="A10" s="776"/>
      <c r="B10" s="216"/>
      <c r="C10" s="217"/>
      <c r="D10" s="218"/>
      <c r="E10" s="220"/>
      <c r="F10" s="229">
        <v>8</v>
      </c>
      <c r="G10" s="238" t="s">
        <v>14</v>
      </c>
      <c r="H10" s="234" t="s">
        <v>642</v>
      </c>
      <c r="I10" s="779"/>
      <c r="J10" s="215" t="str">
        <f>+'19'!J10</f>
        <v>TW 29 RC HW</v>
      </c>
      <c r="K10" s="240"/>
      <c r="L10" s="240"/>
      <c r="M10" s="118">
        <f>+K10+'19'!M10+L10</f>
        <v>21998</v>
      </c>
    </row>
    <row r="11" spans="1:19" ht="26.25" thickBot="1">
      <c r="A11" s="776"/>
      <c r="B11" s="216"/>
      <c r="C11" s="217"/>
      <c r="D11" s="218"/>
      <c r="E11" s="220"/>
      <c r="F11" s="229"/>
      <c r="G11" s="233"/>
      <c r="H11" s="234" t="s">
        <v>643</v>
      </c>
      <c r="I11" s="779"/>
      <c r="J11" s="215" t="str">
        <f>+'19'!J11</f>
        <v>TW 20 RC HW</v>
      </c>
      <c r="K11" s="240"/>
      <c r="L11" s="240"/>
      <c r="M11" s="118">
        <f>+K11+'19'!M11+L11</f>
        <v>104164</v>
      </c>
    </row>
    <row r="12" spans="1:19" ht="13.5" thickBot="1">
      <c r="A12" s="776"/>
      <c r="B12" s="216"/>
      <c r="C12" s="217"/>
      <c r="D12" s="218"/>
      <c r="E12" s="220"/>
      <c r="F12" s="229"/>
      <c r="G12" s="233"/>
      <c r="H12" s="234"/>
      <c r="I12" s="779"/>
      <c r="J12" s="215" t="str">
        <f>+'19'!J12</f>
        <v>TW 19 RC HW</v>
      </c>
      <c r="K12" s="240"/>
      <c r="L12" s="240"/>
      <c r="M12" s="118">
        <f>+K12+'19'!M12+L12</f>
        <v>18863</v>
      </c>
    </row>
    <row r="13" spans="1:19" ht="13.5" thickBot="1">
      <c r="A13" s="776"/>
      <c r="B13" s="216"/>
      <c r="C13" s="217"/>
      <c r="D13" s="217"/>
      <c r="E13" s="220"/>
      <c r="F13" s="229"/>
      <c r="G13" s="233"/>
      <c r="H13" s="234"/>
      <c r="I13" s="780"/>
      <c r="J13" s="215" t="str">
        <f>+'19'!J13</f>
        <v>TW 17 RC HW</v>
      </c>
      <c r="K13" s="240"/>
      <c r="L13" s="240"/>
      <c r="M13" s="118">
        <f>+K13+'19'!M13+L13</f>
        <v>67816</v>
      </c>
    </row>
    <row r="14" spans="1:19" ht="13.5" thickBot="1">
      <c r="A14" s="777"/>
      <c r="B14" s="166" t="s">
        <v>3</v>
      </c>
      <c r="C14" s="100">
        <f>SUM(C7:C13)</f>
        <v>17584</v>
      </c>
      <c r="D14" s="112">
        <f>SUM(D7:D13)</f>
        <v>0</v>
      </c>
      <c r="E14" s="113">
        <f>SUM(E5:E13)</f>
        <v>0</v>
      </c>
      <c r="F14" s="103">
        <f>SUM(F6:F13)</f>
        <v>22</v>
      </c>
      <c r="G14" s="160"/>
      <c r="H14" s="167"/>
      <c r="I14" s="168"/>
      <c r="J14" s="215" t="str">
        <f>+'19'!J14</f>
        <v>F 14 RC HW</v>
      </c>
      <c r="K14" s="240"/>
      <c r="L14" s="240"/>
      <c r="M14" s="118">
        <f>+K14+'19'!M14+L14</f>
        <v>10232</v>
      </c>
    </row>
    <row r="15" spans="1:19" ht="13.5" customHeight="1" thickBot="1">
      <c r="A15" s="775" t="s">
        <v>444</v>
      </c>
      <c r="B15" s="166"/>
      <c r="C15" s="114">
        <f>C14/($C$23+$D$23+$E$23)</f>
        <v>0.91865628755028472</v>
      </c>
      <c r="D15" s="115">
        <f>D14/($C$23+$D$23+$E$23)</f>
        <v>0</v>
      </c>
      <c r="E15" s="116">
        <f>E14/($C$23+$D$23+$E$23)</f>
        <v>0</v>
      </c>
      <c r="F15" s="229"/>
      <c r="G15" s="230" t="s">
        <v>13</v>
      </c>
      <c r="H15" s="231" t="s">
        <v>390</v>
      </c>
      <c r="I15" s="778" t="s">
        <v>646</v>
      </c>
      <c r="J15" s="215" t="str">
        <f>+'19'!J15</f>
        <v>T 16,5 RC HW</v>
      </c>
      <c r="K15" s="240"/>
      <c r="L15" s="240"/>
      <c r="M15" s="118">
        <f>+K15+'19'!M15+L15</f>
        <v>10954</v>
      </c>
    </row>
    <row r="16" spans="1:19" ht="13.5" thickBot="1">
      <c r="A16" s="781"/>
      <c r="B16" s="216" t="s">
        <v>619</v>
      </c>
      <c r="C16" s="223">
        <v>2452</v>
      </c>
      <c r="D16" s="224"/>
      <c r="E16" s="225"/>
      <c r="F16" s="232">
        <v>2</v>
      </c>
      <c r="G16" s="579" t="s">
        <v>13</v>
      </c>
      <c r="H16" s="231" t="s">
        <v>429</v>
      </c>
      <c r="I16" s="779"/>
      <c r="J16" s="215" t="str">
        <f>+'19'!J16</f>
        <v>T 15,5 RC HW</v>
      </c>
      <c r="K16" s="230">
        <f>+C7</f>
        <v>5427</v>
      </c>
      <c r="L16" s="230"/>
      <c r="M16" s="118">
        <f>+K16+'19'!M16+L16</f>
        <v>263708</v>
      </c>
      <c r="Q16" s="150">
        <f>SUM(Q6:Q14)</f>
        <v>480</v>
      </c>
      <c r="R16" s="150">
        <f>SUM(R6:R14)</f>
        <v>550860</v>
      </c>
      <c r="S16" s="150">
        <f>SUM(S6:S14)</f>
        <v>444829.2</v>
      </c>
    </row>
    <row r="17" spans="1:25" ht="13.5" thickBot="1">
      <c r="A17" s="781"/>
      <c r="B17" s="216" t="s">
        <v>650</v>
      </c>
      <c r="C17" s="217">
        <v>16689</v>
      </c>
      <c r="D17" s="218"/>
      <c r="E17" s="226"/>
      <c r="F17" s="229">
        <v>4</v>
      </c>
      <c r="G17" s="579" t="s">
        <v>13</v>
      </c>
      <c r="H17" s="234" t="s">
        <v>397</v>
      </c>
      <c r="I17" s="779"/>
      <c r="J17" s="215" t="str">
        <f>+'19'!J17</f>
        <v>T 16 RC HW</v>
      </c>
      <c r="K17" s="230">
        <f>+C8+C16</f>
        <v>14609</v>
      </c>
      <c r="L17" s="230"/>
      <c r="M17" s="118">
        <f>+K17+'19'!M17+L17</f>
        <v>43235</v>
      </c>
      <c r="Q17" s="150">
        <f>480-Q16</f>
        <v>0</v>
      </c>
      <c r="R17" s="150">
        <f>+R16/Q16</f>
        <v>1147.625</v>
      </c>
      <c r="S17" s="150">
        <f>+S16/Q16</f>
        <v>926.72750000000008</v>
      </c>
    </row>
    <row r="18" spans="1:25" ht="26.25" thickBot="1">
      <c r="A18" s="781"/>
      <c r="B18" s="216"/>
      <c r="C18" s="217"/>
      <c r="D18" s="218"/>
      <c r="E18" s="226"/>
      <c r="F18" s="229"/>
      <c r="G18" s="238" t="s">
        <v>14</v>
      </c>
      <c r="H18" s="234" t="s">
        <v>640</v>
      </c>
      <c r="I18" s="779"/>
      <c r="J18" s="215" t="s">
        <v>650</v>
      </c>
      <c r="K18" s="240">
        <f>+C17+C25</f>
        <v>33564</v>
      </c>
      <c r="L18" s="240"/>
      <c r="M18" s="118">
        <f>+K18+'19'!M18+L18</f>
        <v>33564</v>
      </c>
      <c r="N18" s="150" t="s">
        <v>644</v>
      </c>
      <c r="O18" s="150">
        <v>980</v>
      </c>
      <c r="P18" s="150">
        <f>+O18-O18*0.2</f>
        <v>784</v>
      </c>
      <c r="Q18" s="150">
        <f>60*7+35</f>
        <v>455</v>
      </c>
      <c r="R18" s="150">
        <f>+O18*Q18</f>
        <v>445900</v>
      </c>
      <c r="S18" s="150">
        <f>+P18*Q18</f>
        <v>356720</v>
      </c>
      <c r="T18" s="150" t="s">
        <v>644</v>
      </c>
      <c r="U18" s="150">
        <v>980</v>
      </c>
      <c r="V18" s="150">
        <f>+U18-U18*0.2</f>
        <v>784</v>
      </c>
      <c r="W18" s="150">
        <f>60*7+35</f>
        <v>455</v>
      </c>
      <c r="X18" s="150">
        <f>+U18*W18</f>
        <v>445900</v>
      </c>
      <c r="Y18" s="150">
        <f>+V18*W18</f>
        <v>356720</v>
      </c>
    </row>
    <row r="19" spans="1:25" ht="51.75" thickBot="1">
      <c r="A19" s="781"/>
      <c r="B19" s="216"/>
      <c r="C19" s="217"/>
      <c r="D19" s="218"/>
      <c r="E19" s="226"/>
      <c r="F19" s="236"/>
      <c r="G19" s="233"/>
      <c r="H19" s="234" t="s">
        <v>641</v>
      </c>
      <c r="I19" s="779"/>
      <c r="J19" s="215">
        <f>+'19'!J19</f>
        <v>0</v>
      </c>
      <c r="K19" s="240"/>
      <c r="L19" s="240"/>
      <c r="M19" s="118">
        <f>+K19+'19'!M19+L19</f>
        <v>0</v>
      </c>
      <c r="O19" s="150">
        <v>900</v>
      </c>
      <c r="P19" s="150">
        <f>+O19-O19*0.2</f>
        <v>720</v>
      </c>
      <c r="Q19" s="150">
        <f>480-Q18</f>
        <v>25</v>
      </c>
      <c r="R19" s="150">
        <f>+O19*Q19</f>
        <v>22500</v>
      </c>
      <c r="S19" s="150">
        <f>+P19*Q19</f>
        <v>18000</v>
      </c>
      <c r="U19" s="150">
        <v>900</v>
      </c>
      <c r="V19" s="150">
        <f>+U19-U19*0.2</f>
        <v>720</v>
      </c>
      <c r="W19" s="150">
        <f>480-W18</f>
        <v>25</v>
      </c>
      <c r="X19" s="150">
        <f>+U19*W19</f>
        <v>22500</v>
      </c>
      <c r="Y19" s="150">
        <f>+V19*W19</f>
        <v>18000</v>
      </c>
    </row>
    <row r="20" spans="1:25" ht="13.5" thickBot="1">
      <c r="A20" s="781"/>
      <c r="B20" s="216"/>
      <c r="C20" s="217"/>
      <c r="D20" s="218"/>
      <c r="E20" s="226"/>
      <c r="F20" s="229"/>
      <c r="G20" s="233"/>
      <c r="H20" s="234"/>
      <c r="I20" s="779"/>
      <c r="J20" s="215">
        <f>+'19'!J20</f>
        <v>0</v>
      </c>
      <c r="K20" s="241"/>
      <c r="L20" s="241"/>
      <c r="M20" s="118">
        <f>+K20+'19'!M20+L20</f>
        <v>0</v>
      </c>
      <c r="R20" s="150">
        <f>+O20*Q20</f>
        <v>0</v>
      </c>
      <c r="S20" s="150">
        <f>+P20*Q20</f>
        <v>0</v>
      </c>
      <c r="T20" s="150" t="s">
        <v>644</v>
      </c>
      <c r="U20" s="150">
        <v>910</v>
      </c>
      <c r="V20" s="150">
        <v>728</v>
      </c>
      <c r="W20" s="150">
        <v>480</v>
      </c>
      <c r="X20" s="150">
        <f>+U20*W20</f>
        <v>436800</v>
      </c>
      <c r="Y20" s="150">
        <f>+V20*W20</f>
        <v>349440</v>
      </c>
    </row>
    <row r="21" spans="1:25" ht="13.5" thickBot="1">
      <c r="A21" s="781"/>
      <c r="B21" s="216"/>
      <c r="C21" s="217"/>
      <c r="D21" s="218"/>
      <c r="E21" s="226"/>
      <c r="F21" s="232"/>
      <c r="G21" s="233"/>
      <c r="H21" s="234"/>
      <c r="I21" s="779"/>
      <c r="J21" s="215">
        <f>+'19'!J21</f>
        <v>0</v>
      </c>
      <c r="K21" s="241"/>
      <c r="L21" s="241"/>
      <c r="M21" s="118">
        <f>+K21+'19'!M21+L21</f>
        <v>0</v>
      </c>
      <c r="T21" s="150" t="s">
        <v>644</v>
      </c>
      <c r="U21" s="150">
        <v>980</v>
      </c>
      <c r="V21" s="150">
        <v>784</v>
      </c>
      <c r="W21" s="150">
        <v>33</v>
      </c>
      <c r="X21" s="150">
        <f>+U21*W21</f>
        <v>32340</v>
      </c>
      <c r="Y21" s="150">
        <f>+V21*W21</f>
        <v>25872</v>
      </c>
    </row>
    <row r="22" spans="1:25" ht="13.5" thickBot="1">
      <c r="A22" s="781"/>
      <c r="B22" s="216"/>
      <c r="C22" s="217"/>
      <c r="D22" s="218"/>
      <c r="E22" s="226"/>
      <c r="F22" s="237"/>
      <c r="G22" s="233"/>
      <c r="H22" s="234"/>
      <c r="I22" s="780"/>
      <c r="J22" s="215">
        <f>+'19'!J22</f>
        <v>0</v>
      </c>
      <c r="K22" s="241"/>
      <c r="L22" s="241"/>
      <c r="M22" s="118">
        <f>+K22+'19'!M22+L22</f>
        <v>0</v>
      </c>
    </row>
    <row r="23" spans="1:25" ht="13.5" thickBot="1">
      <c r="A23" s="782"/>
      <c r="B23" s="166" t="s">
        <v>3</v>
      </c>
      <c r="C23" s="101">
        <f>SUM(C16:C22)</f>
        <v>19141</v>
      </c>
      <c r="D23" s="112">
        <f>SUM(D16:D22)</f>
        <v>0</v>
      </c>
      <c r="E23" s="113">
        <f>SUM(E18:E22)</f>
        <v>0</v>
      </c>
      <c r="F23" s="103">
        <f>SUM(F15:F22)</f>
        <v>6</v>
      </c>
      <c r="G23" s="160"/>
      <c r="H23" s="167"/>
      <c r="I23" s="170"/>
      <c r="J23" s="215">
        <f>+'19'!J23</f>
        <v>0</v>
      </c>
      <c r="K23" s="241"/>
      <c r="L23" s="241"/>
      <c r="M23" s="118">
        <f>+K23+'19'!M23+L23</f>
        <v>0</v>
      </c>
    </row>
    <row r="24" spans="1:25" ht="13.5" customHeight="1" thickBot="1">
      <c r="A24" s="775" t="s">
        <v>445</v>
      </c>
      <c r="B24" s="171"/>
      <c r="C24" s="114">
        <f>C23/($C$23+$D$23+$E$23)</f>
        <v>1</v>
      </c>
      <c r="D24" s="115">
        <f>D23/($C$23+$D$23+$E$23)</f>
        <v>0</v>
      </c>
      <c r="E24" s="116">
        <f>E23/($C$23+$D$23+$E$23)</f>
        <v>0</v>
      </c>
      <c r="F24" s="229"/>
      <c r="G24" s="230" t="s">
        <v>13</v>
      </c>
      <c r="H24" s="231" t="s">
        <v>390</v>
      </c>
      <c r="I24" s="778" t="s">
        <v>645</v>
      </c>
      <c r="J24" s="215">
        <f>+'19'!J24</f>
        <v>0</v>
      </c>
      <c r="K24" s="241"/>
      <c r="L24" s="241"/>
      <c r="M24" s="118">
        <f>+K24+'19'!M24+L24</f>
        <v>0</v>
      </c>
    </row>
    <row r="25" spans="1:25" ht="13.5" thickBot="1">
      <c r="A25" s="781"/>
      <c r="B25" s="216" t="s">
        <v>650</v>
      </c>
      <c r="C25" s="227">
        <v>16875</v>
      </c>
      <c r="D25" s="218"/>
      <c r="E25" s="226"/>
      <c r="F25" s="232">
        <v>6</v>
      </c>
      <c r="G25" s="579" t="s">
        <v>13</v>
      </c>
      <c r="H25" s="231" t="s">
        <v>424</v>
      </c>
      <c r="I25" s="779"/>
      <c r="J25" s="215">
        <f>+'19'!J25</f>
        <v>0</v>
      </c>
      <c r="K25" s="241"/>
      <c r="L25" s="241"/>
      <c r="M25" s="118">
        <f>+K25+'19'!M25+L25</f>
        <v>0</v>
      </c>
    </row>
    <row r="26" spans="1:25" ht="13.5" thickBot="1">
      <c r="A26" s="781"/>
      <c r="B26" s="216"/>
      <c r="C26" s="227"/>
      <c r="D26" s="218"/>
      <c r="E26" s="228"/>
      <c r="F26" s="229">
        <v>13</v>
      </c>
      <c r="G26" s="579" t="s">
        <v>13</v>
      </c>
      <c r="H26" s="234" t="s">
        <v>425</v>
      </c>
      <c r="I26" s="779"/>
      <c r="J26" s="215">
        <f>+'19'!J26</f>
        <v>0</v>
      </c>
      <c r="K26" s="241"/>
      <c r="L26" s="241"/>
      <c r="M26" s="118">
        <f>+K26+'19'!M26+L26</f>
        <v>0</v>
      </c>
    </row>
    <row r="27" spans="1:25" ht="26.25" thickBot="1">
      <c r="A27" s="781"/>
      <c r="B27" s="216"/>
      <c r="C27" s="217"/>
      <c r="D27" s="218"/>
      <c r="E27" s="226"/>
      <c r="F27" s="229"/>
      <c r="G27" s="238" t="s">
        <v>14</v>
      </c>
      <c r="H27" s="234" t="s">
        <v>638</v>
      </c>
      <c r="I27" s="779"/>
      <c r="J27" s="215">
        <f>+'19'!J27</f>
        <v>0</v>
      </c>
      <c r="K27" s="241"/>
      <c r="L27" s="241"/>
      <c r="M27" s="118">
        <f>+K27+'19'!M27+L27</f>
        <v>0</v>
      </c>
    </row>
    <row r="28" spans="1:25" ht="39" thickBot="1">
      <c r="A28" s="781"/>
      <c r="B28" s="216"/>
      <c r="C28" s="217"/>
      <c r="D28" s="218"/>
      <c r="E28" s="226"/>
      <c r="F28" s="232"/>
      <c r="G28" s="233"/>
      <c r="H28" s="234" t="s">
        <v>639</v>
      </c>
      <c r="I28" s="779"/>
      <c r="J28" s="215">
        <f>+'19'!J28</f>
        <v>0</v>
      </c>
      <c r="K28" s="241"/>
      <c r="L28" s="241"/>
      <c r="M28" s="118">
        <f>+K28+'19'!M28+L28</f>
        <v>0</v>
      </c>
      <c r="Q28" s="150">
        <f>SUM(Q18:Q26)</f>
        <v>480</v>
      </c>
      <c r="R28" s="150">
        <f>SUM(R18:R26)</f>
        <v>468400</v>
      </c>
      <c r="S28" s="150">
        <f>SUM(S18:S26)</f>
        <v>374720</v>
      </c>
      <c r="W28" s="150">
        <f>SUM(W18:W26)</f>
        <v>993</v>
      </c>
      <c r="X28" s="150">
        <f>SUM(X18:X26)</f>
        <v>937540</v>
      </c>
      <c r="Y28" s="150">
        <f>SUM(Y18:Y26)</f>
        <v>750032</v>
      </c>
    </row>
    <row r="29" spans="1:25" ht="13.5" thickBot="1">
      <c r="A29" s="781"/>
      <c r="B29" s="216"/>
      <c r="C29" s="217"/>
      <c r="D29" s="218"/>
      <c r="E29" s="226"/>
      <c r="F29" s="237"/>
      <c r="G29" s="233"/>
      <c r="H29" s="234"/>
      <c r="I29" s="779"/>
      <c r="J29" s="215">
        <f>+'19'!J29</f>
        <v>0</v>
      </c>
      <c r="K29" s="241"/>
      <c r="L29" s="241"/>
      <c r="M29" s="118">
        <f>+K29+'19'!M29+L29</f>
        <v>0</v>
      </c>
      <c r="Q29" s="150">
        <f>480-Q28</f>
        <v>0</v>
      </c>
      <c r="R29" s="150">
        <f>+R28/Q28</f>
        <v>975.83333333333337</v>
      </c>
      <c r="S29" s="150">
        <f>+S28/Q28</f>
        <v>780.66666666666663</v>
      </c>
      <c r="W29" s="150">
        <f>480-W28</f>
        <v>-513</v>
      </c>
      <c r="X29" s="150">
        <f>+X28/W28</f>
        <v>944.14904330312186</v>
      </c>
      <c r="Y29" s="150">
        <f>+Y28/W28</f>
        <v>755.31923464249746</v>
      </c>
    </row>
    <row r="30" spans="1:25" ht="13.5" thickBot="1">
      <c r="A30" s="781"/>
      <c r="B30" s="216"/>
      <c r="C30" s="227"/>
      <c r="D30" s="218"/>
      <c r="E30" s="226"/>
      <c r="F30" s="237"/>
      <c r="G30" s="233"/>
      <c r="H30" s="234"/>
      <c r="I30" s="779"/>
      <c r="J30" s="215">
        <f>+'19'!J30</f>
        <v>0</v>
      </c>
      <c r="K30" s="240"/>
      <c r="L30" s="240"/>
      <c r="M30" s="118">
        <f>+K30+'19'!M30+L30</f>
        <v>0</v>
      </c>
      <c r="N30" s="150" t="s">
        <v>644</v>
      </c>
      <c r="O30" s="150">
        <v>910</v>
      </c>
      <c r="P30" s="150">
        <f>+O30-O30*0.2</f>
        <v>728</v>
      </c>
      <c r="Q30" s="150">
        <v>480</v>
      </c>
      <c r="R30" s="150">
        <f>+O30*Q30</f>
        <v>436800</v>
      </c>
      <c r="S30" s="150">
        <f>+P30*Q30</f>
        <v>349440</v>
      </c>
    </row>
    <row r="31" spans="1:25" ht="13.5" thickBot="1">
      <c r="A31" s="781"/>
      <c r="B31" s="216"/>
      <c r="C31" s="227"/>
      <c r="D31" s="218"/>
      <c r="E31" s="226"/>
      <c r="F31" s="237"/>
      <c r="G31" s="238"/>
      <c r="H31" s="235"/>
      <c r="I31" s="780"/>
      <c r="J31" s="215">
        <f>+'19'!J31</f>
        <v>0</v>
      </c>
      <c r="K31" s="240"/>
      <c r="L31" s="240"/>
      <c r="M31" s="118">
        <f>+K31+'19'!M31+L31</f>
        <v>0</v>
      </c>
      <c r="P31" s="150">
        <f>+O31-O31*0.2</f>
        <v>0</v>
      </c>
      <c r="Q31" s="150">
        <f>480-Q30</f>
        <v>0</v>
      </c>
      <c r="R31" s="150">
        <f>+O31*Q31</f>
        <v>0</v>
      </c>
      <c r="S31" s="150">
        <f>+P31*Q31</f>
        <v>0</v>
      </c>
    </row>
    <row r="32" spans="1:25" ht="13.5" thickBot="1">
      <c r="A32" s="782"/>
      <c r="B32" s="166" t="s">
        <v>3</v>
      </c>
      <c r="C32" s="100">
        <f>SUM(C25:C31)</f>
        <v>16875</v>
      </c>
      <c r="D32" s="101">
        <f>SUM(D25:D31)</f>
        <v>0</v>
      </c>
      <c r="E32" s="102">
        <f>SUM(E25:E31)</f>
        <v>0</v>
      </c>
      <c r="F32" s="103">
        <f>SUM(F24:F31)</f>
        <v>19</v>
      </c>
      <c r="G32" s="172"/>
      <c r="H32" s="173"/>
      <c r="I32" s="170"/>
      <c r="J32" s="215">
        <f>+'19'!J32</f>
        <v>0</v>
      </c>
      <c r="K32" s="242"/>
      <c r="L32" s="244"/>
      <c r="M32" s="118">
        <f>+K32+'19'!M32+L32</f>
        <v>0</v>
      </c>
      <c r="R32" s="150">
        <f>+O32*Q32</f>
        <v>0</v>
      </c>
      <c r="S32" s="150">
        <f>+P32*Q32</f>
        <v>0</v>
      </c>
    </row>
    <row r="33" spans="1:19" ht="13.5" thickBot="1">
      <c r="A33" s="174"/>
      <c r="B33" s="175"/>
      <c r="C33" s="104">
        <f>C32/($C$32+$D$32+$E$32)</f>
        <v>1</v>
      </c>
      <c r="D33" s="105">
        <f>D32/($C$32+$D$32+$E$32)</f>
        <v>0</v>
      </c>
      <c r="E33" s="106">
        <f>E32/($C$32+$D$32+$E$32)</f>
        <v>0</v>
      </c>
      <c r="F33" s="107"/>
      <c r="G33" s="176"/>
      <c r="H33" s="177"/>
      <c r="I33" s="178"/>
      <c r="J33" s="122"/>
      <c r="K33" s="123"/>
      <c r="L33" s="214"/>
      <c r="M33" s="120"/>
    </row>
    <row r="34" spans="1:19" ht="13.5" thickBot="1">
      <c r="A34" s="771" t="s">
        <v>70</v>
      </c>
      <c r="B34" s="772"/>
      <c r="C34" s="108">
        <f>C14+C23+C32</f>
        <v>53600</v>
      </c>
      <c r="D34" s="108">
        <f>D14+D23+D32</f>
        <v>0</v>
      </c>
      <c r="E34" s="108">
        <f>E14+E23+E32</f>
        <v>0</v>
      </c>
      <c r="F34" s="109">
        <f>F14+F23+F32</f>
        <v>47</v>
      </c>
      <c r="H34" s="179"/>
      <c r="I34" s="179"/>
      <c r="J34" s="124" t="s">
        <v>29</v>
      </c>
      <c r="K34" s="125">
        <f>SUM(K7:K32)</f>
        <v>53600</v>
      </c>
      <c r="L34" s="213">
        <f>SUM(L7:L32)</f>
        <v>0</v>
      </c>
      <c r="M34" s="121">
        <f>SUM(M7:M32)</f>
        <v>969719</v>
      </c>
    </row>
    <row r="35" spans="1:19" ht="13.5" thickBot="1">
      <c r="A35" s="180"/>
      <c r="B35" s="181"/>
      <c r="C35" s="105">
        <f>C34/($C$34+$D$34+$E$34)</f>
        <v>1</v>
      </c>
      <c r="D35" s="105">
        <f>D34/($C$34+$D$34+$E$34)</f>
        <v>0</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row>
    <row r="37" spans="1:19" ht="17.45" customHeight="1" thickBot="1">
      <c r="A37" s="773" t="s">
        <v>71</v>
      </c>
      <c r="B37" s="774"/>
      <c r="C37" s="163" t="s">
        <v>72</v>
      </c>
      <c r="D37" s="184" t="s">
        <v>73</v>
      </c>
      <c r="E37" s="185" t="s">
        <v>74</v>
      </c>
      <c r="F37" s="361"/>
      <c r="G37" s="363"/>
      <c r="H37" s="187" t="s">
        <v>75</v>
      </c>
      <c r="I37" s="245">
        <f>(15.5*30+16*417+19*993)/1440*G42*2.77*1440/1000000</f>
        <v>58.474690683566671</v>
      </c>
      <c r="J37" s="126">
        <f>+I37+'19'!J37</f>
        <v>1050.9680266601372</v>
      </c>
      <c r="K37" s="127" t="s">
        <v>76</v>
      </c>
      <c r="L37" s="421"/>
      <c r="M37" s="422"/>
    </row>
    <row r="38" spans="1:19" ht="17.45" customHeight="1">
      <c r="A38" s="767" t="s">
        <v>13</v>
      </c>
      <c r="B38" s="768"/>
      <c r="C38" s="165">
        <f>SUMIF($G$7:$G$31,"Process",$F$7:$F$31)</f>
        <v>39</v>
      </c>
      <c r="D38" s="119">
        <f>+C38+'19'!D38</f>
        <v>1132</v>
      </c>
      <c r="E38" s="144">
        <f t="shared" ref="E38:E51" si="0">D38/60</f>
        <v>18.866666666666667</v>
      </c>
      <c r="F38" s="361">
        <v>1147.625</v>
      </c>
      <c r="G38" s="361">
        <v>926.72750000000008</v>
      </c>
      <c r="H38" s="188" t="s">
        <v>77</v>
      </c>
      <c r="I38" s="543">
        <f>55745/1000</f>
        <v>55.744999999999997</v>
      </c>
      <c r="J38" s="128">
        <f>+I38+'19'!J38</f>
        <v>997.94500000000005</v>
      </c>
      <c r="K38" s="129" t="s">
        <v>76</v>
      </c>
      <c r="L38" s="423"/>
      <c r="M38" s="424"/>
    </row>
    <row r="39" spans="1:19" ht="17.45" customHeight="1">
      <c r="A39" s="763" t="s">
        <v>14</v>
      </c>
      <c r="B39" s="764"/>
      <c r="C39" s="165">
        <f>SUMIF($G$7:$G$31,"Cleaning",$F$7:$F$31)</f>
        <v>8</v>
      </c>
      <c r="D39" s="119">
        <f>+C39+'19'!D39</f>
        <v>239</v>
      </c>
      <c r="E39" s="144">
        <f t="shared" si="0"/>
        <v>3.9833333333333334</v>
      </c>
      <c r="F39" s="361">
        <v>975.83333333333337</v>
      </c>
      <c r="G39" s="361">
        <v>780.66666666666663</v>
      </c>
      <c r="H39" s="188" t="s">
        <v>78</v>
      </c>
      <c r="I39" s="143"/>
      <c r="J39" s="130">
        <f>J37/G4</f>
        <v>52.548401333006858</v>
      </c>
      <c r="K39" s="131" t="s">
        <v>76</v>
      </c>
      <c r="L39" s="423"/>
      <c r="M39" s="424"/>
    </row>
    <row r="40" spans="1:19" ht="17.45" customHeight="1">
      <c r="A40" s="763" t="s">
        <v>79</v>
      </c>
      <c r="B40" s="764"/>
      <c r="C40" s="165">
        <f>SUMIF($G$7:$G$31,"Mechanical",$F$7:$F$31)</f>
        <v>0</v>
      </c>
      <c r="D40" s="119">
        <f>+C40+'19'!D40</f>
        <v>0</v>
      </c>
      <c r="E40" s="144">
        <f t="shared" si="0"/>
        <v>0</v>
      </c>
      <c r="F40" s="361">
        <v>910</v>
      </c>
      <c r="G40" s="361">
        <v>728</v>
      </c>
      <c r="H40" s="188" t="s">
        <v>80</v>
      </c>
      <c r="I40" s="119">
        <f>(K34+L34)/1000</f>
        <v>53.6</v>
      </c>
      <c r="J40" s="132">
        <f>+I40+'19'!J40</f>
        <v>969.71900000000005</v>
      </c>
      <c r="K40" s="131" t="s">
        <v>76</v>
      </c>
      <c r="L40" s="423"/>
      <c r="M40" s="424"/>
      <c r="Q40" s="150">
        <f>SUM(Q30:Q38)</f>
        <v>480</v>
      </c>
      <c r="R40" s="150">
        <f>SUM(R30:R38)</f>
        <v>436800</v>
      </c>
      <c r="S40" s="150">
        <f>SUM(S30:S38)</f>
        <v>349440</v>
      </c>
    </row>
    <row r="41" spans="1:19" ht="17.45" customHeight="1">
      <c r="A41" s="763" t="s">
        <v>81</v>
      </c>
      <c r="B41" s="764"/>
      <c r="C41" s="165">
        <f>SUMIF($G$7:$G$31,"Electrical",$F$7:$F$31)</f>
        <v>0</v>
      </c>
      <c r="D41" s="119">
        <f>+C41+'19'!D41</f>
        <v>170</v>
      </c>
      <c r="E41" s="144">
        <f t="shared" si="0"/>
        <v>2.8333333333333335</v>
      </c>
      <c r="F41" s="361"/>
      <c r="G41" s="361"/>
      <c r="H41" s="188" t="s">
        <v>82</v>
      </c>
      <c r="I41" s="143"/>
      <c r="J41" s="130">
        <f>J40/G4</f>
        <v>48.485950000000003</v>
      </c>
      <c r="K41" s="131" t="s">
        <v>76</v>
      </c>
      <c r="L41" s="423"/>
      <c r="M41" s="424"/>
      <c r="Q41" s="150">
        <f>480-Q40</f>
        <v>0</v>
      </c>
      <c r="R41" s="150">
        <f>+R40/Q40</f>
        <v>910</v>
      </c>
      <c r="S41" s="150">
        <f>+S40/Q40</f>
        <v>728</v>
      </c>
    </row>
    <row r="42" spans="1:19" ht="17.45" customHeight="1">
      <c r="A42" s="763" t="s">
        <v>17</v>
      </c>
      <c r="B42" s="764"/>
      <c r="C42" s="165">
        <f>SUMIF($G$7:$G$31,"Instrument",$F$7:$F$31)</f>
        <v>0</v>
      </c>
      <c r="D42" s="119">
        <f>+C42+'19'!D42</f>
        <v>0</v>
      </c>
      <c r="E42" s="144">
        <f t="shared" si="0"/>
        <v>0</v>
      </c>
      <c r="F42" s="361">
        <f>+(F38*480+F39*480+F40*480)/1440</f>
        <v>1011.1527777777778</v>
      </c>
      <c r="G42" s="361">
        <f>+(G38*480+G39*480+G40*480)/1440</f>
        <v>811.79805555555549</v>
      </c>
      <c r="H42" s="188" t="s">
        <v>83</v>
      </c>
      <c r="I42" s="247" t="s">
        <v>648</v>
      </c>
      <c r="J42" s="133"/>
      <c r="K42" s="131" t="s">
        <v>84</v>
      </c>
      <c r="L42" s="423"/>
      <c r="M42" s="424"/>
    </row>
    <row r="43" spans="1:19" ht="17.45" customHeight="1">
      <c r="A43" s="763" t="s">
        <v>85</v>
      </c>
      <c r="B43" s="764"/>
      <c r="C43" s="165">
        <f>SUMIF($G$7:$G$31,"Water",$F$7:$F$31)</f>
        <v>0</v>
      </c>
      <c r="D43" s="119">
        <f>+C43+'19'!D43</f>
        <v>0</v>
      </c>
      <c r="E43" s="144">
        <f t="shared" si="0"/>
        <v>0</v>
      </c>
      <c r="F43" s="361"/>
      <c r="G43" s="362"/>
      <c r="H43" s="189" t="s">
        <v>86</v>
      </c>
      <c r="I43" s="119">
        <f>+Report1!AH28</f>
        <v>69.7</v>
      </c>
      <c r="J43" s="134">
        <f>+I43+'19'!J43</f>
        <v>1338.1000000000001</v>
      </c>
      <c r="K43" s="131" t="s">
        <v>76</v>
      </c>
      <c r="L43" s="425">
        <f>+Report1!AN28</f>
        <v>10</v>
      </c>
      <c r="M43" s="426">
        <f>+L43+'19'!M43</f>
        <v>198.4</v>
      </c>
      <c r="N43" s="150" t="s">
        <v>590</v>
      </c>
      <c r="O43" s="150">
        <v>1160</v>
      </c>
      <c r="P43" s="150">
        <v>904.8</v>
      </c>
      <c r="Q43" s="150">
        <v>30</v>
      </c>
    </row>
    <row r="44" spans="1:19" ht="17.45" customHeight="1">
      <c r="A44" s="763" t="s">
        <v>18</v>
      </c>
      <c r="B44" s="764"/>
      <c r="C44" s="165">
        <f>SUMIF($G$7:$G$31,"PLN",$F$7:$F$31)</f>
        <v>0</v>
      </c>
      <c r="D44" s="119">
        <f>+C44+'19'!D44</f>
        <v>0</v>
      </c>
      <c r="E44" s="144">
        <f t="shared" si="0"/>
        <v>0</v>
      </c>
      <c r="F44" s="361"/>
      <c r="G44" s="362"/>
      <c r="H44" s="189" t="s">
        <v>87</v>
      </c>
      <c r="I44" s="119">
        <f>I43/I38</f>
        <v>1.2503363530361469</v>
      </c>
      <c r="J44" s="135">
        <f>J43/J38</f>
        <v>1.3408554579661205</v>
      </c>
      <c r="K44" s="131" t="s">
        <v>76</v>
      </c>
      <c r="L44" s="427">
        <f>+L43/I38</f>
        <v>0.17938828594492781</v>
      </c>
      <c r="M44" s="428">
        <f>+M43/J38</f>
        <v>0.19880855157348351</v>
      </c>
      <c r="N44" s="150" t="s">
        <v>604</v>
      </c>
      <c r="O44" s="150">
        <v>1160</v>
      </c>
      <c r="P44" s="150">
        <v>939.6</v>
      </c>
      <c r="Q44" s="150">
        <v>417</v>
      </c>
    </row>
    <row r="45" spans="1:19" ht="17.45" customHeight="1">
      <c r="A45" s="763" t="s">
        <v>19</v>
      </c>
      <c r="B45" s="764"/>
      <c r="C45" s="165">
        <f>SUMIF($G$7:$G$31,"Boiler",$F$7:$F$31)</f>
        <v>0</v>
      </c>
      <c r="D45" s="119">
        <f>+C45+'19'!D45</f>
        <v>0</v>
      </c>
      <c r="E45" s="144">
        <f t="shared" si="0"/>
        <v>0</v>
      </c>
      <c r="F45" s="361"/>
      <c r="G45" s="364"/>
      <c r="H45" s="189" t="s">
        <v>88</v>
      </c>
      <c r="I45" s="119">
        <f>I43/I40</f>
        <v>1.3003731343283582</v>
      </c>
      <c r="J45" s="135">
        <f>J43/J40</f>
        <v>1.3798842757541103</v>
      </c>
      <c r="K45" s="131" t="s">
        <v>76</v>
      </c>
      <c r="L45" s="427">
        <f>+L43/I40</f>
        <v>0.18656716417910446</v>
      </c>
      <c r="M45" s="428">
        <f>+M43/J40</f>
        <v>0.20459535184935015</v>
      </c>
      <c r="N45" s="150" t="s">
        <v>644</v>
      </c>
      <c r="O45" s="150">
        <v>944.14904330312186</v>
      </c>
      <c r="P45" s="150">
        <v>755.31923464249746</v>
      </c>
      <c r="Q45" s="150">
        <v>993</v>
      </c>
    </row>
    <row r="46" spans="1:19" ht="17.45" customHeight="1">
      <c r="A46" s="763" t="s">
        <v>89</v>
      </c>
      <c r="B46" s="764"/>
      <c r="C46" s="165">
        <f>SUMIF($G$7:$G$31,"Gas",$F$7:$F$31)</f>
        <v>0</v>
      </c>
      <c r="D46" s="119">
        <f>+C46+'19'!D46</f>
        <v>0</v>
      </c>
      <c r="E46" s="144">
        <f t="shared" si="0"/>
        <v>0</v>
      </c>
      <c r="F46" s="361"/>
      <c r="G46" s="362"/>
      <c r="H46" s="189" t="s">
        <v>90</v>
      </c>
      <c r="I46" s="141">
        <f>+SUMIF(Listrik!P27,"&gt;0")</f>
        <v>38019.06000000007</v>
      </c>
      <c r="J46" s="136">
        <f>+I46+'19'!J46</f>
        <v>788489.64</v>
      </c>
      <c r="K46" s="131" t="s">
        <v>91</v>
      </c>
      <c r="L46" s="427">
        <f>+Listrik!AF27</f>
        <v>0</v>
      </c>
      <c r="M46" s="429">
        <f>+L46+'19'!M46</f>
        <v>0</v>
      </c>
      <c r="Q46" s="150">
        <f>+Q43+Q44+Q45</f>
        <v>1440</v>
      </c>
    </row>
    <row r="47" spans="1:19" ht="17.45" customHeight="1">
      <c r="A47" s="763" t="s">
        <v>92</v>
      </c>
      <c r="B47" s="764"/>
      <c r="C47" s="165">
        <f>SUMIF($G$7:$G$31,"Gas",$F$7:$F$31)</f>
        <v>0</v>
      </c>
      <c r="D47" s="119">
        <f>+C47+'19'!D47</f>
        <v>0</v>
      </c>
      <c r="E47" s="144">
        <f t="shared" si="0"/>
        <v>0</v>
      </c>
      <c r="F47" s="361"/>
      <c r="G47" s="362"/>
      <c r="H47" s="189" t="s">
        <v>93</v>
      </c>
      <c r="I47" s="119">
        <f>I46/I38</f>
        <v>682.01740066373793</v>
      </c>
      <c r="J47" s="136">
        <f>J46/J38</f>
        <v>790.11332287851531</v>
      </c>
      <c r="K47" s="131" t="s">
        <v>25</v>
      </c>
      <c r="L47" s="427">
        <f>+L46/I38</f>
        <v>0</v>
      </c>
      <c r="M47" s="428">
        <f>+M46/J38</f>
        <v>0</v>
      </c>
    </row>
    <row r="48" spans="1:19" ht="17.45" customHeight="1">
      <c r="A48" s="763" t="s">
        <v>15</v>
      </c>
      <c r="B48" s="764"/>
      <c r="C48" s="165">
        <f>SUMIF($G$7:$G$31,"Start Up",$F$7:$F$31)</f>
        <v>0</v>
      </c>
      <c r="D48" s="119">
        <f>+C48+'19'!D48</f>
        <v>0</v>
      </c>
      <c r="E48" s="144">
        <f t="shared" si="0"/>
        <v>0</v>
      </c>
      <c r="F48" s="361"/>
      <c r="G48" s="362"/>
      <c r="H48" s="189" t="s">
        <v>94</v>
      </c>
      <c r="I48" s="119">
        <f>I46/I40</f>
        <v>709.31082089552365</v>
      </c>
      <c r="J48" s="136">
        <f>J46/J40</f>
        <v>813.11146837382785</v>
      </c>
      <c r="K48" s="131" t="s">
        <v>25</v>
      </c>
      <c r="L48" s="427">
        <f>+L46/I38</f>
        <v>0</v>
      </c>
      <c r="M48" s="428">
        <f>+M46/J40</f>
        <v>0</v>
      </c>
    </row>
    <row r="49" spans="1:13" ht="17.45" customHeight="1">
      <c r="A49" s="763" t="s">
        <v>21</v>
      </c>
      <c r="B49" s="764"/>
      <c r="C49" s="165">
        <f>SUMIF($G$7:$G$31,"Others",$F$7:$F$31)</f>
        <v>0</v>
      </c>
      <c r="D49" s="119">
        <f>+C49+'19'!D49</f>
        <v>0</v>
      </c>
      <c r="E49" s="144">
        <f t="shared" si="0"/>
        <v>0</v>
      </c>
      <c r="F49" s="186"/>
      <c r="H49" s="189" t="s">
        <v>95</v>
      </c>
      <c r="I49" s="119">
        <f>+Report1!AB28</f>
        <v>4963.8618597987543</v>
      </c>
      <c r="J49" s="136">
        <f>+I49+'19'!J49</f>
        <v>97253.866018402448</v>
      </c>
      <c r="K49" s="131" t="s">
        <v>96</v>
      </c>
      <c r="L49" s="423"/>
      <c r="M49" s="424"/>
    </row>
    <row r="50" spans="1:13" ht="17.45" customHeight="1">
      <c r="A50" s="763" t="s">
        <v>20</v>
      </c>
      <c r="B50" s="764"/>
      <c r="C50" s="165">
        <f>SUMIF($G$7:$G$31,"Steam",$F$7:$F$31)</f>
        <v>0</v>
      </c>
      <c r="D50" s="119">
        <f>+C50+'19'!D50</f>
        <v>0</v>
      </c>
      <c r="E50" s="144">
        <f t="shared" si="0"/>
        <v>0</v>
      </c>
      <c r="F50" s="186"/>
      <c r="H50" s="189" t="s">
        <v>97</v>
      </c>
      <c r="I50" s="141">
        <f>I49/I38</f>
        <v>89.04586706967001</v>
      </c>
      <c r="J50" s="134">
        <f>J49/J38</f>
        <v>97.454134264315613</v>
      </c>
      <c r="K50" s="131" t="s">
        <v>96</v>
      </c>
      <c r="L50" s="423"/>
      <c r="M50" s="424"/>
    </row>
    <row r="51" spans="1:13" ht="17.45" customHeight="1" thickBot="1">
      <c r="A51" s="765" t="s">
        <v>98</v>
      </c>
      <c r="B51" s="766"/>
      <c r="C51" s="165">
        <f>SUMIF($G$7:$G$31,"Planned shut",$F$7:$F$31)</f>
        <v>0</v>
      </c>
      <c r="D51" s="119">
        <f>+C51+'19'!D51</f>
        <v>609</v>
      </c>
      <c r="E51" s="144">
        <f t="shared" si="0"/>
        <v>10.15</v>
      </c>
      <c r="F51" s="186"/>
      <c r="H51" s="191" t="s">
        <v>99</v>
      </c>
      <c r="I51" s="142">
        <f>I49/I40</f>
        <v>92.609363055946901</v>
      </c>
      <c r="J51" s="137">
        <f>J49/J40</f>
        <v>100.29077085052725</v>
      </c>
      <c r="K51" s="138" t="s">
        <v>96</v>
      </c>
      <c r="L51" s="423"/>
      <c r="M51" s="424"/>
    </row>
    <row r="52" spans="1:13" ht="13.5" thickBot="1">
      <c r="A52" s="767" t="s">
        <v>29</v>
      </c>
      <c r="B52" s="768"/>
      <c r="C52" s="145">
        <f>SUM(C38:C51)</f>
        <v>47</v>
      </c>
      <c r="D52" s="145">
        <f>SUM(D38:D51)</f>
        <v>2150</v>
      </c>
      <c r="E52" s="146">
        <f>SUM(E38:E51)</f>
        <v>35.833333333333336</v>
      </c>
      <c r="F52" s="186"/>
      <c r="H52" s="192"/>
      <c r="I52" s="193"/>
      <c r="J52" s="139"/>
      <c r="K52" s="140"/>
      <c r="L52" s="430"/>
      <c r="M52" s="431"/>
    </row>
    <row r="53" spans="1:13" ht="13.5" thickBot="1">
      <c r="A53" s="769"/>
      <c r="B53" s="770"/>
      <c r="C53" s="147">
        <f>C52/(24*60)</f>
        <v>3.2638888888888891E-2</v>
      </c>
      <c r="D53" s="147">
        <f>D52/(24*60*G4)</f>
        <v>7.4652777777777776E-2</v>
      </c>
      <c r="E53" s="148">
        <f>E52/(G4*24)</f>
        <v>7.4652777777777776E-2</v>
      </c>
      <c r="F53" s="186"/>
    </row>
    <row r="54" spans="1:13">
      <c r="E54" s="194"/>
      <c r="F54" s="186"/>
    </row>
    <row r="55" spans="1:13">
      <c r="E55" s="194"/>
    </row>
    <row r="56" spans="1:13">
      <c r="A56" s="195" t="s">
        <v>100</v>
      </c>
      <c r="B56" s="196"/>
      <c r="C56" s="197"/>
      <c r="D56" s="197"/>
      <c r="E56" s="197"/>
      <c r="F56" s="198"/>
      <c r="G56" s="197"/>
      <c r="H56" s="199"/>
      <c r="I56" s="200" t="s">
        <v>101</v>
      </c>
      <c r="J56" s="201">
        <f>+D34+'19'!J56</f>
        <v>3147</v>
      </c>
      <c r="K56" s="202">
        <f>J56/(J40+J56/1000)/1000</f>
        <v>3.2347723119114037E-3</v>
      </c>
    </row>
    <row r="57" spans="1:13">
      <c r="A57" s="177"/>
      <c r="I57" s="200" t="s">
        <v>102</v>
      </c>
      <c r="J57" s="201">
        <f>+E34+'19'!J57</f>
        <v>0</v>
      </c>
      <c r="K57" s="202">
        <f>J57/(J40+J57/1000)/1000</f>
        <v>0</v>
      </c>
    </row>
    <row r="58" spans="1:13">
      <c r="A58" s="203"/>
      <c r="B58" s="204"/>
      <c r="F58" s="186"/>
      <c r="H58" s="205"/>
      <c r="J58" s="150">
        <v>3147</v>
      </c>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59027777777777779" header="0" footer="0"/>
  <pageSetup paperSize="9" scale="51"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S61"/>
  <sheetViews>
    <sheetView view="pageBreakPreview" zoomScale="80" zoomScaleNormal="80" zoomScaleSheetLayoutView="80" workbookViewId="0">
      <selection activeCell="G10" sqref="G10"/>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5703125" style="150" bestFit="1" customWidth="1"/>
    <col min="12" max="12" width="8.28515625" style="150" customWidth="1"/>
    <col min="13" max="13" width="14.710937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19</v>
      </c>
      <c r="H4" s="155" t="str">
        <f>+'1'!H4</f>
        <v>.11.25</v>
      </c>
      <c r="J4" s="150">
        <f>454+686.3+511.8</f>
        <v>1652.1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590</v>
      </c>
      <c r="O6" s="150">
        <v>1100</v>
      </c>
      <c r="P6" s="150">
        <f>+O6-O6*0.18</f>
        <v>902</v>
      </c>
      <c r="Q6" s="150">
        <v>120</v>
      </c>
      <c r="R6" s="150">
        <f>+O6*Q6</f>
        <v>132000</v>
      </c>
      <c r="S6" s="150">
        <f>+P6*Q6</f>
        <v>108240</v>
      </c>
    </row>
    <row r="7" spans="1:19" ht="13.5" customHeight="1" thickBot="1">
      <c r="A7" s="775" t="s">
        <v>460</v>
      </c>
      <c r="B7" s="216" t="s">
        <v>595</v>
      </c>
      <c r="C7" s="217">
        <v>15251</v>
      </c>
      <c r="D7" s="218"/>
      <c r="E7" s="219"/>
      <c r="F7" s="229"/>
      <c r="G7" s="230" t="s">
        <v>13</v>
      </c>
      <c r="H7" s="231" t="s">
        <v>390</v>
      </c>
      <c r="I7" s="778" t="s">
        <v>636</v>
      </c>
      <c r="J7" s="215" t="str">
        <f>+'18'!J7</f>
        <v>T 13,5 RC HW</v>
      </c>
      <c r="K7" s="239"/>
      <c r="L7" s="243"/>
      <c r="M7" s="118">
        <f>+K7+'18'!M7+L7</f>
        <v>263166</v>
      </c>
      <c r="O7" s="150">
        <v>1080</v>
      </c>
      <c r="P7" s="150">
        <f>+O7-O7*0.18</f>
        <v>885.6</v>
      </c>
      <c r="Q7" s="150">
        <v>120</v>
      </c>
      <c r="R7" s="150">
        <f>+O7*Q7</f>
        <v>129600</v>
      </c>
      <c r="S7" s="150">
        <f>+P7*Q7</f>
        <v>106272</v>
      </c>
    </row>
    <row r="8" spans="1:19" ht="13.5" thickBot="1">
      <c r="A8" s="776"/>
      <c r="B8" s="216"/>
      <c r="C8" s="217"/>
      <c r="D8" s="218"/>
      <c r="E8" s="220"/>
      <c r="F8" s="232">
        <v>3</v>
      </c>
      <c r="G8" s="579" t="s">
        <v>13</v>
      </c>
      <c r="H8" s="231" t="s">
        <v>429</v>
      </c>
      <c r="I8" s="779"/>
      <c r="J8" s="215" t="str">
        <f>+'18'!J8</f>
        <v>T 14 RC HW</v>
      </c>
      <c r="K8" s="240"/>
      <c r="L8" s="240"/>
      <c r="M8" s="118">
        <f>+K8+'18'!M8+L8</f>
        <v>97781</v>
      </c>
      <c r="O8" s="150">
        <v>1160</v>
      </c>
      <c r="P8" s="150">
        <f>+O8-O8*0.18</f>
        <v>951.2</v>
      </c>
      <c r="Q8" s="150">
        <v>240</v>
      </c>
      <c r="R8" s="150">
        <f>+O8*Q8</f>
        <v>278400</v>
      </c>
      <c r="S8" s="150">
        <f>+P8*Q8</f>
        <v>228288</v>
      </c>
    </row>
    <row r="9" spans="1:19" ht="13.5" thickBot="1">
      <c r="A9" s="776"/>
      <c r="B9" s="216"/>
      <c r="C9" s="217"/>
      <c r="D9" s="218"/>
      <c r="E9" s="221"/>
      <c r="F9" s="229">
        <v>9</v>
      </c>
      <c r="G9" s="579" t="s">
        <v>13</v>
      </c>
      <c r="H9" s="234" t="s">
        <v>427</v>
      </c>
      <c r="I9" s="779"/>
      <c r="J9" s="215" t="str">
        <f>+'18'!J9</f>
        <v>T 15 RC HW</v>
      </c>
      <c r="K9" s="240"/>
      <c r="L9" s="240"/>
      <c r="M9" s="118">
        <f>+K9+'18'!M9+L9</f>
        <v>34238</v>
      </c>
    </row>
    <row r="10" spans="1:19" ht="26.25" thickBot="1">
      <c r="A10" s="776"/>
      <c r="B10" s="216"/>
      <c r="C10" s="217"/>
      <c r="D10" s="218"/>
      <c r="E10" s="220"/>
      <c r="F10" s="229">
        <v>8</v>
      </c>
      <c r="G10" s="238" t="s">
        <v>14</v>
      </c>
      <c r="H10" s="234" t="s">
        <v>635</v>
      </c>
      <c r="I10" s="779"/>
      <c r="J10" s="215" t="str">
        <f>+'18'!J10</f>
        <v>TW 29 RC HW</v>
      </c>
      <c r="K10" s="240"/>
      <c r="L10" s="240"/>
      <c r="M10" s="118">
        <f>+K10+'18'!M10+L10</f>
        <v>21998</v>
      </c>
    </row>
    <row r="11" spans="1:19" ht="77.25" thickBot="1">
      <c r="A11" s="776"/>
      <c r="B11" s="216"/>
      <c r="C11" s="217"/>
      <c r="D11" s="218"/>
      <c r="E11" s="220"/>
      <c r="F11" s="229"/>
      <c r="G11" s="233"/>
      <c r="H11" s="234" t="s">
        <v>634</v>
      </c>
      <c r="I11" s="779"/>
      <c r="J11" s="215" t="str">
        <f>+'18'!J11</f>
        <v>TW 20 RC HW</v>
      </c>
      <c r="K11" s="240"/>
      <c r="L11" s="240"/>
      <c r="M11" s="118">
        <f>+K11+'18'!M11+L11</f>
        <v>104164</v>
      </c>
    </row>
    <row r="12" spans="1:19" ht="13.5" thickBot="1">
      <c r="A12" s="776"/>
      <c r="B12" s="216"/>
      <c r="C12" s="217"/>
      <c r="D12" s="218"/>
      <c r="E12" s="220"/>
      <c r="F12" s="229"/>
      <c r="G12" s="233"/>
      <c r="H12" s="234"/>
      <c r="I12" s="779"/>
      <c r="J12" s="215" t="str">
        <f>+'18'!J12</f>
        <v>TW 19 RC HW</v>
      </c>
      <c r="K12" s="240"/>
      <c r="L12" s="240"/>
      <c r="M12" s="118">
        <f>+K12+'18'!M12+L12</f>
        <v>18863</v>
      </c>
    </row>
    <row r="13" spans="1:19" ht="13.5" thickBot="1">
      <c r="A13" s="776"/>
      <c r="B13" s="216"/>
      <c r="C13" s="217"/>
      <c r="D13" s="217"/>
      <c r="E13" s="220"/>
      <c r="F13" s="229"/>
      <c r="G13" s="233"/>
      <c r="H13" s="234"/>
      <c r="I13" s="780"/>
      <c r="J13" s="215" t="str">
        <f>+'18'!J13</f>
        <v>TW 17 RC HW</v>
      </c>
      <c r="K13" s="240"/>
      <c r="L13" s="240"/>
      <c r="M13" s="118">
        <f>+K13+'18'!M13+L13</f>
        <v>67816</v>
      </c>
    </row>
    <row r="14" spans="1:19" ht="13.5" thickBot="1">
      <c r="A14" s="777"/>
      <c r="B14" s="166" t="s">
        <v>3</v>
      </c>
      <c r="C14" s="100">
        <f>SUM(C7:C13)</f>
        <v>15251</v>
      </c>
      <c r="D14" s="112">
        <f>SUM(D7:D13)</f>
        <v>0</v>
      </c>
      <c r="E14" s="113">
        <f>SUM(E5:E13)</f>
        <v>0</v>
      </c>
      <c r="F14" s="103">
        <f>SUM(F6:F13)</f>
        <v>20</v>
      </c>
      <c r="G14" s="160"/>
      <c r="H14" s="167"/>
      <c r="I14" s="168"/>
      <c r="J14" s="215" t="str">
        <f>+'18'!J14</f>
        <v>F 14 RC HW</v>
      </c>
      <c r="K14" s="240"/>
      <c r="L14" s="240"/>
      <c r="M14" s="118">
        <f>+K14+'18'!M14+L14</f>
        <v>10232</v>
      </c>
    </row>
    <row r="15" spans="1:19" ht="13.5" customHeight="1" thickBot="1">
      <c r="A15" s="775" t="s">
        <v>444</v>
      </c>
      <c r="B15" s="166"/>
      <c r="C15" s="114">
        <f>C14/($C$23+$D$23+$E$23)</f>
        <v>0.81273647748467892</v>
      </c>
      <c r="D15" s="115">
        <f>D14/($C$23+$D$23+$E$23)</f>
        <v>0</v>
      </c>
      <c r="E15" s="116">
        <f>E14/($C$23+$D$23+$E$23)</f>
        <v>0</v>
      </c>
      <c r="F15" s="229"/>
      <c r="G15" s="230" t="s">
        <v>13</v>
      </c>
      <c r="H15" s="231" t="s">
        <v>390</v>
      </c>
      <c r="I15" s="778" t="s">
        <v>613</v>
      </c>
      <c r="J15" s="215" t="str">
        <f>+'18'!J15</f>
        <v>T 16,5 RC HW</v>
      </c>
      <c r="K15" s="240"/>
      <c r="L15" s="240"/>
      <c r="M15" s="118">
        <f>+K15+'18'!M15+L15</f>
        <v>10954</v>
      </c>
    </row>
    <row r="16" spans="1:19" ht="13.5" thickBot="1">
      <c r="A16" s="781"/>
      <c r="B16" s="216" t="s">
        <v>595</v>
      </c>
      <c r="C16" s="223">
        <v>18765</v>
      </c>
      <c r="D16" s="224"/>
      <c r="E16" s="225"/>
      <c r="F16" s="232">
        <v>2</v>
      </c>
      <c r="G16" s="579" t="s">
        <v>13</v>
      </c>
      <c r="H16" s="231" t="s">
        <v>429</v>
      </c>
      <c r="I16" s="779"/>
      <c r="J16" s="215" t="str">
        <f>+'18'!J16</f>
        <v>T 15,5 RC HW</v>
      </c>
      <c r="K16" s="240">
        <f>+C34</f>
        <v>50061</v>
      </c>
      <c r="L16" s="240"/>
      <c r="M16" s="118">
        <f>+K16+'18'!M16+L16</f>
        <v>258281</v>
      </c>
      <c r="Q16" s="150">
        <f>SUM(Q6:Q14)</f>
        <v>480</v>
      </c>
      <c r="R16" s="150">
        <f>SUM(R6:R14)</f>
        <v>540000</v>
      </c>
      <c r="S16" s="150">
        <f>SUM(S6:S14)</f>
        <v>442800</v>
      </c>
    </row>
    <row r="17" spans="1:19" ht="13.5" thickBot="1">
      <c r="A17" s="781"/>
      <c r="B17" s="216"/>
      <c r="C17" s="217"/>
      <c r="D17" s="218"/>
      <c r="E17" s="226"/>
      <c r="F17" s="229">
        <v>4</v>
      </c>
      <c r="G17" s="579" t="s">
        <v>13</v>
      </c>
      <c r="H17" s="234" t="s">
        <v>427</v>
      </c>
      <c r="I17" s="779"/>
      <c r="J17" s="215" t="str">
        <f>+'18'!J17</f>
        <v>T 16 RC HW</v>
      </c>
      <c r="K17" s="240"/>
      <c r="L17" s="240"/>
      <c r="M17" s="118">
        <f>+K17+'18'!M17+L17</f>
        <v>28626</v>
      </c>
      <c r="Q17" s="150">
        <f>480-Q16</f>
        <v>0</v>
      </c>
      <c r="R17" s="150">
        <f>+R16/Q16</f>
        <v>1125</v>
      </c>
      <c r="S17" s="150">
        <f>+S16/Q16</f>
        <v>922.5</v>
      </c>
    </row>
    <row r="18" spans="1:19" ht="26.25" thickBot="1">
      <c r="A18" s="781"/>
      <c r="B18" s="216"/>
      <c r="C18" s="217"/>
      <c r="D18" s="218"/>
      <c r="E18" s="226"/>
      <c r="F18" s="229">
        <v>10</v>
      </c>
      <c r="G18" s="238" t="s">
        <v>14</v>
      </c>
      <c r="H18" s="234" t="s">
        <v>633</v>
      </c>
      <c r="I18" s="779"/>
      <c r="J18" s="215">
        <f>+'18'!J18</f>
        <v>0</v>
      </c>
      <c r="K18" s="240"/>
      <c r="L18" s="240"/>
      <c r="M18" s="118">
        <f>+K18+'18'!M18+L18</f>
        <v>0</v>
      </c>
      <c r="N18" s="150" t="s">
        <v>590</v>
      </c>
      <c r="O18" s="150">
        <v>1160</v>
      </c>
      <c r="P18" s="150">
        <f>+O18-O18*0.22</f>
        <v>904.8</v>
      </c>
      <c r="Q18" s="150">
        <v>480</v>
      </c>
      <c r="R18" s="150">
        <f>+O18*Q18</f>
        <v>556800</v>
      </c>
      <c r="S18" s="150">
        <f>+P18*Q18</f>
        <v>434304</v>
      </c>
    </row>
    <row r="19" spans="1:19" ht="13.5" thickBot="1">
      <c r="A19" s="781"/>
      <c r="B19" s="216"/>
      <c r="C19" s="217"/>
      <c r="D19" s="218"/>
      <c r="E19" s="226"/>
      <c r="F19" s="236"/>
      <c r="G19" s="233"/>
      <c r="H19" s="234"/>
      <c r="I19" s="779"/>
      <c r="J19" s="215">
        <f>+'18'!J19</f>
        <v>0</v>
      </c>
      <c r="K19" s="240"/>
      <c r="L19" s="240"/>
      <c r="M19" s="118">
        <f>+K19+'18'!M19+L19</f>
        <v>0</v>
      </c>
      <c r="O19" s="150">
        <v>1160</v>
      </c>
      <c r="P19" s="150">
        <f>+O19-O19*0.22</f>
        <v>904.8</v>
      </c>
      <c r="Q19" s="150">
        <v>480</v>
      </c>
      <c r="R19" s="150">
        <f>+O19*Q19</f>
        <v>556800</v>
      </c>
      <c r="S19" s="150">
        <f>+P19*Q19</f>
        <v>434304</v>
      </c>
    </row>
    <row r="20" spans="1:19" ht="13.5" thickBot="1">
      <c r="A20" s="781"/>
      <c r="B20" s="216"/>
      <c r="C20" s="217"/>
      <c r="D20" s="218"/>
      <c r="E20" s="226"/>
      <c r="F20" s="229"/>
      <c r="G20" s="233"/>
      <c r="H20" s="234"/>
      <c r="I20" s="779"/>
      <c r="J20" s="215">
        <f>+'18'!J20</f>
        <v>0</v>
      </c>
      <c r="K20" s="240"/>
      <c r="L20" s="240"/>
      <c r="M20" s="118">
        <f>+K20+'18'!M20+L20</f>
        <v>0</v>
      </c>
      <c r="P20" s="150">
        <f>+O20-O20*0.18</f>
        <v>0</v>
      </c>
      <c r="R20" s="150">
        <f>+O20*Q20</f>
        <v>0</v>
      </c>
      <c r="S20" s="150">
        <f>+P20*Q20</f>
        <v>0</v>
      </c>
    </row>
    <row r="21" spans="1:19" ht="13.5" thickBot="1">
      <c r="A21" s="781"/>
      <c r="B21" s="216"/>
      <c r="C21" s="217"/>
      <c r="D21" s="218"/>
      <c r="E21" s="226"/>
      <c r="F21" s="232"/>
      <c r="G21" s="233"/>
      <c r="H21" s="234"/>
      <c r="I21" s="779"/>
      <c r="J21" s="215">
        <f>+'18'!J21</f>
        <v>0</v>
      </c>
      <c r="K21" s="240"/>
      <c r="L21" s="240"/>
      <c r="M21" s="118">
        <f>+K21+'18'!M21+L21</f>
        <v>0</v>
      </c>
    </row>
    <row r="22" spans="1:19" ht="13.5" thickBot="1">
      <c r="A22" s="781"/>
      <c r="B22" s="216"/>
      <c r="C22" s="217"/>
      <c r="D22" s="218"/>
      <c r="E22" s="226"/>
      <c r="F22" s="237"/>
      <c r="G22" s="233"/>
      <c r="H22" s="234"/>
      <c r="I22" s="780"/>
      <c r="J22" s="215">
        <f>+'18'!J22</f>
        <v>0</v>
      </c>
      <c r="K22" s="240"/>
      <c r="L22" s="240"/>
      <c r="M22" s="118">
        <f>+K22+'18'!M22+L22</f>
        <v>0</v>
      </c>
    </row>
    <row r="23" spans="1:19" ht="13.5" thickBot="1">
      <c r="A23" s="782"/>
      <c r="B23" s="166" t="s">
        <v>3</v>
      </c>
      <c r="C23" s="101">
        <f>SUM(C16:C22)</f>
        <v>18765</v>
      </c>
      <c r="D23" s="112">
        <f>SUM(D16:D22)</f>
        <v>0</v>
      </c>
      <c r="E23" s="113">
        <f>SUM(E18:E22)</f>
        <v>0</v>
      </c>
      <c r="F23" s="103">
        <f>SUM(F15:F22)</f>
        <v>16</v>
      </c>
      <c r="G23" s="160"/>
      <c r="H23" s="167"/>
      <c r="I23" s="170"/>
      <c r="J23" s="215">
        <f>+'18'!J23</f>
        <v>0</v>
      </c>
      <c r="K23" s="240"/>
      <c r="L23" s="240"/>
      <c r="M23" s="118">
        <f>+K23+'18'!M23+L23</f>
        <v>0</v>
      </c>
    </row>
    <row r="24" spans="1:19" ht="13.5" customHeight="1" thickBot="1">
      <c r="A24" s="775" t="s">
        <v>445</v>
      </c>
      <c r="B24" s="171"/>
      <c r="C24" s="114">
        <f>C23/($C$23+$D$23+$E$23)</f>
        <v>1</v>
      </c>
      <c r="D24" s="115">
        <f>D23/($C$23+$D$23+$E$23)</f>
        <v>0</v>
      </c>
      <c r="E24" s="116">
        <f>E23/($C$23+$D$23+$E$23)</f>
        <v>0</v>
      </c>
      <c r="F24" s="229"/>
      <c r="G24" s="230" t="s">
        <v>13</v>
      </c>
      <c r="H24" s="231" t="s">
        <v>390</v>
      </c>
      <c r="I24" s="778" t="s">
        <v>613</v>
      </c>
      <c r="J24" s="215">
        <f>+'18'!J24</f>
        <v>0</v>
      </c>
      <c r="K24" s="240"/>
      <c r="L24" s="240"/>
      <c r="M24" s="118">
        <f>+K24+'18'!M24+L24</f>
        <v>0</v>
      </c>
    </row>
    <row r="25" spans="1:19" ht="13.5" thickBot="1">
      <c r="A25" s="781"/>
      <c r="B25" s="216" t="s">
        <v>595</v>
      </c>
      <c r="C25" s="227">
        <v>16045</v>
      </c>
      <c r="D25" s="218"/>
      <c r="E25" s="226"/>
      <c r="F25" s="232">
        <v>6</v>
      </c>
      <c r="G25" s="579" t="s">
        <v>13</v>
      </c>
      <c r="H25" s="231" t="s">
        <v>429</v>
      </c>
      <c r="I25" s="779"/>
      <c r="J25" s="215">
        <f>+'18'!J25</f>
        <v>0</v>
      </c>
      <c r="K25" s="240"/>
      <c r="L25" s="240"/>
      <c r="M25" s="118">
        <f>+K25+'18'!M25+L25</f>
        <v>0</v>
      </c>
    </row>
    <row r="26" spans="1:19" ht="13.5" thickBot="1">
      <c r="A26" s="781"/>
      <c r="B26" s="216"/>
      <c r="C26" s="227"/>
      <c r="D26" s="218"/>
      <c r="E26" s="228"/>
      <c r="F26" s="229">
        <v>9</v>
      </c>
      <c r="G26" s="579" t="s">
        <v>13</v>
      </c>
      <c r="H26" s="234" t="s">
        <v>427</v>
      </c>
      <c r="I26" s="779"/>
      <c r="J26" s="215">
        <f>+'18'!J26</f>
        <v>0</v>
      </c>
      <c r="K26" s="240"/>
      <c r="L26" s="240"/>
      <c r="M26" s="118">
        <f>+K26+'18'!M26+L26</f>
        <v>0</v>
      </c>
    </row>
    <row r="27" spans="1:19" ht="26.25" thickBot="1">
      <c r="A27" s="781"/>
      <c r="B27" s="216"/>
      <c r="C27" s="217"/>
      <c r="D27" s="218"/>
      <c r="E27" s="226"/>
      <c r="F27" s="229"/>
      <c r="G27" s="238" t="s">
        <v>14</v>
      </c>
      <c r="H27" s="234" t="s">
        <v>608</v>
      </c>
      <c r="I27" s="779"/>
      <c r="J27" s="215">
        <f>+'18'!J27</f>
        <v>0</v>
      </c>
      <c r="K27" s="240"/>
      <c r="L27" s="240"/>
      <c r="M27" s="118">
        <f>+K27+'18'!M27+L27</f>
        <v>0</v>
      </c>
    </row>
    <row r="28" spans="1:19" ht="13.5" thickBot="1">
      <c r="A28" s="781"/>
      <c r="B28" s="216"/>
      <c r="C28" s="217"/>
      <c r="D28" s="218"/>
      <c r="E28" s="226"/>
      <c r="F28" s="232"/>
      <c r="G28" s="233"/>
      <c r="H28" s="234"/>
      <c r="I28" s="779"/>
      <c r="J28" s="215">
        <f>+'18'!J28</f>
        <v>0</v>
      </c>
      <c r="K28" s="240"/>
      <c r="L28" s="240"/>
      <c r="M28" s="118">
        <f>+K28+'18'!M28+L28</f>
        <v>0</v>
      </c>
      <c r="Q28" s="150">
        <f>SUM(Q18:Q26)</f>
        <v>960</v>
      </c>
      <c r="R28" s="150">
        <f>SUM(R18:R26)</f>
        <v>1113600</v>
      </c>
      <c r="S28" s="150">
        <f>SUM(S18:S26)</f>
        <v>868608</v>
      </c>
    </row>
    <row r="29" spans="1:19" ht="13.5" thickBot="1">
      <c r="A29" s="781"/>
      <c r="B29" s="216"/>
      <c r="C29" s="217"/>
      <c r="D29" s="218"/>
      <c r="E29" s="226"/>
      <c r="F29" s="237"/>
      <c r="G29" s="233"/>
      <c r="H29" s="234"/>
      <c r="I29" s="779"/>
      <c r="J29" s="215">
        <f>+'18'!J29</f>
        <v>0</v>
      </c>
      <c r="K29" s="240"/>
      <c r="L29" s="240"/>
      <c r="M29" s="118">
        <f>+K29+'18'!M29+L29</f>
        <v>0</v>
      </c>
      <c r="Q29" s="150">
        <f>480-Q28</f>
        <v>-480</v>
      </c>
      <c r="R29" s="150">
        <f>+R28/Q28</f>
        <v>1160</v>
      </c>
      <c r="S29" s="150">
        <f>+S28/Q28</f>
        <v>904.8</v>
      </c>
    </row>
    <row r="30" spans="1:19" ht="13.5" thickBot="1">
      <c r="A30" s="781"/>
      <c r="B30" s="216"/>
      <c r="C30" s="227"/>
      <c r="D30" s="218"/>
      <c r="E30" s="226"/>
      <c r="F30" s="237"/>
      <c r="G30" s="233"/>
      <c r="H30" s="234"/>
      <c r="I30" s="779"/>
      <c r="J30" s="215">
        <f>+'18'!J30</f>
        <v>0</v>
      </c>
      <c r="K30" s="240"/>
      <c r="L30" s="240"/>
      <c r="M30" s="118">
        <f>+K30+'18'!M30+L30</f>
        <v>0</v>
      </c>
      <c r="N30" s="156"/>
    </row>
    <row r="31" spans="1:19" ht="13.5" thickBot="1">
      <c r="A31" s="781"/>
      <c r="B31" s="216"/>
      <c r="C31" s="227"/>
      <c r="D31" s="218"/>
      <c r="E31" s="226"/>
      <c r="F31" s="237"/>
      <c r="G31" s="238"/>
      <c r="H31" s="235"/>
      <c r="I31" s="780"/>
      <c r="J31" s="215">
        <f>+'18'!J31</f>
        <v>0</v>
      </c>
      <c r="K31" s="240"/>
      <c r="L31" s="240"/>
      <c r="M31" s="118">
        <f>+K31+'18'!M31+L31</f>
        <v>0</v>
      </c>
    </row>
    <row r="32" spans="1:19" ht="13.5" thickBot="1">
      <c r="A32" s="782"/>
      <c r="B32" s="166" t="s">
        <v>3</v>
      </c>
      <c r="C32" s="100">
        <f>SUM(C25:C31)</f>
        <v>16045</v>
      </c>
      <c r="D32" s="101">
        <f>SUM(D25:D31)</f>
        <v>0</v>
      </c>
      <c r="E32" s="102">
        <f>SUM(E25:E31)</f>
        <v>0</v>
      </c>
      <c r="F32" s="103">
        <f>SUM(F24:F31)</f>
        <v>15</v>
      </c>
      <c r="G32" s="172"/>
      <c r="H32" s="173"/>
      <c r="I32" s="170"/>
      <c r="J32" s="215">
        <f>+'18'!J32</f>
        <v>0</v>
      </c>
      <c r="K32" s="242"/>
      <c r="L32" s="244"/>
      <c r="M32" s="118">
        <f>+K32+'18'!M32+L32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50061</v>
      </c>
      <c r="D34" s="108">
        <f>D14+D23+D32</f>
        <v>0</v>
      </c>
      <c r="E34" s="108">
        <f>E14+E23+E32</f>
        <v>0</v>
      </c>
      <c r="F34" s="109">
        <f>F14+F23+F32</f>
        <v>51</v>
      </c>
      <c r="H34" s="179"/>
      <c r="I34" s="179"/>
      <c r="J34" s="124" t="s">
        <v>29</v>
      </c>
      <c r="K34" s="125">
        <f>SUM(K7:K32)</f>
        <v>50061</v>
      </c>
      <c r="L34" s="213">
        <f>SUM(L7:L32)</f>
        <v>0</v>
      </c>
      <c r="M34" s="121">
        <f>SUM(M7:M32)</f>
        <v>916119</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(15.5*1440)/1440*G42*2.77*1440/1000000</f>
        <v>56.305302480000002</v>
      </c>
      <c r="J37" s="126">
        <f>+I37+'18'!J37</f>
        <v>992.49333597657051</v>
      </c>
      <c r="K37" s="127" t="s">
        <v>76</v>
      </c>
      <c r="L37" s="421"/>
      <c r="M37" s="422"/>
    </row>
    <row r="38" spans="1:14" ht="17.45" customHeight="1">
      <c r="A38" s="767" t="s">
        <v>13</v>
      </c>
      <c r="B38" s="768"/>
      <c r="C38" s="165">
        <f>SUMIF($G$7:$G$31,"Process",$F$7:$F$31)</f>
        <v>33</v>
      </c>
      <c r="D38" s="119">
        <f>+C38+'18'!D38</f>
        <v>1093</v>
      </c>
      <c r="E38" s="144">
        <f t="shared" ref="E38:E51" si="0">D38/60</f>
        <v>18.216666666666665</v>
      </c>
      <c r="F38" s="361">
        <v>1125</v>
      </c>
      <c r="G38" s="361">
        <v>922.5</v>
      </c>
      <c r="H38" s="188" t="s">
        <v>77</v>
      </c>
      <c r="I38" s="543">
        <f>17.359+16.93+17.598</f>
        <v>51.887</v>
      </c>
      <c r="J38" s="128">
        <f>+I38+'18'!J38</f>
        <v>942.2</v>
      </c>
      <c r="K38" s="129" t="s">
        <v>76</v>
      </c>
      <c r="L38" s="423"/>
      <c r="M38" s="424"/>
    </row>
    <row r="39" spans="1:14" ht="17.45" customHeight="1">
      <c r="A39" s="763" t="s">
        <v>14</v>
      </c>
      <c r="B39" s="764"/>
      <c r="C39" s="165">
        <f>SUMIF($G$7:$G$31,"Cleaning",$F$7:$F$31)</f>
        <v>18</v>
      </c>
      <c r="D39" s="119">
        <f>+C39+'18'!D39</f>
        <v>231</v>
      </c>
      <c r="E39" s="144">
        <f t="shared" si="0"/>
        <v>3.85</v>
      </c>
      <c r="F39" s="361">
        <v>1160</v>
      </c>
      <c r="G39" s="361">
        <v>904.8</v>
      </c>
      <c r="H39" s="188" t="s">
        <v>78</v>
      </c>
      <c r="I39" s="143"/>
      <c r="J39" s="130">
        <f>J37/G4</f>
        <v>52.236491367187924</v>
      </c>
      <c r="K39" s="131" t="s">
        <v>76</v>
      </c>
      <c r="L39" s="423"/>
      <c r="M39" s="424"/>
    </row>
    <row r="40" spans="1:14" ht="17.45" customHeight="1">
      <c r="A40" s="763" t="s">
        <v>79</v>
      </c>
      <c r="B40" s="764"/>
      <c r="C40" s="165">
        <f>SUMIF($G$7:$G$31,"Mechanical",$F$7:$F$31)</f>
        <v>0</v>
      </c>
      <c r="D40" s="119">
        <f>+C40+'18'!D40</f>
        <v>0</v>
      </c>
      <c r="E40" s="144">
        <f t="shared" si="0"/>
        <v>0</v>
      </c>
      <c r="F40" s="361">
        <v>1160</v>
      </c>
      <c r="G40" s="361">
        <v>904.8</v>
      </c>
      <c r="H40" s="188" t="s">
        <v>80</v>
      </c>
      <c r="I40" s="119">
        <f>(K34+L34)/1000</f>
        <v>50.061</v>
      </c>
      <c r="J40" s="132">
        <f>+I40+'18'!J40</f>
        <v>916.11900000000003</v>
      </c>
      <c r="K40" s="131" t="s">
        <v>76</v>
      </c>
      <c r="L40" s="423"/>
      <c r="M40" s="424"/>
    </row>
    <row r="41" spans="1:14" ht="17.45" customHeight="1">
      <c r="A41" s="763" t="s">
        <v>81</v>
      </c>
      <c r="B41" s="764"/>
      <c r="C41" s="165">
        <f>SUMIF($G$7:$G$31,"Electrical",$F$7:$F$31)</f>
        <v>0</v>
      </c>
      <c r="D41" s="119">
        <f>+C41+'18'!D41</f>
        <v>170</v>
      </c>
      <c r="E41" s="144">
        <f t="shared" si="0"/>
        <v>2.8333333333333335</v>
      </c>
      <c r="F41" s="361"/>
      <c r="G41" s="361"/>
      <c r="H41" s="188" t="s">
        <v>82</v>
      </c>
      <c r="I41" s="143"/>
      <c r="J41" s="130">
        <f>J40/G4</f>
        <v>48.216789473684209</v>
      </c>
      <c r="K41" s="131" t="s">
        <v>76</v>
      </c>
      <c r="L41" s="423"/>
      <c r="M41" s="424"/>
    </row>
    <row r="42" spans="1:14" ht="17.45" customHeight="1">
      <c r="A42" s="763" t="s">
        <v>17</v>
      </c>
      <c r="B42" s="764"/>
      <c r="C42" s="165">
        <f>SUMIF($G$7:$G$31,"Instrument",$F$7:$F$31)</f>
        <v>0</v>
      </c>
      <c r="D42" s="119">
        <f>+C42+'18'!D42</f>
        <v>0</v>
      </c>
      <c r="E42" s="144">
        <f t="shared" si="0"/>
        <v>0</v>
      </c>
      <c r="F42" s="361">
        <f>+(F38*480+F39*480+F40*480)/1440</f>
        <v>1148.3333333333333</v>
      </c>
      <c r="G42" s="361">
        <f>+(G38*480+G39*480+G40*480)/1440</f>
        <v>910.7</v>
      </c>
      <c r="H42" s="188" t="s">
        <v>83</v>
      </c>
      <c r="I42" s="247" t="s">
        <v>637</v>
      </c>
      <c r="J42" s="133"/>
      <c r="K42" s="131" t="s">
        <v>84</v>
      </c>
      <c r="L42" s="423"/>
      <c r="M42" s="424"/>
    </row>
    <row r="43" spans="1:14" ht="17.45" customHeight="1">
      <c r="A43" s="763" t="s">
        <v>202</v>
      </c>
      <c r="B43" s="764"/>
      <c r="C43" s="165">
        <f>SUMIF($G$7:$G$31,"Change Grade",$F$7:$F$31)</f>
        <v>0</v>
      </c>
      <c r="D43" s="119">
        <f>+C43+'18'!D43</f>
        <v>0</v>
      </c>
      <c r="E43" s="144">
        <f t="shared" si="0"/>
        <v>0</v>
      </c>
      <c r="F43" s="361"/>
      <c r="G43" s="362"/>
      <c r="H43" s="189" t="s">
        <v>86</v>
      </c>
      <c r="I43" s="119">
        <f>+Report1!AH27</f>
        <v>69.400000000000006</v>
      </c>
      <c r="J43" s="134">
        <f>+I43+'18'!J43</f>
        <v>1268.4000000000001</v>
      </c>
      <c r="K43" s="131" t="s">
        <v>76</v>
      </c>
      <c r="L43" s="425">
        <f>+Report1!AN27</f>
        <v>10.4</v>
      </c>
      <c r="M43" s="426">
        <f>+L43+'18'!M43</f>
        <v>188.4</v>
      </c>
    </row>
    <row r="44" spans="1:14" ht="17.45" customHeight="1">
      <c r="A44" s="763" t="s">
        <v>18</v>
      </c>
      <c r="B44" s="764"/>
      <c r="C44" s="165">
        <f>SUMIF($G$7:$G$31,"PLN",$F$7:$F$31)</f>
        <v>0</v>
      </c>
      <c r="D44" s="119">
        <f>+C44+'18'!D44</f>
        <v>0</v>
      </c>
      <c r="E44" s="144">
        <f t="shared" si="0"/>
        <v>0</v>
      </c>
      <c r="F44" s="361"/>
      <c r="G44" s="362"/>
      <c r="H44" s="189" t="s">
        <v>87</v>
      </c>
      <c r="I44" s="119">
        <f>I43/I38</f>
        <v>1.3375219226395823</v>
      </c>
      <c r="J44" s="135">
        <f>J43/J38</f>
        <v>1.3462109955423478</v>
      </c>
      <c r="K44" s="131" t="s">
        <v>76</v>
      </c>
      <c r="L44" s="427">
        <f>+L43/I38</f>
        <v>0.20043556189411607</v>
      </c>
      <c r="M44" s="428">
        <f>+M43/J38</f>
        <v>0.19995754616854169</v>
      </c>
    </row>
    <row r="45" spans="1:14" ht="17.45" customHeight="1">
      <c r="A45" s="763" t="s">
        <v>19</v>
      </c>
      <c r="B45" s="764"/>
      <c r="C45" s="165">
        <f>SUMIF($G$7:$G$31,"Boiler",$F$7:$F$31)</f>
        <v>0</v>
      </c>
      <c r="D45" s="119">
        <f>+C45+'18'!D45</f>
        <v>0</v>
      </c>
      <c r="E45" s="144">
        <f t="shared" si="0"/>
        <v>0</v>
      </c>
      <c r="F45" s="361"/>
      <c r="G45" s="364"/>
      <c r="H45" s="189" t="s">
        <v>88</v>
      </c>
      <c r="I45" s="119">
        <f>I43/I40</f>
        <v>1.3863087033818742</v>
      </c>
      <c r="J45" s="135">
        <f>J43/J40</f>
        <v>1.3845362884079471</v>
      </c>
      <c r="K45" s="131" t="s">
        <v>76</v>
      </c>
      <c r="L45" s="427">
        <f>+L43/I40</f>
        <v>0.20774654920996385</v>
      </c>
      <c r="M45" s="428">
        <f>+M43/J40</f>
        <v>0.20565013933779344</v>
      </c>
    </row>
    <row r="46" spans="1:14" ht="17.45" customHeight="1">
      <c r="A46" s="763" t="s">
        <v>89</v>
      </c>
      <c r="B46" s="764"/>
      <c r="C46" s="165">
        <f>SUMIF($G$7:$G$31,"Gas",$F$7:$F$31)</f>
        <v>0</v>
      </c>
      <c r="D46" s="119">
        <f>+C46+'18'!D46</f>
        <v>0</v>
      </c>
      <c r="E46" s="144">
        <f t="shared" si="0"/>
        <v>0</v>
      </c>
      <c r="F46" s="361"/>
      <c r="G46" s="362"/>
      <c r="H46" s="189" t="s">
        <v>90</v>
      </c>
      <c r="I46" s="141">
        <f>+SUMIF(Listrik!P26,"&gt;0")</f>
        <v>40906.000000000015</v>
      </c>
      <c r="J46" s="136">
        <f>+I46+'18'!J46</f>
        <v>750470.58</v>
      </c>
      <c r="K46" s="131" t="s">
        <v>91</v>
      </c>
      <c r="L46" s="427">
        <f>+Listrik!AF26</f>
        <v>0</v>
      </c>
      <c r="M46" s="429">
        <f>+L46+'18'!M46</f>
        <v>0</v>
      </c>
    </row>
    <row r="47" spans="1:14" ht="17.45" customHeight="1">
      <c r="A47" s="763" t="s">
        <v>92</v>
      </c>
      <c r="B47" s="764"/>
      <c r="C47" s="165">
        <f>SUMIF($G$7:$G$31,"Gas",$F$7:$F$31)</f>
        <v>0</v>
      </c>
      <c r="D47" s="119">
        <f>+C47+'18'!D47</f>
        <v>0</v>
      </c>
      <c r="E47" s="144">
        <f t="shared" si="0"/>
        <v>0</v>
      </c>
      <c r="F47" s="361"/>
      <c r="G47" s="362"/>
      <c r="H47" s="189" t="s">
        <v>93</v>
      </c>
      <c r="I47" s="119">
        <f>I46/I38</f>
        <v>788.36702835006872</v>
      </c>
      <c r="J47" s="136">
        <f>J46/J38</f>
        <v>796.50878794311177</v>
      </c>
      <c r="K47" s="131" t="s">
        <v>25</v>
      </c>
      <c r="L47" s="427">
        <f>+L46/I38</f>
        <v>0</v>
      </c>
      <c r="M47" s="428">
        <f>+M46/J38</f>
        <v>0</v>
      </c>
    </row>
    <row r="48" spans="1:14" ht="17.45" customHeight="1">
      <c r="A48" s="763" t="s">
        <v>15</v>
      </c>
      <c r="B48" s="764"/>
      <c r="C48" s="165">
        <f>SUMIF($G$7:$G$31,"Start Up",$F$7:$F$31)</f>
        <v>0</v>
      </c>
      <c r="D48" s="119">
        <f>+C48+'18'!D48</f>
        <v>0</v>
      </c>
      <c r="E48" s="144">
        <f t="shared" si="0"/>
        <v>0</v>
      </c>
      <c r="F48" s="361"/>
      <c r="G48" s="362"/>
      <c r="H48" s="189" t="s">
        <v>94</v>
      </c>
      <c r="I48" s="119">
        <f>I46/I40</f>
        <v>817.12310980603695</v>
      </c>
      <c r="J48" s="136">
        <f>J46/J40</f>
        <v>819.18460374689312</v>
      </c>
      <c r="K48" s="131" t="s">
        <v>25</v>
      </c>
      <c r="L48" s="427">
        <f>+L46/I38</f>
        <v>0</v>
      </c>
      <c r="M48" s="428">
        <f>+M46/J40</f>
        <v>0</v>
      </c>
    </row>
    <row r="49" spans="1:13" ht="17.45" customHeight="1">
      <c r="A49" s="763" t="s">
        <v>21</v>
      </c>
      <c r="B49" s="764"/>
      <c r="C49" s="165">
        <f>SUMIF($G$7:$G$31,"Others",$F$7:$F$31)</f>
        <v>0</v>
      </c>
      <c r="D49" s="119">
        <f>+C49+'18'!D49</f>
        <v>0</v>
      </c>
      <c r="E49" s="144">
        <f t="shared" si="0"/>
        <v>0</v>
      </c>
      <c r="F49" s="186"/>
      <c r="H49" s="189" t="s">
        <v>95</v>
      </c>
      <c r="I49" s="119">
        <f>+Report1!AB27</f>
        <v>4936.0697373071034</v>
      </c>
      <c r="J49" s="136">
        <f>+I49+'18'!J49</f>
        <v>92290.004158603697</v>
      </c>
      <c r="K49" s="131" t="s">
        <v>96</v>
      </c>
      <c r="L49" s="423"/>
      <c r="M49" s="424"/>
    </row>
    <row r="50" spans="1:13" ht="17.45" customHeight="1">
      <c r="A50" s="763" t="s">
        <v>20</v>
      </c>
      <c r="B50" s="764"/>
      <c r="C50" s="165">
        <f>SUMIF($G$7:$G$31,"Steam",$F$7:$F$31)</f>
        <v>0</v>
      </c>
      <c r="D50" s="119">
        <f>+C50+'18'!D50</f>
        <v>0</v>
      </c>
      <c r="E50" s="144">
        <f t="shared" si="0"/>
        <v>0</v>
      </c>
      <c r="F50" s="186"/>
      <c r="H50" s="189" t="s">
        <v>97</v>
      </c>
      <c r="I50" s="141">
        <f>I49/I38</f>
        <v>95.131145321701069</v>
      </c>
      <c r="J50" s="134">
        <f>J49/J38</f>
        <v>97.951607045854061</v>
      </c>
      <c r="K50" s="131" t="s">
        <v>96</v>
      </c>
      <c r="L50" s="423"/>
      <c r="M50" s="424"/>
    </row>
    <row r="51" spans="1:13" ht="17.45" customHeight="1" thickBot="1">
      <c r="A51" s="765" t="s">
        <v>98</v>
      </c>
      <c r="B51" s="766"/>
      <c r="C51" s="165">
        <f>SUMIF($G$7:$G$31,"Planned shut",$F$7:$F$31)</f>
        <v>0</v>
      </c>
      <c r="D51" s="119">
        <f>+C51+'18'!D51</f>
        <v>609</v>
      </c>
      <c r="E51" s="144">
        <f t="shared" si="0"/>
        <v>10.15</v>
      </c>
      <c r="F51" s="186"/>
      <c r="H51" s="191" t="s">
        <v>99</v>
      </c>
      <c r="I51" s="142">
        <f>I49/I40</f>
        <v>98.601101402431098</v>
      </c>
      <c r="J51" s="137">
        <f>J49/J40</f>
        <v>100.74019222241182</v>
      </c>
      <c r="K51" s="138" t="s">
        <v>96</v>
      </c>
      <c r="L51" s="423"/>
      <c r="M51" s="424"/>
    </row>
    <row r="52" spans="1:13" ht="13.5" thickBot="1">
      <c r="A52" s="767" t="s">
        <v>29</v>
      </c>
      <c r="B52" s="768"/>
      <c r="C52" s="145">
        <f>SUM(C38:C51)</f>
        <v>51</v>
      </c>
      <c r="D52" s="145">
        <f>SUM(D38:D51)</f>
        <v>2103</v>
      </c>
      <c r="E52" s="146">
        <f>SUM(E38:E51)</f>
        <v>35.049999999999997</v>
      </c>
      <c r="F52" s="186"/>
      <c r="H52" s="192"/>
      <c r="I52" s="193"/>
      <c r="J52" s="139"/>
      <c r="K52" s="140"/>
      <c r="L52" s="430"/>
      <c r="M52" s="431"/>
    </row>
    <row r="53" spans="1:13" ht="13.5" thickBot="1">
      <c r="A53" s="769"/>
      <c r="B53" s="770"/>
      <c r="C53" s="147">
        <f>C52/(24*60)</f>
        <v>3.5416666666666666E-2</v>
      </c>
      <c r="D53" s="147">
        <f>D52/(24*60*G4)</f>
        <v>7.6864035087719301E-2</v>
      </c>
      <c r="E53" s="148">
        <f>E52/(G4*24)</f>
        <v>7.6864035087719287E-2</v>
      </c>
      <c r="F53" s="186"/>
    </row>
    <row r="54" spans="1:13">
      <c r="E54" s="194"/>
      <c r="F54" s="186"/>
    </row>
    <row r="55" spans="1:13">
      <c r="E55" s="194"/>
    </row>
    <row r="56" spans="1:13">
      <c r="A56" s="195" t="s">
        <v>100</v>
      </c>
      <c r="B56" s="196"/>
      <c r="C56" s="197"/>
      <c r="D56" s="197"/>
      <c r="E56" s="197"/>
      <c r="F56" s="198"/>
      <c r="G56" s="197"/>
      <c r="H56" s="199"/>
      <c r="I56" s="200" t="s">
        <v>101</v>
      </c>
      <c r="J56" s="201">
        <f>+D34+'18'!J56</f>
        <v>3147</v>
      </c>
      <c r="K56" s="202">
        <f>J56/(J40+J56/1000)/1000</f>
        <v>3.4233834385259542E-3</v>
      </c>
    </row>
    <row r="57" spans="1:13">
      <c r="A57" s="177"/>
      <c r="I57" s="200" t="s">
        <v>102</v>
      </c>
      <c r="J57" s="201">
        <f>+E34+'18'!J57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Z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20.85546875" style="150" customWidth="1"/>
    <col min="11" max="11" width="12.5703125" style="150" bestFit="1" customWidth="1"/>
    <col min="12" max="12" width="8.28515625" style="150" customWidth="1"/>
    <col min="13" max="13" width="13.85546875" style="150" bestFit="1"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18</v>
      </c>
      <c r="H4" s="155" t="str">
        <f>+'1'!H4</f>
        <v>.11.25</v>
      </c>
      <c r="J4" s="150">
        <f>572.6+514.9+629.8</f>
        <v>1717.3</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590</v>
      </c>
      <c r="O6" s="150">
        <v>1160</v>
      </c>
      <c r="P6" s="150">
        <f>+O6-O6*0.22</f>
        <v>904.8</v>
      </c>
      <c r="Q6" s="150">
        <f>60*4+22</f>
        <v>262</v>
      </c>
      <c r="R6" s="150">
        <f>+O6*Q6</f>
        <v>303920</v>
      </c>
      <c r="S6" s="150">
        <f>+P6*Q6</f>
        <v>237057.59999999998</v>
      </c>
      <c r="U6" s="150" t="s">
        <v>590</v>
      </c>
      <c r="V6" s="150">
        <v>1160</v>
      </c>
      <c r="W6" s="150">
        <f>+V6-V6*0.22</f>
        <v>904.8</v>
      </c>
      <c r="X6" s="150">
        <f>60*4+22</f>
        <v>262</v>
      </c>
      <c r="Y6" s="150">
        <f>+V6*X6</f>
        <v>303920</v>
      </c>
      <c r="Z6" s="150">
        <f>+W6*X6</f>
        <v>237057.59999999998</v>
      </c>
    </row>
    <row r="7" spans="1:26" ht="13.5" customHeight="1" thickBot="1">
      <c r="A7" s="775" t="s">
        <v>446</v>
      </c>
      <c r="B7" s="216" t="s">
        <v>595</v>
      </c>
      <c r="C7" s="217">
        <v>17784</v>
      </c>
      <c r="D7" s="218"/>
      <c r="E7" s="219"/>
      <c r="F7" s="229"/>
      <c r="G7" s="230" t="s">
        <v>13</v>
      </c>
      <c r="H7" s="231" t="s">
        <v>390</v>
      </c>
      <c r="I7" s="778" t="s">
        <v>630</v>
      </c>
      <c r="J7" s="215" t="str">
        <f>+'17'!J7</f>
        <v>T 13,5 RC HW</v>
      </c>
      <c r="K7" s="239"/>
      <c r="L7" s="243"/>
      <c r="M7" s="118">
        <f>+K7+'17'!M7+L7</f>
        <v>263166</v>
      </c>
      <c r="O7" s="150">
        <v>1170</v>
      </c>
      <c r="P7" s="150">
        <f>+O7-O7*0.22</f>
        <v>912.6</v>
      </c>
      <c r="Q7" s="150">
        <f>480-Q6</f>
        <v>218</v>
      </c>
      <c r="R7" s="150">
        <f>+O7*Q7</f>
        <v>255060</v>
      </c>
      <c r="S7" s="150">
        <f>+P7*Q7</f>
        <v>198946.80000000002</v>
      </c>
      <c r="V7" s="150">
        <v>1170</v>
      </c>
      <c r="W7" s="150">
        <f>+V7-V7*0.22</f>
        <v>912.6</v>
      </c>
      <c r="X7" s="150">
        <f>480-X6</f>
        <v>218</v>
      </c>
      <c r="Y7" s="150">
        <f>+V7*X7</f>
        <v>255060</v>
      </c>
      <c r="Z7" s="150">
        <f>+W7*X7</f>
        <v>198946.80000000002</v>
      </c>
    </row>
    <row r="8" spans="1:26" ht="13.5" thickBot="1">
      <c r="A8" s="776"/>
      <c r="B8" s="216"/>
      <c r="C8" s="217"/>
      <c r="D8" s="218"/>
      <c r="E8" s="220"/>
      <c r="F8" s="232">
        <v>5</v>
      </c>
      <c r="G8" s="579" t="s">
        <v>13</v>
      </c>
      <c r="H8" s="231" t="s">
        <v>429</v>
      </c>
      <c r="I8" s="779"/>
      <c r="J8" s="215" t="str">
        <f>+'17'!J8</f>
        <v>T 14 RC HW</v>
      </c>
      <c r="K8" s="240"/>
      <c r="L8" s="240"/>
      <c r="M8" s="118">
        <f>+K8+'17'!M8+L8</f>
        <v>97781</v>
      </c>
      <c r="R8" s="150">
        <f>+O8*Q8</f>
        <v>0</v>
      </c>
      <c r="S8" s="150">
        <f>+P8*Q8</f>
        <v>0</v>
      </c>
      <c r="U8" s="150" t="s">
        <v>590</v>
      </c>
      <c r="V8" s="150">
        <v>1160</v>
      </c>
      <c r="W8" s="150">
        <v>904.8</v>
      </c>
      <c r="X8" s="150">
        <v>240</v>
      </c>
      <c r="Y8" s="150">
        <f>+V8*X8</f>
        <v>278400</v>
      </c>
      <c r="Z8" s="150">
        <f>+W8*X8</f>
        <v>217152</v>
      </c>
    </row>
    <row r="9" spans="1:26" ht="13.5" thickBot="1">
      <c r="A9" s="776"/>
      <c r="B9" s="216"/>
      <c r="C9" s="217"/>
      <c r="D9" s="218"/>
      <c r="E9" s="221"/>
      <c r="F9" s="229">
        <v>8</v>
      </c>
      <c r="G9" s="579" t="s">
        <v>13</v>
      </c>
      <c r="H9" s="234" t="s">
        <v>425</v>
      </c>
      <c r="I9" s="779"/>
      <c r="J9" s="215" t="str">
        <f>+'17'!J9</f>
        <v>T 15 RC HW</v>
      </c>
      <c r="K9" s="240"/>
      <c r="L9" s="240"/>
      <c r="M9" s="118">
        <f>+K9+'17'!M9+L9</f>
        <v>34238</v>
      </c>
      <c r="U9" s="150" t="s">
        <v>590</v>
      </c>
      <c r="V9" s="150">
        <v>1130</v>
      </c>
      <c r="W9" s="150">
        <v>870.09999999999991</v>
      </c>
      <c r="X9" s="150">
        <v>235</v>
      </c>
      <c r="Y9" s="150">
        <f>+V9*X9</f>
        <v>265550</v>
      </c>
      <c r="Z9" s="150">
        <f>+W9*X9</f>
        <v>204473.49999999997</v>
      </c>
    </row>
    <row r="10" spans="1:26" ht="26.25" thickBot="1">
      <c r="A10" s="776"/>
      <c r="B10" s="216"/>
      <c r="C10" s="217"/>
      <c r="D10" s="218"/>
      <c r="E10" s="220"/>
      <c r="F10" s="229"/>
      <c r="G10" s="238" t="s">
        <v>14</v>
      </c>
      <c r="H10" s="234" t="s">
        <v>626</v>
      </c>
      <c r="I10" s="779"/>
      <c r="J10" s="215" t="str">
        <f>+'17'!J10</f>
        <v>TW 29 RC HW</v>
      </c>
      <c r="K10" s="240"/>
      <c r="L10" s="240"/>
      <c r="M10" s="118">
        <f>+K10+'17'!M10+L10</f>
        <v>21998</v>
      </c>
    </row>
    <row r="11" spans="1:26" ht="13.5" thickBot="1">
      <c r="A11" s="776"/>
      <c r="B11" s="216"/>
      <c r="C11" s="217"/>
      <c r="D11" s="218"/>
      <c r="E11" s="220"/>
      <c r="F11" s="229"/>
      <c r="G11" s="233"/>
      <c r="H11" s="234" t="s">
        <v>627</v>
      </c>
      <c r="I11" s="779"/>
      <c r="J11" s="215" t="str">
        <f>+'17'!J11</f>
        <v>TW 20 RC HW</v>
      </c>
      <c r="K11" s="240"/>
      <c r="L11" s="240"/>
      <c r="M11" s="118">
        <f>+K11+'17'!M11+L11</f>
        <v>104164</v>
      </c>
    </row>
    <row r="12" spans="1:26" ht="13.5" thickBot="1">
      <c r="A12" s="776"/>
      <c r="B12" s="216"/>
      <c r="C12" s="217"/>
      <c r="D12" s="218"/>
      <c r="E12" s="220"/>
      <c r="F12" s="229"/>
      <c r="G12" s="233"/>
      <c r="H12" s="234"/>
      <c r="I12" s="779"/>
      <c r="J12" s="215" t="str">
        <f>+'17'!J12</f>
        <v>TW 19 RC HW</v>
      </c>
      <c r="K12" s="240"/>
      <c r="L12" s="240"/>
      <c r="M12" s="118">
        <f>+K12+'17'!M12+L12</f>
        <v>18863</v>
      </c>
    </row>
    <row r="13" spans="1:26" ht="13.5" thickBot="1">
      <c r="A13" s="776"/>
      <c r="B13" s="216"/>
      <c r="C13" s="217"/>
      <c r="D13" s="217"/>
      <c r="E13" s="220"/>
      <c r="F13" s="229"/>
      <c r="G13" s="233"/>
      <c r="H13" s="234"/>
      <c r="I13" s="780"/>
      <c r="J13" s="215" t="str">
        <f>+'17'!J13</f>
        <v>TW 17 RC HW</v>
      </c>
      <c r="K13" s="240"/>
      <c r="L13" s="240"/>
      <c r="M13" s="118">
        <f>+K13+'17'!M13+L13</f>
        <v>67816</v>
      </c>
    </row>
    <row r="14" spans="1:26" ht="13.5" thickBot="1">
      <c r="A14" s="777"/>
      <c r="B14" s="166" t="s">
        <v>3</v>
      </c>
      <c r="C14" s="100">
        <f>SUM(C7:C13)</f>
        <v>17784</v>
      </c>
      <c r="D14" s="112">
        <f>SUM(D7:D13)</f>
        <v>0</v>
      </c>
      <c r="E14" s="113">
        <f>SUM(E5:E13)</f>
        <v>0</v>
      </c>
      <c r="F14" s="103">
        <f>SUM(F6:F13)</f>
        <v>13</v>
      </c>
      <c r="G14" s="160"/>
      <c r="H14" s="167"/>
      <c r="I14" s="168"/>
      <c r="J14" s="215" t="str">
        <f>+'17'!J14</f>
        <v>F 14 RC HW</v>
      </c>
      <c r="K14" s="240"/>
      <c r="L14" s="240"/>
      <c r="M14" s="118">
        <f>+K14+'17'!M14+L14</f>
        <v>10232</v>
      </c>
    </row>
    <row r="15" spans="1:26" ht="13.5" customHeight="1" thickBot="1">
      <c r="A15" s="775" t="s">
        <v>444</v>
      </c>
      <c r="B15" s="166"/>
      <c r="C15" s="114">
        <f>C14/($C$23+$D$23+$E$23)</f>
        <v>1.0366052692935417</v>
      </c>
      <c r="D15" s="115">
        <f>D14/($C$23+$D$23+$E$23)</f>
        <v>0</v>
      </c>
      <c r="E15" s="116">
        <f>E14/($C$23+$D$23+$E$23)</f>
        <v>0</v>
      </c>
      <c r="F15" s="229"/>
      <c r="G15" s="230" t="s">
        <v>13</v>
      </c>
      <c r="H15" s="231" t="s">
        <v>390</v>
      </c>
      <c r="I15" s="778" t="s">
        <v>629</v>
      </c>
      <c r="J15" s="215" t="str">
        <f>+'17'!J15</f>
        <v>T 16,5 RC HW</v>
      </c>
      <c r="K15" s="240"/>
      <c r="L15" s="240"/>
      <c r="M15" s="118">
        <f>+K15+'17'!M15+L15</f>
        <v>10954</v>
      </c>
    </row>
    <row r="16" spans="1:26" ht="13.5" thickBot="1">
      <c r="A16" s="781"/>
      <c r="B16" s="216" t="s">
        <v>595</v>
      </c>
      <c r="C16" s="223">
        <v>9643</v>
      </c>
      <c r="D16" s="224"/>
      <c r="E16" s="225"/>
      <c r="F16" s="232">
        <v>2</v>
      </c>
      <c r="G16" s="579" t="s">
        <v>13</v>
      </c>
      <c r="H16" s="231" t="s">
        <v>426</v>
      </c>
      <c r="I16" s="779"/>
      <c r="J16" s="215" t="str">
        <f>+'17'!J16</f>
        <v>T 15,5 RC HW</v>
      </c>
      <c r="K16" s="230">
        <f>+C7+C16+C25</f>
        <v>31056</v>
      </c>
      <c r="L16" s="230"/>
      <c r="M16" s="118">
        <f>+K16+'17'!M16+L16</f>
        <v>208220</v>
      </c>
      <c r="Q16" s="150">
        <f>SUM(Q6:Q14)</f>
        <v>480</v>
      </c>
      <c r="R16" s="150">
        <f>SUM(R6:R14)</f>
        <v>558980</v>
      </c>
      <c r="S16" s="150">
        <f>SUM(S6:S14)</f>
        <v>436004.4</v>
      </c>
      <c r="X16" s="150">
        <f>SUM(X6:X14)</f>
        <v>955</v>
      </c>
      <c r="Y16" s="150">
        <f>SUM(Y6:Y14)</f>
        <v>1102930</v>
      </c>
      <c r="Z16" s="150">
        <f>SUM(Z6:Z14)</f>
        <v>857629.9</v>
      </c>
    </row>
    <row r="17" spans="1:26" ht="13.5" thickBot="1">
      <c r="A17" s="781"/>
      <c r="B17" s="216" t="s">
        <v>619</v>
      </c>
      <c r="C17" s="217">
        <v>7513</v>
      </c>
      <c r="D17" s="218"/>
      <c r="E17" s="226"/>
      <c r="F17" s="229">
        <v>4</v>
      </c>
      <c r="G17" s="579" t="s">
        <v>13</v>
      </c>
      <c r="H17" s="234" t="s">
        <v>397</v>
      </c>
      <c r="I17" s="779"/>
      <c r="J17" s="215" t="str">
        <f>+'17'!J17</f>
        <v>T 16 RC HW</v>
      </c>
      <c r="K17" s="230">
        <f>+C17+C26</f>
        <v>15084</v>
      </c>
      <c r="L17" s="230"/>
      <c r="M17" s="118">
        <f>+K17+'17'!M17+L17</f>
        <v>28626</v>
      </c>
      <c r="Q17" s="150">
        <f>480-Q16</f>
        <v>0</v>
      </c>
      <c r="R17" s="150">
        <f>+R16/Q16</f>
        <v>1164.5416666666667</v>
      </c>
      <c r="S17" s="150">
        <f>+S16/Q16</f>
        <v>908.34250000000009</v>
      </c>
      <c r="X17" s="150">
        <f>480-X16</f>
        <v>-475</v>
      </c>
      <c r="Y17" s="150">
        <f>+Y16/X16</f>
        <v>1154.9005235602094</v>
      </c>
      <c r="Z17" s="150">
        <f>+Z16/X16</f>
        <v>898.04178010471207</v>
      </c>
    </row>
    <row r="18" spans="1:26" ht="26.25" thickBot="1">
      <c r="A18" s="781"/>
      <c r="B18" s="216"/>
      <c r="C18" s="217"/>
      <c r="D18" s="218"/>
      <c r="E18" s="226"/>
      <c r="F18" s="229">
        <v>10</v>
      </c>
      <c r="G18" s="238" t="s">
        <v>14</v>
      </c>
      <c r="H18" s="234" t="s">
        <v>624</v>
      </c>
      <c r="I18" s="779"/>
      <c r="J18" s="215">
        <f>+'17'!J18</f>
        <v>0</v>
      </c>
      <c r="K18" s="230"/>
      <c r="L18" s="240"/>
      <c r="M18" s="118">
        <f>+K18+'17'!M18+L18</f>
        <v>0</v>
      </c>
      <c r="N18" s="150" t="s">
        <v>590</v>
      </c>
      <c r="O18" s="150">
        <v>1160</v>
      </c>
      <c r="P18" s="150">
        <f>+O18-O18*0.22</f>
        <v>904.8</v>
      </c>
      <c r="Q18" s="150">
        <f>60*4</f>
        <v>240</v>
      </c>
      <c r="R18" s="150">
        <f>+O18*Q18</f>
        <v>278400</v>
      </c>
      <c r="S18" s="150">
        <f>+P18*Q18</f>
        <v>217152</v>
      </c>
    </row>
    <row r="19" spans="1:26" ht="39" thickBot="1">
      <c r="A19" s="781"/>
      <c r="B19" s="216"/>
      <c r="C19" s="217"/>
      <c r="D19" s="218"/>
      <c r="E19" s="226"/>
      <c r="F19" s="236"/>
      <c r="G19" s="233"/>
      <c r="H19" s="234" t="s">
        <v>625</v>
      </c>
      <c r="I19" s="779"/>
      <c r="J19" s="215">
        <f>+'17'!J19</f>
        <v>0</v>
      </c>
      <c r="K19" s="230"/>
      <c r="L19" s="240"/>
      <c r="M19" s="118">
        <f>+K19+'17'!M19+L19</f>
        <v>0</v>
      </c>
      <c r="N19" s="150" t="s">
        <v>604</v>
      </c>
      <c r="O19" s="150">
        <v>1130</v>
      </c>
      <c r="P19" s="150">
        <f>+O19-O19*0.17</f>
        <v>937.9</v>
      </c>
      <c r="Q19" s="150">
        <f>480-Q18</f>
        <v>240</v>
      </c>
      <c r="R19" s="150">
        <f>+O19*Q19</f>
        <v>271200</v>
      </c>
      <c r="S19" s="150">
        <f>+P19*Q19</f>
        <v>225096</v>
      </c>
      <c r="U19" s="150" t="s">
        <v>604</v>
      </c>
      <c r="V19" s="150">
        <v>1130</v>
      </c>
      <c r="W19" s="150">
        <v>937.9</v>
      </c>
      <c r="X19" s="150">
        <v>240</v>
      </c>
      <c r="Y19" s="150">
        <f>+V19*X19</f>
        <v>271200</v>
      </c>
      <c r="Z19" s="150">
        <f>+W19*X19</f>
        <v>225096</v>
      </c>
    </row>
    <row r="20" spans="1:26" ht="13.5" thickBot="1">
      <c r="A20" s="781"/>
      <c r="B20" s="216"/>
      <c r="C20" s="217"/>
      <c r="D20" s="218"/>
      <c r="E20" s="226"/>
      <c r="F20" s="229"/>
      <c r="G20" s="233"/>
      <c r="H20" s="234"/>
      <c r="I20" s="779"/>
      <c r="J20" s="215">
        <f>+'17'!J20</f>
        <v>0</v>
      </c>
      <c r="K20" s="230"/>
      <c r="L20" s="240"/>
      <c r="M20" s="118">
        <f>+K20+'17'!M20+L20</f>
        <v>0</v>
      </c>
      <c r="R20" s="150">
        <f>+O20*Q20</f>
        <v>0</v>
      </c>
      <c r="S20" s="150">
        <f>+P20*Q20</f>
        <v>0</v>
      </c>
      <c r="U20" s="150" t="s">
        <v>604</v>
      </c>
      <c r="V20" s="150">
        <v>1160</v>
      </c>
      <c r="W20" s="150">
        <v>939.6</v>
      </c>
      <c r="X20" s="150">
        <v>70</v>
      </c>
      <c r="Y20" s="150">
        <f>+V20*X20</f>
        <v>81200</v>
      </c>
      <c r="Z20" s="150">
        <f>+W20*X20</f>
        <v>65772</v>
      </c>
    </row>
    <row r="21" spans="1:26" ht="13.5" thickBot="1">
      <c r="A21" s="781"/>
      <c r="B21" s="216"/>
      <c r="C21" s="217"/>
      <c r="D21" s="218"/>
      <c r="E21" s="226"/>
      <c r="F21" s="232"/>
      <c r="G21" s="233"/>
      <c r="H21" s="234"/>
      <c r="I21" s="779"/>
      <c r="J21" s="215">
        <f>+'17'!J21</f>
        <v>0</v>
      </c>
      <c r="K21" s="230"/>
      <c r="L21" s="240"/>
      <c r="M21" s="118">
        <f>+K21+'17'!M21+L21</f>
        <v>0</v>
      </c>
      <c r="Y21" s="150">
        <f>+V21*X21</f>
        <v>0</v>
      </c>
      <c r="Z21" s="150">
        <f>+W21*X21</f>
        <v>0</v>
      </c>
    </row>
    <row r="22" spans="1:26" ht="13.5" thickBot="1">
      <c r="A22" s="781"/>
      <c r="B22" s="216"/>
      <c r="C22" s="217"/>
      <c r="D22" s="218"/>
      <c r="E22" s="226"/>
      <c r="F22" s="237"/>
      <c r="G22" s="233"/>
      <c r="H22" s="234"/>
      <c r="I22" s="780"/>
      <c r="J22" s="215">
        <f>+'17'!J22</f>
        <v>0</v>
      </c>
      <c r="K22" s="230"/>
      <c r="L22" s="240"/>
      <c r="M22" s="118">
        <f>+K22+'17'!M22+L22</f>
        <v>0</v>
      </c>
    </row>
    <row r="23" spans="1:26" ht="13.5" thickBot="1">
      <c r="A23" s="782"/>
      <c r="B23" s="166" t="s">
        <v>3</v>
      </c>
      <c r="C23" s="101">
        <f>SUM(C16:C22)</f>
        <v>17156</v>
      </c>
      <c r="D23" s="112">
        <f>SUM(D16:D22)</f>
        <v>0</v>
      </c>
      <c r="E23" s="113">
        <f>SUM(E18:E22)</f>
        <v>0</v>
      </c>
      <c r="F23" s="103">
        <f>SUM(F15:F22)</f>
        <v>16</v>
      </c>
      <c r="G23" s="160"/>
      <c r="H23" s="167"/>
      <c r="I23" s="170"/>
      <c r="J23" s="215">
        <f>+'17'!J23</f>
        <v>0</v>
      </c>
      <c r="K23" s="230"/>
      <c r="L23" s="240"/>
      <c r="M23" s="118">
        <f>+K23+'17'!M23+L23</f>
        <v>0</v>
      </c>
    </row>
    <row r="24" spans="1:26" ht="13.5" customHeight="1" thickBot="1">
      <c r="A24" s="775" t="s">
        <v>445</v>
      </c>
      <c r="B24" s="171"/>
      <c r="C24" s="114">
        <f>C23/($C$23+$D$23+$E$23)</f>
        <v>1</v>
      </c>
      <c r="D24" s="115">
        <f>D23/($C$23+$D$23+$E$23)</f>
        <v>0</v>
      </c>
      <c r="E24" s="116">
        <f>E23/($C$23+$D$23+$E$23)</f>
        <v>0</v>
      </c>
      <c r="F24" s="229"/>
      <c r="G24" s="230" t="s">
        <v>13</v>
      </c>
      <c r="H24" s="231" t="s">
        <v>390</v>
      </c>
      <c r="I24" s="778" t="s">
        <v>628</v>
      </c>
      <c r="J24" s="215">
        <f>+'17'!J24</f>
        <v>0</v>
      </c>
      <c r="K24" s="230"/>
      <c r="L24" s="240"/>
      <c r="M24" s="118">
        <f>+K24+'17'!M24+L24</f>
        <v>0</v>
      </c>
    </row>
    <row r="25" spans="1:26" ht="13.5" thickBot="1">
      <c r="A25" s="781"/>
      <c r="B25" s="216" t="s">
        <v>595</v>
      </c>
      <c r="C25" s="227">
        <v>3629</v>
      </c>
      <c r="D25" s="218"/>
      <c r="E25" s="226"/>
      <c r="F25" s="232">
        <v>2</v>
      </c>
      <c r="G25" s="579" t="s">
        <v>13</v>
      </c>
      <c r="H25" s="231" t="s">
        <v>490</v>
      </c>
      <c r="I25" s="779"/>
      <c r="J25" s="215">
        <f>+'17'!J25</f>
        <v>0</v>
      </c>
      <c r="K25" s="230"/>
      <c r="L25" s="240"/>
      <c r="M25" s="118">
        <f>+K25+'17'!M25+L25</f>
        <v>0</v>
      </c>
    </row>
    <row r="26" spans="1:26" ht="13.5" thickBot="1">
      <c r="A26" s="781"/>
      <c r="B26" s="216" t="s">
        <v>619</v>
      </c>
      <c r="C26" s="227">
        <v>7571</v>
      </c>
      <c r="D26" s="218"/>
      <c r="E26" s="228"/>
      <c r="F26" s="229">
        <v>9</v>
      </c>
      <c r="G26" s="579" t="s">
        <v>13</v>
      </c>
      <c r="H26" s="234" t="s">
        <v>425</v>
      </c>
      <c r="I26" s="779"/>
      <c r="J26" s="215">
        <f>+'17'!J26</f>
        <v>0</v>
      </c>
      <c r="K26" s="230"/>
      <c r="L26" s="240"/>
      <c r="M26" s="118">
        <f>+K26+'17'!M26+L26</f>
        <v>0</v>
      </c>
    </row>
    <row r="27" spans="1:26" ht="26.25" thickBot="1">
      <c r="A27" s="781"/>
      <c r="B27" s="216"/>
      <c r="C27" s="217"/>
      <c r="D27" s="218"/>
      <c r="E27" s="226"/>
      <c r="F27" s="229"/>
      <c r="G27" s="238" t="s">
        <v>14</v>
      </c>
      <c r="H27" s="234" t="s">
        <v>622</v>
      </c>
      <c r="I27" s="779"/>
      <c r="J27" s="215">
        <f>+'17'!J27</f>
        <v>0</v>
      </c>
      <c r="K27" s="230"/>
      <c r="L27" s="240"/>
      <c r="M27" s="118">
        <f>+K27+'17'!M27+L27</f>
        <v>0</v>
      </c>
    </row>
    <row r="28" spans="1:26" ht="83.25" customHeight="1" thickBot="1">
      <c r="A28" s="781"/>
      <c r="B28" s="216"/>
      <c r="C28" s="217"/>
      <c r="D28" s="218"/>
      <c r="E28" s="226"/>
      <c r="F28" s="232">
        <f>60-55+120+50</f>
        <v>175</v>
      </c>
      <c r="G28" s="579" t="s">
        <v>13</v>
      </c>
      <c r="H28" s="234" t="s">
        <v>623</v>
      </c>
      <c r="I28" s="779"/>
      <c r="J28" s="215">
        <f>+'17'!J28</f>
        <v>0</v>
      </c>
      <c r="K28" s="230"/>
      <c r="L28" s="240"/>
      <c r="M28" s="118">
        <f>+K28+'17'!M28+L28</f>
        <v>0</v>
      </c>
      <c r="Q28" s="150">
        <f>SUM(Q18:Q26)</f>
        <v>480</v>
      </c>
      <c r="R28" s="150">
        <f>SUM(R18:R26)</f>
        <v>549600</v>
      </c>
      <c r="S28" s="150">
        <f>SUM(S18:S26)</f>
        <v>442248</v>
      </c>
    </row>
    <row r="29" spans="1:26" ht="13.5" thickBot="1">
      <c r="A29" s="781"/>
      <c r="B29" s="216"/>
      <c r="C29" s="217"/>
      <c r="D29" s="218"/>
      <c r="E29" s="226"/>
      <c r="F29" s="237"/>
      <c r="G29" s="233"/>
      <c r="H29" s="234"/>
      <c r="I29" s="779"/>
      <c r="J29" s="215">
        <f>+'17'!J29</f>
        <v>0</v>
      </c>
      <c r="K29" s="230"/>
      <c r="L29" s="240"/>
      <c r="M29" s="118">
        <f>+K29+'17'!M29+L29</f>
        <v>0</v>
      </c>
      <c r="Q29" s="150">
        <f>480-Q28</f>
        <v>0</v>
      </c>
      <c r="R29" s="150">
        <f>+R28/Q28</f>
        <v>1145</v>
      </c>
      <c r="S29" s="150">
        <f>+S28/Q28</f>
        <v>921.35</v>
      </c>
      <c r="X29" s="150">
        <f>SUM(X19:X27)</f>
        <v>310</v>
      </c>
      <c r="Y29" s="150">
        <f>SUM(Y19:Y27)</f>
        <v>352400</v>
      </c>
      <c r="Z29" s="150">
        <f>SUM(Z19:Z27)</f>
        <v>290868</v>
      </c>
    </row>
    <row r="30" spans="1:26" ht="13.5" thickBot="1">
      <c r="A30" s="781"/>
      <c r="B30" s="216"/>
      <c r="C30" s="227"/>
      <c r="D30" s="218"/>
      <c r="E30" s="226"/>
      <c r="F30" s="237"/>
      <c r="G30" s="233"/>
      <c r="H30" s="234"/>
      <c r="I30" s="779"/>
      <c r="J30" s="215">
        <f>+'17'!J30</f>
        <v>0</v>
      </c>
      <c r="K30" s="240"/>
      <c r="L30" s="240"/>
      <c r="M30" s="118">
        <f>+K30+'17'!M30+L30</f>
        <v>0</v>
      </c>
      <c r="N30" s="156"/>
      <c r="X30" s="150">
        <f>480-X29</f>
        <v>170</v>
      </c>
      <c r="Y30" s="150">
        <f>+Y29/X29</f>
        <v>1136.7741935483871</v>
      </c>
      <c r="Z30" s="150">
        <f>+Z29/X29</f>
        <v>938.2838709677419</v>
      </c>
    </row>
    <row r="31" spans="1:26" ht="13.5" thickBot="1">
      <c r="A31" s="781"/>
      <c r="B31" s="216"/>
      <c r="C31" s="227"/>
      <c r="D31" s="218"/>
      <c r="E31" s="226"/>
      <c r="F31" s="237"/>
      <c r="G31" s="238"/>
      <c r="H31" s="235"/>
      <c r="I31" s="780"/>
      <c r="J31" s="215">
        <f>+'17'!J31</f>
        <v>0</v>
      </c>
      <c r="K31" s="240"/>
      <c r="L31" s="240"/>
      <c r="M31" s="118">
        <f>+K31+'17'!M31+L31</f>
        <v>0</v>
      </c>
      <c r="N31" s="150" t="s">
        <v>604</v>
      </c>
      <c r="O31" s="150">
        <v>1160</v>
      </c>
      <c r="P31" s="150">
        <f>+O31-O31*0.19</f>
        <v>939.6</v>
      </c>
      <c r="Q31" s="150">
        <v>70</v>
      </c>
      <c r="R31" s="150">
        <f>+O31*Q31</f>
        <v>81200</v>
      </c>
      <c r="S31" s="150">
        <f>+P31*Q31</f>
        <v>65772</v>
      </c>
    </row>
    <row r="32" spans="1:26" ht="13.5" thickBot="1">
      <c r="A32" s="782"/>
      <c r="B32" s="166" t="s">
        <v>3</v>
      </c>
      <c r="C32" s="100">
        <f>SUM(C25:C31)</f>
        <v>11200</v>
      </c>
      <c r="D32" s="101">
        <f>SUM(D25:D31)</f>
        <v>0</v>
      </c>
      <c r="E32" s="102">
        <f>SUM(E25:E31)</f>
        <v>0</v>
      </c>
      <c r="F32" s="103">
        <f>SUM(F24:F31)</f>
        <v>186</v>
      </c>
      <c r="G32" s="172"/>
      <c r="H32" s="173"/>
      <c r="I32" s="170"/>
      <c r="J32" s="215">
        <f>+'17'!J32</f>
        <v>0</v>
      </c>
      <c r="K32" s="242"/>
      <c r="L32" s="244"/>
      <c r="M32" s="118">
        <f>+K32+'17'!M32+L32</f>
        <v>0</v>
      </c>
      <c r="N32" s="150" t="s">
        <v>590</v>
      </c>
      <c r="O32" s="150">
        <v>1130</v>
      </c>
      <c r="P32" s="150">
        <f>+O32-O32*0.23</f>
        <v>870.09999999999991</v>
      </c>
      <c r="Q32" s="150">
        <f>60-5+180</f>
        <v>235</v>
      </c>
      <c r="R32" s="150">
        <f>+O32*Q32</f>
        <v>265550</v>
      </c>
      <c r="S32" s="150">
        <f>+P32*Q32</f>
        <v>204473.49999999997</v>
      </c>
    </row>
    <row r="33" spans="1:19" ht="13.5" thickBot="1">
      <c r="A33" s="174"/>
      <c r="B33" s="175"/>
      <c r="C33" s="104">
        <f>C32/($C$32+$D$32+$E$32)</f>
        <v>1</v>
      </c>
      <c r="D33" s="105">
        <f>D32/($C$32+$D$32+$E$32)</f>
        <v>0</v>
      </c>
      <c r="E33" s="106">
        <f>E32/($C$32+$D$32+$E$32)</f>
        <v>0</v>
      </c>
      <c r="F33" s="107"/>
      <c r="G33" s="176"/>
      <c r="H33" s="177"/>
      <c r="I33" s="178"/>
      <c r="J33" s="122"/>
      <c r="K33" s="123"/>
      <c r="L33" s="214"/>
      <c r="M33" s="120"/>
      <c r="R33" s="150">
        <f>+O33*Q33</f>
        <v>0</v>
      </c>
      <c r="S33" s="150">
        <f>+P33*Q33</f>
        <v>0</v>
      </c>
    </row>
    <row r="34" spans="1:19" ht="13.5" thickBot="1">
      <c r="A34" s="771" t="s">
        <v>70</v>
      </c>
      <c r="B34" s="772"/>
      <c r="C34" s="108">
        <f>C14+C23+C32</f>
        <v>46140</v>
      </c>
      <c r="D34" s="108">
        <f>D14+D23+D32</f>
        <v>0</v>
      </c>
      <c r="E34" s="108">
        <f>E14+E23+E32</f>
        <v>0</v>
      </c>
      <c r="F34" s="109">
        <f>F14+F23+F32</f>
        <v>215</v>
      </c>
      <c r="H34" s="179"/>
      <c r="I34" s="179"/>
      <c r="J34" s="124" t="s">
        <v>29</v>
      </c>
      <c r="K34" s="125">
        <f>SUM(K7:K32)</f>
        <v>46140</v>
      </c>
      <c r="L34" s="213">
        <f>SUM(L7:L32)</f>
        <v>0</v>
      </c>
      <c r="M34" s="121">
        <f>SUM(M7:M32)</f>
        <v>866058</v>
      </c>
    </row>
    <row r="35" spans="1:19" ht="13.5" thickBot="1">
      <c r="A35" s="180"/>
      <c r="B35" s="181"/>
      <c r="C35" s="105">
        <f>C34/($C$34+$D$34+$E$34)</f>
        <v>1</v>
      </c>
      <c r="D35" s="105">
        <f>D34/($C$34+$D$34+$E$34)</f>
        <v>0</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row>
    <row r="37" spans="1:19" ht="17.45" customHeight="1" thickBot="1">
      <c r="A37" s="773" t="s">
        <v>71</v>
      </c>
      <c r="B37" s="774"/>
      <c r="C37" s="163" t="s">
        <v>72</v>
      </c>
      <c r="D37" s="184" t="s">
        <v>73</v>
      </c>
      <c r="E37" s="185" t="s">
        <v>74</v>
      </c>
      <c r="F37" s="361"/>
      <c r="G37" s="363"/>
      <c r="H37" s="187" t="s">
        <v>75</v>
      </c>
      <c r="I37" s="245">
        <f>(15.5*955+16*310)/1265*G42*2.77*1265/1000000</f>
        <v>49.700565694891303</v>
      </c>
      <c r="J37" s="126">
        <f>+I37+'17'!J37</f>
        <v>936.18803349657048</v>
      </c>
      <c r="K37" s="127" t="s">
        <v>76</v>
      </c>
      <c r="L37" s="421"/>
      <c r="M37" s="422"/>
    </row>
    <row r="38" spans="1:19" ht="17.45" customHeight="1">
      <c r="A38" s="767" t="s">
        <v>13</v>
      </c>
      <c r="B38" s="768"/>
      <c r="C38" s="165">
        <f>SUMIF($G$7:$G$31,"Process",$F$7:$F$31)</f>
        <v>205</v>
      </c>
      <c r="D38" s="119">
        <f>+C38+'17'!D38</f>
        <v>1060</v>
      </c>
      <c r="E38" s="144">
        <f t="shared" ref="E38:E51" si="0">D38/60</f>
        <v>17.666666666666668</v>
      </c>
      <c r="F38" s="361">
        <v>1164.5416666666667</v>
      </c>
      <c r="G38" s="361">
        <v>908.34250000000009</v>
      </c>
      <c r="H38" s="188" t="s">
        <v>77</v>
      </c>
      <c r="I38" s="543">
        <f>15.879+9.79+9.917+10.236</f>
        <v>45.822000000000003</v>
      </c>
      <c r="J38" s="128">
        <f>+I38+'17'!J38</f>
        <v>890.31299999999999</v>
      </c>
      <c r="K38" s="129" t="s">
        <v>76</v>
      </c>
      <c r="L38" s="423"/>
      <c r="M38" s="424"/>
    </row>
    <row r="39" spans="1:19" ht="17.45" customHeight="1">
      <c r="A39" s="763" t="s">
        <v>14</v>
      </c>
      <c r="B39" s="764"/>
      <c r="C39" s="165">
        <f>SUMIF($G$7:$G$31,"Cleaning",$F$7:$F$31)</f>
        <v>10</v>
      </c>
      <c r="D39" s="119">
        <f>+C39+'17'!D39</f>
        <v>213</v>
      </c>
      <c r="E39" s="144">
        <f t="shared" si="0"/>
        <v>3.55</v>
      </c>
      <c r="F39" s="361">
        <v>1145</v>
      </c>
      <c r="G39" s="361">
        <v>921.35</v>
      </c>
      <c r="H39" s="188" t="s">
        <v>78</v>
      </c>
      <c r="I39" s="143"/>
      <c r="J39" s="130">
        <f>J37/G4</f>
        <v>52.010446305365029</v>
      </c>
      <c r="K39" s="131" t="s">
        <v>76</v>
      </c>
      <c r="L39" s="423"/>
      <c r="M39" s="424"/>
    </row>
    <row r="40" spans="1:19" ht="17.45" customHeight="1">
      <c r="A40" s="763" t="s">
        <v>79</v>
      </c>
      <c r="B40" s="764"/>
      <c r="C40" s="165">
        <f>SUMIF($G$7:$G$31,"Mechanical",$F$7:$F$31)</f>
        <v>0</v>
      </c>
      <c r="D40" s="119">
        <f>+C40+'17'!D40</f>
        <v>0</v>
      </c>
      <c r="E40" s="144">
        <f t="shared" si="0"/>
        <v>0</v>
      </c>
      <c r="F40" s="361">
        <v>1136.8852459016393</v>
      </c>
      <c r="G40" s="361">
        <v>886.05081967213118</v>
      </c>
      <c r="H40" s="188" t="s">
        <v>80</v>
      </c>
      <c r="I40" s="119">
        <f>(K34+L34)/1000</f>
        <v>46.14</v>
      </c>
      <c r="J40" s="132">
        <f>+I40+'17'!J40</f>
        <v>866.05799999999999</v>
      </c>
      <c r="K40" s="131" t="s">
        <v>76</v>
      </c>
      <c r="L40" s="423"/>
      <c r="M40" s="424"/>
    </row>
    <row r="41" spans="1:19" ht="17.45" customHeight="1">
      <c r="A41" s="763" t="s">
        <v>81</v>
      </c>
      <c r="B41" s="764"/>
      <c r="C41" s="165">
        <f>SUMIF($G$7:$G$31,"Electrical",$F$7:$F$31)</f>
        <v>0</v>
      </c>
      <c r="D41" s="119">
        <f>+C41+'17'!D41</f>
        <v>170</v>
      </c>
      <c r="E41" s="144">
        <f t="shared" si="0"/>
        <v>2.8333333333333335</v>
      </c>
      <c r="F41" s="361"/>
      <c r="G41" s="361"/>
      <c r="H41" s="188" t="s">
        <v>82</v>
      </c>
      <c r="I41" s="143"/>
      <c r="J41" s="130">
        <f>J40/G4</f>
        <v>48.114333333333335</v>
      </c>
      <c r="K41" s="131" t="s">
        <v>76</v>
      </c>
      <c r="L41" s="423"/>
      <c r="M41" s="424"/>
      <c r="Q41" s="150">
        <f>SUM(Q31:Q39)</f>
        <v>305</v>
      </c>
      <c r="R41" s="150">
        <f>SUM(R31:R39)</f>
        <v>346750</v>
      </c>
      <c r="S41" s="150">
        <f>SUM(S31:S39)</f>
        <v>270245.5</v>
      </c>
    </row>
    <row r="42" spans="1:19" ht="17.45" customHeight="1">
      <c r="A42" s="763" t="s">
        <v>17</v>
      </c>
      <c r="B42" s="764"/>
      <c r="C42" s="165">
        <f>SUMIF($G$7:$G$31,"Instrument",$F$7:$F$31)</f>
        <v>0</v>
      </c>
      <c r="D42" s="119">
        <f>+C42+'17'!D42</f>
        <v>0</v>
      </c>
      <c r="E42" s="144">
        <f t="shared" si="0"/>
        <v>0</v>
      </c>
      <c r="F42" s="361">
        <f>+(480*F38+480*F39+305*F40)/1265</f>
        <v>1150.4584980237155</v>
      </c>
      <c r="G42" s="361">
        <f>+(480*G38+480*G39+305*G40)/1265</f>
        <v>907.90347826086952</v>
      </c>
      <c r="H42" s="188" t="s">
        <v>83</v>
      </c>
      <c r="I42" s="247" t="s">
        <v>631</v>
      </c>
      <c r="J42" s="133"/>
      <c r="K42" s="131" t="s">
        <v>84</v>
      </c>
      <c r="L42" s="423"/>
      <c r="M42" s="424"/>
      <c r="Q42" s="150">
        <f>480-Q41</f>
        <v>175</v>
      </c>
      <c r="R42" s="150">
        <f>+R41/Q41</f>
        <v>1136.8852459016393</v>
      </c>
      <c r="S42" s="150">
        <f>+S41/Q41</f>
        <v>886.05081967213118</v>
      </c>
    </row>
    <row r="43" spans="1:19" ht="17.45" customHeight="1">
      <c r="A43" s="763" t="s">
        <v>85</v>
      </c>
      <c r="B43" s="764"/>
      <c r="C43" s="165">
        <f>SUMIF($G$7:$G$31,"Water",$F$7:$F$31)</f>
        <v>0</v>
      </c>
      <c r="D43" s="119">
        <f>+C43+'17'!D43</f>
        <v>0</v>
      </c>
      <c r="E43" s="144">
        <f t="shared" si="0"/>
        <v>0</v>
      </c>
      <c r="F43" s="361"/>
      <c r="G43" s="362"/>
      <c r="H43" s="189" t="s">
        <v>86</v>
      </c>
      <c r="I43" s="119">
        <f>+Report1!AH26</f>
        <v>65.599999999999994</v>
      </c>
      <c r="J43" s="134">
        <f>+I43+'17'!J43</f>
        <v>1199</v>
      </c>
      <c r="K43" s="131" t="s">
        <v>76</v>
      </c>
      <c r="L43" s="425">
        <f>+Report1!AN26</f>
        <v>9</v>
      </c>
      <c r="M43" s="426">
        <f>+L43+'17'!M43</f>
        <v>178</v>
      </c>
      <c r="O43" s="150">
        <v>480</v>
      </c>
    </row>
    <row r="44" spans="1:19" ht="17.45" customHeight="1">
      <c r="A44" s="763" t="s">
        <v>18</v>
      </c>
      <c r="B44" s="764"/>
      <c r="C44" s="165">
        <f>SUMIF($G$7:$G$31,"PLN",$F$7:$F$31)</f>
        <v>0</v>
      </c>
      <c r="D44" s="119">
        <f>+C44+'17'!D44</f>
        <v>0</v>
      </c>
      <c r="E44" s="144">
        <f t="shared" si="0"/>
        <v>0</v>
      </c>
      <c r="F44" s="361"/>
      <c r="G44" s="362"/>
      <c r="H44" s="189" t="s">
        <v>87</v>
      </c>
      <c r="I44" s="119">
        <f>I43/I38</f>
        <v>1.4316267295185716</v>
      </c>
      <c r="J44" s="135">
        <f>J43/J38</f>
        <v>1.346717390400904</v>
      </c>
      <c r="K44" s="131" t="s">
        <v>76</v>
      </c>
      <c r="L44" s="427">
        <f>+L43/I38</f>
        <v>0.19641220374492602</v>
      </c>
      <c r="M44" s="428">
        <f>+M43/J38</f>
        <v>0.19992968764917507</v>
      </c>
      <c r="O44" s="150">
        <v>480</v>
      </c>
    </row>
    <row r="45" spans="1:19" ht="17.45" customHeight="1">
      <c r="A45" s="763" t="s">
        <v>19</v>
      </c>
      <c r="B45" s="764"/>
      <c r="C45" s="165">
        <f>SUMIF($G$7:$G$31,"Boiler",$F$7:$F$31)</f>
        <v>0</v>
      </c>
      <c r="D45" s="119">
        <f>+C45+'17'!D45</f>
        <v>0</v>
      </c>
      <c r="E45" s="144">
        <f t="shared" si="0"/>
        <v>0</v>
      </c>
      <c r="F45" s="361"/>
      <c r="G45" s="364"/>
      <c r="H45" s="189" t="s">
        <v>88</v>
      </c>
      <c r="I45" s="119">
        <f>I43/I40</f>
        <v>1.4217598612917206</v>
      </c>
      <c r="J45" s="135">
        <f>J43/J40</f>
        <v>1.3844338369947509</v>
      </c>
      <c r="K45" s="131" t="s">
        <v>76</v>
      </c>
      <c r="L45" s="427">
        <f>+L43/I40</f>
        <v>0.19505851755526657</v>
      </c>
      <c r="M45" s="428">
        <f>+M43/J40</f>
        <v>0.20552895995418322</v>
      </c>
      <c r="O45" s="150">
        <v>305</v>
      </c>
    </row>
    <row r="46" spans="1:19" ht="17.45" customHeight="1">
      <c r="A46" s="763" t="s">
        <v>89</v>
      </c>
      <c r="B46" s="764"/>
      <c r="C46" s="165">
        <f>SUMIF($G$7:$G$31,"Gas",$F$7:$F$31)</f>
        <v>0</v>
      </c>
      <c r="D46" s="119">
        <f>+C46+'17'!D46</f>
        <v>0</v>
      </c>
      <c r="E46" s="144">
        <f t="shared" si="0"/>
        <v>0</v>
      </c>
      <c r="F46" s="361"/>
      <c r="G46" s="362"/>
      <c r="H46" s="189" t="s">
        <v>90</v>
      </c>
      <c r="I46" s="141">
        <f>+SUMIF(Listrik!P25,"&gt;0")</f>
        <v>37422.87999999999</v>
      </c>
      <c r="J46" s="136">
        <f>+I46+'17'!J46</f>
        <v>709564.58</v>
      </c>
      <c r="K46" s="131" t="s">
        <v>91</v>
      </c>
      <c r="L46" s="427">
        <f>+Listrik!AF25</f>
        <v>0</v>
      </c>
      <c r="M46" s="429">
        <f>+L46+'17'!M46</f>
        <v>0</v>
      </c>
      <c r="O46" s="150">
        <f>+O43+O44+O45</f>
        <v>1265</v>
      </c>
    </row>
    <row r="47" spans="1:19" ht="17.45" customHeight="1">
      <c r="A47" s="763" t="s">
        <v>92</v>
      </c>
      <c r="B47" s="764"/>
      <c r="C47" s="165">
        <f>SUMIF($G$7:$G$31,"Gas",$F$7:$F$31)</f>
        <v>0</v>
      </c>
      <c r="D47" s="119">
        <f>+C47+'17'!D47</f>
        <v>0</v>
      </c>
      <c r="E47" s="144">
        <f t="shared" si="0"/>
        <v>0</v>
      </c>
      <c r="F47" s="361"/>
      <c r="G47" s="362"/>
      <c r="H47" s="189" t="s">
        <v>93</v>
      </c>
      <c r="I47" s="119">
        <f>I46/I38</f>
        <v>816.70114792021275</v>
      </c>
      <c r="J47" s="136">
        <f>J46/J38</f>
        <v>796.98328565347242</v>
      </c>
      <c r="K47" s="131" t="s">
        <v>25</v>
      </c>
      <c r="L47" s="427">
        <f>+L46/I38</f>
        <v>0</v>
      </c>
      <c r="M47" s="428">
        <f>+M46/J38</f>
        <v>0</v>
      </c>
    </row>
    <row r="48" spans="1:19" ht="17.45" customHeight="1">
      <c r="A48" s="763" t="s">
        <v>15</v>
      </c>
      <c r="B48" s="764"/>
      <c r="C48" s="165">
        <f>SUMIF($G$7:$G$31,"Start Up",$F$7:$F$31)</f>
        <v>0</v>
      </c>
      <c r="D48" s="119">
        <f>+C48+'17'!D48</f>
        <v>0</v>
      </c>
      <c r="E48" s="144">
        <f t="shared" si="0"/>
        <v>0</v>
      </c>
      <c r="F48" s="361"/>
      <c r="G48" s="362"/>
      <c r="H48" s="189" t="s">
        <v>94</v>
      </c>
      <c r="I48" s="119">
        <f>I46/I40</f>
        <v>811.07238838318142</v>
      </c>
      <c r="J48" s="136">
        <f>J46/J40</f>
        <v>819.30376487486978</v>
      </c>
      <c r="K48" s="131" t="s">
        <v>25</v>
      </c>
      <c r="L48" s="427">
        <f>+L46/I38</f>
        <v>0</v>
      </c>
      <c r="M48" s="428">
        <f>+M46/J40</f>
        <v>0</v>
      </c>
      <c r="N48" s="150" t="s">
        <v>590</v>
      </c>
      <c r="O48" s="150">
        <v>1154.9005235602094</v>
      </c>
      <c r="P48" s="150">
        <v>898.04178010471207</v>
      </c>
      <c r="Q48" s="150">
        <v>955</v>
      </c>
    </row>
    <row r="49" spans="1:17" ht="17.45" customHeight="1">
      <c r="A49" s="763" t="s">
        <v>21</v>
      </c>
      <c r="B49" s="764"/>
      <c r="C49" s="165">
        <f>SUMIF($G$7:$G$31,"Others",$F$7:$F$31)</f>
        <v>0</v>
      </c>
      <c r="D49" s="119">
        <f>+C49+'17'!D49</f>
        <v>0</v>
      </c>
      <c r="E49" s="144">
        <f t="shared" si="0"/>
        <v>0</v>
      </c>
      <c r="F49" s="186"/>
      <c r="H49" s="189" t="s">
        <v>95</v>
      </c>
      <c r="I49" s="119">
        <f>+Report1!AB26</f>
        <v>4592.7878337296006</v>
      </c>
      <c r="J49" s="136">
        <f>+I49+'17'!J49</f>
        <v>87353.934421296595</v>
      </c>
      <c r="K49" s="131" t="s">
        <v>96</v>
      </c>
      <c r="L49" s="423"/>
      <c r="M49" s="424"/>
      <c r="N49" s="150" t="s">
        <v>604</v>
      </c>
      <c r="O49" s="150">
        <v>1136.7741935483871</v>
      </c>
      <c r="P49" s="150">
        <v>938.2838709677419</v>
      </c>
      <c r="Q49" s="150">
        <v>310</v>
      </c>
    </row>
    <row r="50" spans="1:17" ht="17.45" customHeight="1">
      <c r="A50" s="763" t="s">
        <v>20</v>
      </c>
      <c r="B50" s="764"/>
      <c r="C50" s="165">
        <f>SUMIF($G$7:$G$31,"Steam",$F$7:$F$31)</f>
        <v>0</v>
      </c>
      <c r="D50" s="119">
        <f>+C50+'17'!D50</f>
        <v>0</v>
      </c>
      <c r="E50" s="144">
        <f t="shared" si="0"/>
        <v>0</v>
      </c>
      <c r="F50" s="186"/>
      <c r="H50" s="189" t="s">
        <v>97</v>
      </c>
      <c r="I50" s="141">
        <f>I49/I38</f>
        <v>100.23106441730174</v>
      </c>
      <c r="J50" s="134">
        <f>J49/J38</f>
        <v>98.115982156046911</v>
      </c>
      <c r="K50" s="131" t="s">
        <v>96</v>
      </c>
      <c r="L50" s="423"/>
      <c r="M50" s="424"/>
      <c r="Q50" s="150">
        <f>+Q48+Q49</f>
        <v>1265</v>
      </c>
    </row>
    <row r="51" spans="1:17" ht="17.45" customHeight="1" thickBot="1">
      <c r="A51" s="765" t="s">
        <v>98</v>
      </c>
      <c r="B51" s="766"/>
      <c r="C51" s="165">
        <f>SUMIF($G$7:$G$31,"Planned shut",$F$7:$F$31)</f>
        <v>0</v>
      </c>
      <c r="D51" s="119">
        <f>+C51+'17'!D51</f>
        <v>609</v>
      </c>
      <c r="E51" s="144">
        <f t="shared" si="0"/>
        <v>10.15</v>
      </c>
      <c r="F51" s="186"/>
      <c r="H51" s="191" t="s">
        <v>99</v>
      </c>
      <c r="I51" s="142">
        <f>I49/I40</f>
        <v>99.540265143684451</v>
      </c>
      <c r="J51" s="137">
        <f>J49/J40</f>
        <v>100.86383870514052</v>
      </c>
      <c r="K51" s="138" t="s">
        <v>96</v>
      </c>
      <c r="L51" s="423"/>
      <c r="M51" s="424"/>
    </row>
    <row r="52" spans="1:17" ht="13.5" thickBot="1">
      <c r="A52" s="767" t="s">
        <v>29</v>
      </c>
      <c r="B52" s="768"/>
      <c r="C52" s="145">
        <f>SUM(C38:C51)</f>
        <v>215</v>
      </c>
      <c r="D52" s="145">
        <f>SUM(D38:D51)</f>
        <v>2052</v>
      </c>
      <c r="E52" s="146">
        <f>SUM(E38:E51)</f>
        <v>34.200000000000003</v>
      </c>
      <c r="F52" s="186"/>
      <c r="H52" s="192"/>
      <c r="I52" s="193"/>
      <c r="J52" s="139"/>
      <c r="K52" s="140"/>
      <c r="L52" s="430"/>
      <c r="M52" s="431"/>
    </row>
    <row r="53" spans="1:17" ht="13.5" thickBot="1">
      <c r="A53" s="769"/>
      <c r="B53" s="770"/>
      <c r="C53" s="147">
        <f>C52/(24*60)</f>
        <v>0.14930555555555555</v>
      </c>
      <c r="D53" s="147">
        <f>D52/(24*60*G4)</f>
        <v>7.9166666666666663E-2</v>
      </c>
      <c r="E53" s="148">
        <f>E52/(G4*24)</f>
        <v>7.9166666666666677E-2</v>
      </c>
      <c r="F53" s="186"/>
    </row>
    <row r="54" spans="1:17">
      <c r="E54" s="194"/>
      <c r="F54" s="186"/>
    </row>
    <row r="55" spans="1:17">
      <c r="E55" s="194"/>
    </row>
    <row r="56" spans="1:17">
      <c r="A56" s="195" t="s">
        <v>100</v>
      </c>
      <c r="B56" s="196"/>
      <c r="C56" s="197"/>
      <c r="D56" s="197"/>
      <c r="E56" s="197"/>
      <c r="F56" s="198"/>
      <c r="G56" s="197"/>
      <c r="H56" s="199"/>
      <c r="I56" s="200" t="s">
        <v>101</v>
      </c>
      <c r="J56" s="201">
        <f>+D34+'17'!J56</f>
        <v>3147</v>
      </c>
      <c r="K56" s="202">
        <f>J56/(J40+J56/1000)/1000</f>
        <v>3.620549812759936E-3</v>
      </c>
    </row>
    <row r="57" spans="1:17">
      <c r="A57" s="177"/>
      <c r="I57" s="200" t="s">
        <v>102</v>
      </c>
      <c r="J57" s="201">
        <f>+E34+'17'!J57</f>
        <v>0</v>
      </c>
      <c r="K57" s="202">
        <f>J57/(J40+J57/1000)/1000</f>
        <v>0</v>
      </c>
    </row>
    <row r="58" spans="1:17">
      <c r="A58" s="203"/>
      <c r="B58" s="204"/>
      <c r="F58" s="186"/>
      <c r="H58" s="205"/>
    </row>
    <row r="59" spans="1:17">
      <c r="A59" s="206"/>
      <c r="B59" s="177"/>
      <c r="C59" s="177"/>
      <c r="D59" s="177"/>
      <c r="E59" s="177"/>
      <c r="F59" s="190"/>
      <c r="G59" s="177"/>
      <c r="H59" s="205"/>
    </row>
    <row r="60" spans="1:17">
      <c r="H60" s="205"/>
    </row>
    <row r="61" spans="1:17">
      <c r="A61" s="207"/>
      <c r="B61" s="208"/>
      <c r="C61" s="208"/>
      <c r="D61" s="208"/>
      <c r="E61" s="208"/>
      <c r="F61" s="209"/>
      <c r="G61" s="208"/>
      <c r="H61" s="210"/>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Y61"/>
  <sheetViews>
    <sheetView view="pageBreakPreview" topLeftCell="C1" zoomScale="80" zoomScaleNormal="80" zoomScaleSheetLayoutView="80" workbookViewId="0">
      <selection activeCell="H26" sqref="H2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2.5703125" style="150" bestFit="1" customWidth="1"/>
    <col min="12" max="12" width="12.140625" style="150" customWidth="1"/>
    <col min="13" max="13" width="13.8554687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17</v>
      </c>
      <c r="H4" s="155" t="str">
        <f>+'1'!H4</f>
        <v>.11.25</v>
      </c>
      <c r="J4" s="150">
        <f>707+789+755.3</f>
        <v>2251.3000000000002</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604</v>
      </c>
      <c r="O6" s="150">
        <v>1140</v>
      </c>
      <c r="P6" s="150">
        <f>+O6-O6*0.17</f>
        <v>946.2</v>
      </c>
      <c r="Q6" s="150">
        <f>60*5+15</f>
        <v>315</v>
      </c>
      <c r="R6" s="150">
        <f>+O6*Q6</f>
        <v>359100</v>
      </c>
      <c r="S6" s="150">
        <f>+P6*Q6</f>
        <v>298053</v>
      </c>
    </row>
    <row r="7" spans="1:19" ht="13.5" customHeight="1" thickBot="1">
      <c r="A7" s="775" t="s">
        <v>446</v>
      </c>
      <c r="B7" s="216" t="s">
        <v>619</v>
      </c>
      <c r="C7" s="217">
        <v>13542</v>
      </c>
      <c r="D7" s="218"/>
      <c r="E7" s="219"/>
      <c r="F7" s="229"/>
      <c r="G7" s="230" t="s">
        <v>13</v>
      </c>
      <c r="H7" s="231" t="s">
        <v>390</v>
      </c>
      <c r="I7" s="778" t="s">
        <v>612</v>
      </c>
      <c r="J7" s="215" t="str">
        <f>+'16'!J7</f>
        <v>T 13,5 RC HW</v>
      </c>
      <c r="K7" s="239"/>
      <c r="L7" s="243"/>
      <c r="M7" s="118">
        <f>+K7+'16'!M7+L7</f>
        <v>263166</v>
      </c>
      <c r="N7" s="150" t="s">
        <v>590</v>
      </c>
      <c r="O7" s="150">
        <v>1150</v>
      </c>
      <c r="P7" s="150">
        <f>+O7-O7*0.22</f>
        <v>897</v>
      </c>
      <c r="Q7" s="150">
        <f>60-15+38</f>
        <v>83</v>
      </c>
      <c r="R7" s="150">
        <f>+O7*Q7</f>
        <v>95450</v>
      </c>
      <c r="S7" s="150">
        <f>+P7*Q7</f>
        <v>74451</v>
      </c>
    </row>
    <row r="8" spans="1:19" ht="13.5" thickBot="1">
      <c r="A8" s="784"/>
      <c r="B8" s="216" t="s">
        <v>595</v>
      </c>
      <c r="C8" s="217">
        <f>2007+2751</f>
        <v>4758</v>
      </c>
      <c r="D8" s="218"/>
      <c r="E8" s="220"/>
      <c r="F8" s="232">
        <v>4</v>
      </c>
      <c r="G8" s="579" t="s">
        <v>13</v>
      </c>
      <c r="H8" s="231" t="s">
        <v>429</v>
      </c>
      <c r="I8" s="779"/>
      <c r="J8" s="215" t="str">
        <f>+'16'!J8</f>
        <v>T 14 RC HW</v>
      </c>
      <c r="K8" s="240"/>
      <c r="L8" s="240"/>
      <c r="M8" s="118">
        <f>+K8+'16'!M8+L8</f>
        <v>97781</v>
      </c>
      <c r="O8" s="150">
        <v>1160</v>
      </c>
      <c r="P8" s="150">
        <f>+O8-O8*0.22</f>
        <v>904.8</v>
      </c>
      <c r="Q8" s="150">
        <f>60-38+60</f>
        <v>82</v>
      </c>
      <c r="R8" s="150">
        <f>+O8*Q8</f>
        <v>95120</v>
      </c>
      <c r="S8" s="150">
        <f>+P8*Q8</f>
        <v>74193.599999999991</v>
      </c>
    </row>
    <row r="9" spans="1:19" ht="13.5" thickBot="1">
      <c r="A9" s="784"/>
      <c r="B9" s="216"/>
      <c r="C9" s="217"/>
      <c r="D9" s="218"/>
      <c r="E9" s="221"/>
      <c r="F9" s="229">
        <v>10</v>
      </c>
      <c r="G9" s="579" t="s">
        <v>13</v>
      </c>
      <c r="H9" s="234" t="s">
        <v>397</v>
      </c>
      <c r="I9" s="779"/>
      <c r="J9" s="215" t="str">
        <f>+'16'!J9</f>
        <v>T 15 RC HW</v>
      </c>
      <c r="K9" s="240"/>
      <c r="L9" s="240"/>
      <c r="M9" s="118">
        <f>+K9+'16'!M9+L9</f>
        <v>34238</v>
      </c>
    </row>
    <row r="10" spans="1:19" ht="26.25" thickBot="1">
      <c r="A10" s="784"/>
      <c r="B10" s="216"/>
      <c r="C10" s="217"/>
      <c r="D10" s="218"/>
      <c r="E10" s="220"/>
      <c r="F10" s="229"/>
      <c r="G10" s="238" t="s">
        <v>14</v>
      </c>
      <c r="H10" s="234" t="s">
        <v>610</v>
      </c>
      <c r="I10" s="779"/>
      <c r="J10" s="215" t="str">
        <f>+'16'!J10</f>
        <v>TW 29 RC HW</v>
      </c>
      <c r="K10" s="240"/>
      <c r="L10" s="240"/>
      <c r="M10" s="118">
        <f>+K10+'16'!M10+L10</f>
        <v>21998</v>
      </c>
    </row>
    <row r="11" spans="1:19" ht="26.25" thickBot="1">
      <c r="A11" s="784"/>
      <c r="B11" s="216"/>
      <c r="C11" s="217"/>
      <c r="D11" s="218"/>
      <c r="E11" s="220"/>
      <c r="F11" s="229"/>
      <c r="G11" s="233"/>
      <c r="H11" s="234" t="s">
        <v>611</v>
      </c>
      <c r="I11" s="779"/>
      <c r="J11" s="215" t="str">
        <f>+'16'!J11</f>
        <v>TW 20 RC HW</v>
      </c>
      <c r="K11" s="240"/>
      <c r="L11" s="240"/>
      <c r="M11" s="118">
        <f>+K11+'16'!M11+L11</f>
        <v>104164</v>
      </c>
    </row>
    <row r="12" spans="1:19" ht="13.5" thickBot="1">
      <c r="A12" s="784"/>
      <c r="B12" s="216"/>
      <c r="C12" s="217"/>
      <c r="D12" s="218"/>
      <c r="E12" s="220"/>
      <c r="F12" s="229"/>
      <c r="G12" s="233"/>
      <c r="H12" s="234"/>
      <c r="I12" s="779"/>
      <c r="J12" s="215" t="str">
        <f>+'16'!J12</f>
        <v>TW 19 RC HW</v>
      </c>
      <c r="K12" s="240"/>
      <c r="L12" s="240"/>
      <c r="M12" s="118">
        <f>+K12+'16'!M12+L12</f>
        <v>18863</v>
      </c>
    </row>
    <row r="13" spans="1:19" ht="13.5" thickBot="1">
      <c r="A13" s="784"/>
      <c r="B13" s="216"/>
      <c r="C13" s="217"/>
      <c r="D13" s="217"/>
      <c r="E13" s="220"/>
      <c r="F13" s="229"/>
      <c r="G13" s="233"/>
      <c r="H13" s="234"/>
      <c r="I13" s="780"/>
      <c r="J13" s="215" t="str">
        <f>+'16'!J13</f>
        <v>TW 17 RC HW</v>
      </c>
      <c r="K13" s="240"/>
      <c r="L13" s="240"/>
      <c r="M13" s="118">
        <f>+K13+'16'!M13+L13</f>
        <v>67816</v>
      </c>
    </row>
    <row r="14" spans="1:19" ht="13.5" thickBot="1">
      <c r="A14" s="785"/>
      <c r="B14" s="166" t="s">
        <v>3</v>
      </c>
      <c r="C14" s="100">
        <f>SUM(C7:C13)</f>
        <v>18300</v>
      </c>
      <c r="D14" s="112">
        <f>SUM(D7:D13)</f>
        <v>0</v>
      </c>
      <c r="E14" s="113">
        <f>SUM(E5:E13)</f>
        <v>0</v>
      </c>
      <c r="F14" s="103">
        <f>SUM(F6:F13)</f>
        <v>14</v>
      </c>
      <c r="G14" s="160"/>
      <c r="H14" s="167"/>
      <c r="I14" s="168"/>
      <c r="J14" s="215" t="str">
        <f>+'16'!J14</f>
        <v>F 14 RC HW</v>
      </c>
      <c r="K14" s="240"/>
      <c r="L14" s="240"/>
      <c r="M14" s="118">
        <f>+K14+'16'!M14+L14</f>
        <v>10232</v>
      </c>
    </row>
    <row r="15" spans="1:19" ht="13.5" customHeight="1" thickBot="1">
      <c r="A15" s="775" t="s">
        <v>444</v>
      </c>
      <c r="B15" s="166"/>
      <c r="C15" s="114">
        <f>C14/($C$23+$D$23+$E$23)</f>
        <v>1.0912994215516727</v>
      </c>
      <c r="D15" s="115">
        <f>D14/($C$23+$D$23+$E$23)</f>
        <v>0</v>
      </c>
      <c r="E15" s="116">
        <f>E14/($C$23+$D$23+$E$23)</f>
        <v>0</v>
      </c>
      <c r="F15" s="229"/>
      <c r="G15" s="230" t="s">
        <v>13</v>
      </c>
      <c r="H15" s="231" t="s">
        <v>390</v>
      </c>
      <c r="I15" s="778" t="s">
        <v>613</v>
      </c>
      <c r="J15" s="215" t="str">
        <f>+'16'!J15</f>
        <v>T 16,5 RC HW</v>
      </c>
      <c r="K15" s="240"/>
      <c r="L15" s="240"/>
      <c r="M15" s="118">
        <f>+K15+'16'!M15+L15</f>
        <v>10954</v>
      </c>
    </row>
    <row r="16" spans="1:19" ht="13.5" thickBot="1">
      <c r="A16" s="784"/>
      <c r="B16" s="216" t="s">
        <v>595</v>
      </c>
      <c r="C16" s="223">
        <v>16769</v>
      </c>
      <c r="D16" s="224"/>
      <c r="E16" s="225"/>
      <c r="F16" s="232">
        <v>3</v>
      </c>
      <c r="G16" s="579" t="s">
        <v>13</v>
      </c>
      <c r="H16" s="231" t="s">
        <v>429</v>
      </c>
      <c r="I16" s="779"/>
      <c r="J16" s="215" t="str">
        <f>+'16'!J16</f>
        <v>T 15,5 RC HW</v>
      </c>
      <c r="K16" s="240">
        <f>+C8+C16+C25</f>
        <v>38476</v>
      </c>
      <c r="L16" s="230"/>
      <c r="M16" s="118">
        <f>+K16+'16'!M16+L16</f>
        <v>177164</v>
      </c>
      <c r="Q16" s="150">
        <f>SUM(Q6:Q14)</f>
        <v>480</v>
      </c>
      <c r="R16" s="150">
        <f>SUM(R6:R14)</f>
        <v>549670</v>
      </c>
      <c r="S16" s="150">
        <f>SUM(S6:S14)</f>
        <v>446697.6</v>
      </c>
    </row>
    <row r="17" spans="1:25" ht="13.5" thickBot="1">
      <c r="A17" s="784"/>
      <c r="B17" s="216"/>
      <c r="C17" s="217"/>
      <c r="D17" s="218"/>
      <c r="E17" s="226"/>
      <c r="F17" s="229">
        <v>4</v>
      </c>
      <c r="G17" s="579" t="s">
        <v>13</v>
      </c>
      <c r="H17" s="234" t="s">
        <v>425</v>
      </c>
      <c r="I17" s="779"/>
      <c r="J17" s="215" t="s">
        <v>619</v>
      </c>
      <c r="K17" s="240">
        <f>+C7</f>
        <v>13542</v>
      </c>
      <c r="L17" s="230"/>
      <c r="M17" s="118">
        <f>+K17+'16'!M17+L17</f>
        <v>13542</v>
      </c>
      <c r="Q17" s="150">
        <f>480-Q16</f>
        <v>0</v>
      </c>
      <c r="R17" s="150">
        <f>+R16/Q16</f>
        <v>1145.1458333333333</v>
      </c>
      <c r="S17" s="150">
        <f>+S16/Q16</f>
        <v>930.62</v>
      </c>
    </row>
    <row r="18" spans="1:25" ht="26.25" thickBot="1">
      <c r="A18" s="784"/>
      <c r="B18" s="216"/>
      <c r="C18" s="217"/>
      <c r="D18" s="218"/>
      <c r="E18" s="226"/>
      <c r="F18" s="229">
        <v>5</v>
      </c>
      <c r="G18" s="238" t="s">
        <v>14</v>
      </c>
      <c r="H18" s="234" t="s">
        <v>609</v>
      </c>
      <c r="I18" s="779"/>
      <c r="J18" s="215">
        <f>+'16'!J18</f>
        <v>0</v>
      </c>
      <c r="K18" s="240"/>
      <c r="L18" s="240"/>
      <c r="M18" s="118">
        <f>+K18+'16'!M18+L18</f>
        <v>0</v>
      </c>
    </row>
    <row r="19" spans="1:25" ht="13.5" thickBot="1">
      <c r="A19" s="784"/>
      <c r="B19" s="216"/>
      <c r="C19" s="217"/>
      <c r="D19" s="218"/>
      <c r="E19" s="226"/>
      <c r="F19" s="236"/>
      <c r="G19" s="233"/>
      <c r="H19" s="234"/>
      <c r="I19" s="779"/>
      <c r="J19" s="215">
        <f>+'16'!J19</f>
        <v>0</v>
      </c>
      <c r="K19" s="240"/>
      <c r="L19" s="240"/>
      <c r="M19" s="118">
        <f>+K19+'16'!M19+L19</f>
        <v>0</v>
      </c>
      <c r="N19" s="150" t="s">
        <v>590</v>
      </c>
      <c r="O19" s="150">
        <v>1160</v>
      </c>
      <c r="P19" s="150">
        <f>+O19-O19*0.22</f>
        <v>904.8</v>
      </c>
      <c r="Q19" s="150">
        <v>480</v>
      </c>
      <c r="R19" s="150">
        <f>+O19*Q19</f>
        <v>556800</v>
      </c>
      <c r="S19" s="150">
        <f>+P19*Q19</f>
        <v>434304</v>
      </c>
    </row>
    <row r="20" spans="1:25" ht="13.5" thickBot="1">
      <c r="A20" s="784"/>
      <c r="B20" s="216"/>
      <c r="C20" s="217"/>
      <c r="D20" s="218"/>
      <c r="E20" s="226"/>
      <c r="F20" s="229"/>
      <c r="G20" s="233"/>
      <c r="H20" s="234"/>
      <c r="I20" s="779"/>
      <c r="J20" s="215">
        <f>+'16'!J20</f>
        <v>0</v>
      </c>
      <c r="K20" s="240"/>
      <c r="L20" s="241"/>
      <c r="M20" s="118">
        <f>+K20+'16'!M20+L20</f>
        <v>0</v>
      </c>
      <c r="R20" s="150">
        <f>+O20*Q20</f>
        <v>0</v>
      </c>
      <c r="S20" s="150">
        <f>+P20*Q20</f>
        <v>0</v>
      </c>
    </row>
    <row r="21" spans="1:25" ht="13.5" thickBot="1">
      <c r="A21" s="784"/>
      <c r="B21" s="216"/>
      <c r="C21" s="217"/>
      <c r="D21" s="218"/>
      <c r="E21" s="226"/>
      <c r="F21" s="232"/>
      <c r="G21" s="233"/>
      <c r="H21" s="234"/>
      <c r="I21" s="779"/>
      <c r="J21" s="215">
        <f>+'16'!J21</f>
        <v>0</v>
      </c>
      <c r="K21" s="240"/>
      <c r="L21" s="240"/>
      <c r="M21" s="118">
        <f>+K21+'16'!M21+L21</f>
        <v>0</v>
      </c>
      <c r="R21" s="150">
        <f>+O21*Q21</f>
        <v>0</v>
      </c>
      <c r="S21" s="150">
        <f>+P21*Q21</f>
        <v>0</v>
      </c>
    </row>
    <row r="22" spans="1:25" ht="13.5" thickBot="1">
      <c r="A22" s="784"/>
      <c r="B22" s="216"/>
      <c r="C22" s="217"/>
      <c r="D22" s="218"/>
      <c r="E22" s="226"/>
      <c r="F22" s="237"/>
      <c r="G22" s="233"/>
      <c r="H22" s="234"/>
      <c r="I22" s="780"/>
      <c r="J22" s="215">
        <f>+'16'!J22</f>
        <v>0</v>
      </c>
      <c r="K22" s="240"/>
      <c r="L22" s="240"/>
      <c r="M22" s="118">
        <f>+K22+'16'!M22+L22</f>
        <v>0</v>
      </c>
    </row>
    <row r="23" spans="1:25" ht="13.5" thickBot="1">
      <c r="A23" s="785"/>
      <c r="B23" s="166" t="s">
        <v>3</v>
      </c>
      <c r="C23" s="101">
        <f>SUM(C16:C22)</f>
        <v>16769</v>
      </c>
      <c r="D23" s="112">
        <f>SUM(D16:D22)</f>
        <v>0</v>
      </c>
      <c r="E23" s="113">
        <f>SUM(E18:E22)</f>
        <v>0</v>
      </c>
      <c r="F23" s="103">
        <f>SUM(F15:F22)</f>
        <v>12</v>
      </c>
      <c r="G23" s="160"/>
      <c r="H23" s="167"/>
      <c r="I23" s="170"/>
      <c r="J23" s="215">
        <f>+'16'!J23</f>
        <v>0</v>
      </c>
      <c r="K23" s="240"/>
      <c r="L23" s="240"/>
      <c r="M23" s="118">
        <f>+K23+'16'!M23+L23</f>
        <v>0</v>
      </c>
    </row>
    <row r="24" spans="1:25" ht="13.5" customHeight="1" thickBot="1">
      <c r="A24" s="775" t="s">
        <v>445</v>
      </c>
      <c r="B24" s="171"/>
      <c r="C24" s="114">
        <f>C23/($C$23+$D$23+$E$23)</f>
        <v>1</v>
      </c>
      <c r="D24" s="115">
        <f>D23/($C$23+$D$23+$E$23)</f>
        <v>0</v>
      </c>
      <c r="E24" s="116">
        <f>E23/($C$23+$D$23+$E$23)</f>
        <v>0</v>
      </c>
      <c r="F24" s="229"/>
      <c r="G24" s="230" t="s">
        <v>13</v>
      </c>
      <c r="H24" s="231" t="s">
        <v>390</v>
      </c>
      <c r="I24" s="778" t="s">
        <v>613</v>
      </c>
      <c r="J24" s="215">
        <f>+'16'!J24</f>
        <v>0</v>
      </c>
      <c r="K24" s="240"/>
      <c r="L24" s="240"/>
      <c r="M24" s="118">
        <f>+K24+'16'!M24+L24</f>
        <v>0</v>
      </c>
    </row>
    <row r="25" spans="1:25" ht="13.5" thickBot="1">
      <c r="A25" s="784"/>
      <c r="B25" s="216" t="s">
        <v>595</v>
      </c>
      <c r="C25" s="227">
        <v>16949</v>
      </c>
      <c r="D25" s="218"/>
      <c r="E25" s="226"/>
      <c r="F25" s="232">
        <v>4</v>
      </c>
      <c r="G25" s="579" t="s">
        <v>13</v>
      </c>
      <c r="H25" s="231" t="s">
        <v>424</v>
      </c>
      <c r="I25" s="779"/>
      <c r="J25" s="215">
        <f>+'16'!J25</f>
        <v>0</v>
      </c>
      <c r="K25" s="240"/>
      <c r="L25" s="240"/>
      <c r="M25" s="118">
        <f>+K25+'16'!M25+L25</f>
        <v>0</v>
      </c>
    </row>
    <row r="26" spans="1:25" ht="13.5" thickBot="1">
      <c r="A26" s="784"/>
      <c r="B26" s="216"/>
      <c r="C26" s="227"/>
      <c r="D26" s="218"/>
      <c r="E26" s="228"/>
      <c r="F26" s="229">
        <v>10</v>
      </c>
      <c r="G26" s="579" t="s">
        <v>13</v>
      </c>
      <c r="H26" s="234" t="s">
        <v>397</v>
      </c>
      <c r="I26" s="779"/>
      <c r="J26" s="215">
        <f>+'16'!J26</f>
        <v>0</v>
      </c>
      <c r="K26" s="240"/>
      <c r="L26" s="240"/>
      <c r="M26" s="118">
        <f>+K26+'16'!M26+L26</f>
        <v>0</v>
      </c>
    </row>
    <row r="27" spans="1:25" ht="26.25" thickBot="1">
      <c r="A27" s="784"/>
      <c r="B27" s="216"/>
      <c r="C27" s="217"/>
      <c r="D27" s="218"/>
      <c r="E27" s="226"/>
      <c r="F27" s="229"/>
      <c r="G27" s="238" t="s">
        <v>14</v>
      </c>
      <c r="H27" s="234" t="s">
        <v>608</v>
      </c>
      <c r="I27" s="779"/>
      <c r="J27" s="215">
        <f>+'16'!J27</f>
        <v>0</v>
      </c>
      <c r="K27" s="240"/>
      <c r="L27" s="240"/>
      <c r="M27" s="118">
        <f>+K27+'16'!M27+L27</f>
        <v>0</v>
      </c>
    </row>
    <row r="28" spans="1:25" ht="13.5" thickBot="1">
      <c r="A28" s="784"/>
      <c r="B28" s="216"/>
      <c r="C28" s="217"/>
      <c r="D28" s="218"/>
      <c r="E28" s="226"/>
      <c r="F28" s="232"/>
      <c r="G28" s="233"/>
      <c r="H28" s="234"/>
      <c r="I28" s="779"/>
      <c r="J28" s="215">
        <f>+'16'!J28</f>
        <v>0</v>
      </c>
      <c r="K28" s="240"/>
      <c r="L28" s="240"/>
      <c r="M28" s="118">
        <f>+K28+'16'!M28+L28</f>
        <v>0</v>
      </c>
    </row>
    <row r="29" spans="1:25" ht="13.5" thickBot="1">
      <c r="A29" s="784"/>
      <c r="B29" s="216"/>
      <c r="C29" s="217"/>
      <c r="D29" s="218"/>
      <c r="E29" s="226"/>
      <c r="F29" s="237"/>
      <c r="G29" s="233"/>
      <c r="H29" s="234"/>
      <c r="I29" s="779"/>
      <c r="J29" s="215">
        <f>+'16'!J29</f>
        <v>0</v>
      </c>
      <c r="K29" s="240"/>
      <c r="L29" s="240"/>
      <c r="M29" s="118">
        <f>+K29+'16'!M29+L29</f>
        <v>0</v>
      </c>
      <c r="Q29" s="150">
        <f>SUM(Q19:Q27)</f>
        <v>480</v>
      </c>
      <c r="R29" s="150">
        <f>SUM(R19:R27)</f>
        <v>556800</v>
      </c>
      <c r="S29" s="150">
        <f>SUM(S19:S27)</f>
        <v>434304</v>
      </c>
    </row>
    <row r="30" spans="1:25" ht="13.5" thickBot="1">
      <c r="A30" s="784"/>
      <c r="B30" s="216"/>
      <c r="C30" s="227"/>
      <c r="D30" s="218"/>
      <c r="E30" s="226"/>
      <c r="F30" s="237"/>
      <c r="G30" s="233"/>
      <c r="H30" s="234"/>
      <c r="I30" s="779"/>
      <c r="J30" s="215">
        <f>+'16'!J30</f>
        <v>0</v>
      </c>
      <c r="K30" s="240"/>
      <c r="L30" s="240"/>
      <c r="M30" s="118">
        <f>+K30+'16'!M30+L30</f>
        <v>0</v>
      </c>
      <c r="Q30" s="150">
        <f>480-Q29</f>
        <v>0</v>
      </c>
      <c r="R30" s="150">
        <f>+R29/Q29</f>
        <v>1160</v>
      </c>
      <c r="S30" s="150">
        <f>+S29/Q29</f>
        <v>904.8</v>
      </c>
    </row>
    <row r="31" spans="1:25" ht="13.5" thickBot="1">
      <c r="A31" s="784"/>
      <c r="B31" s="216"/>
      <c r="C31" s="227"/>
      <c r="D31" s="218"/>
      <c r="E31" s="226"/>
      <c r="F31" s="237"/>
      <c r="G31" s="238"/>
      <c r="H31" s="235"/>
      <c r="I31" s="780"/>
      <c r="J31" s="215">
        <f>+'16'!J31</f>
        <v>0</v>
      </c>
      <c r="K31" s="240"/>
      <c r="L31" s="240"/>
      <c r="M31" s="118">
        <f>+K31+'16'!M31+L31</f>
        <v>0</v>
      </c>
    </row>
    <row r="32" spans="1:25" ht="13.5" thickBot="1">
      <c r="A32" s="785"/>
      <c r="B32" s="166" t="s">
        <v>3</v>
      </c>
      <c r="C32" s="100">
        <f>SUM(C25:C31)</f>
        <v>16949</v>
      </c>
      <c r="D32" s="101">
        <f>SUM(D25:D31)</f>
        <v>0</v>
      </c>
      <c r="E32" s="102">
        <f>SUM(E25:E31)</f>
        <v>0</v>
      </c>
      <c r="F32" s="103">
        <f>SUM(F24:F31)</f>
        <v>14</v>
      </c>
      <c r="G32" s="172"/>
      <c r="H32" s="173"/>
      <c r="I32" s="170"/>
      <c r="J32" s="215">
        <f>+'16'!J32</f>
        <v>0</v>
      </c>
      <c r="K32" s="242"/>
      <c r="L32" s="244"/>
      <c r="M32" s="118">
        <f>+K32+'16'!M32+L32</f>
        <v>0</v>
      </c>
      <c r="N32" s="150" t="s">
        <v>590</v>
      </c>
      <c r="O32" s="150">
        <v>1160</v>
      </c>
      <c r="P32" s="150">
        <f>+O32-O32*0.22</f>
        <v>904.8</v>
      </c>
      <c r="Q32" s="150">
        <v>480</v>
      </c>
      <c r="R32" s="150">
        <f>+O32*Q32</f>
        <v>556800</v>
      </c>
      <c r="S32" s="150">
        <f>+P32*Q32</f>
        <v>434304</v>
      </c>
      <c r="T32" s="150" t="s">
        <v>590</v>
      </c>
      <c r="U32" s="150">
        <v>1150</v>
      </c>
      <c r="V32" s="150">
        <v>897</v>
      </c>
      <c r="W32" s="150">
        <v>83</v>
      </c>
      <c r="X32" s="150">
        <f>+U32*W32</f>
        <v>95450</v>
      </c>
      <c r="Y32" s="150">
        <f>+V32*W32</f>
        <v>74451</v>
      </c>
    </row>
    <row r="33" spans="1:25" ht="13.5" thickBot="1">
      <c r="A33" s="174"/>
      <c r="B33" s="175"/>
      <c r="C33" s="104">
        <f>C32/($C$32+$D$32+$E$32)</f>
        <v>1</v>
      </c>
      <c r="D33" s="105">
        <f>D32/($C$32+$D$32+$E$32)</f>
        <v>0</v>
      </c>
      <c r="E33" s="106">
        <f>E32/($C$32+$D$32+$E$32)</f>
        <v>0</v>
      </c>
      <c r="F33" s="107"/>
      <c r="G33" s="176"/>
      <c r="H33" s="177"/>
      <c r="I33" s="178"/>
      <c r="J33" s="122"/>
      <c r="K33" s="123"/>
      <c r="L33" s="214"/>
      <c r="M33" s="120"/>
      <c r="R33" s="150">
        <f>+O33*Q33</f>
        <v>0</v>
      </c>
      <c r="S33" s="150">
        <f>+P33*Q33</f>
        <v>0</v>
      </c>
      <c r="U33" s="150">
        <v>1160</v>
      </c>
      <c r="V33" s="150">
        <v>904.8</v>
      </c>
      <c r="W33" s="150">
        <v>82</v>
      </c>
      <c r="X33" s="150">
        <f>+U33*W33</f>
        <v>95120</v>
      </c>
      <c r="Y33" s="150">
        <f>+V33*W33</f>
        <v>74193.599999999991</v>
      </c>
    </row>
    <row r="34" spans="1:25" ht="13.5" thickBot="1">
      <c r="A34" s="771" t="s">
        <v>70</v>
      </c>
      <c r="B34" s="772"/>
      <c r="C34" s="108">
        <f>C14+C23+C32</f>
        <v>52018</v>
      </c>
      <c r="D34" s="108">
        <f>D14+D23+D32</f>
        <v>0</v>
      </c>
      <c r="E34" s="108">
        <f>E14+E23+E32</f>
        <v>0</v>
      </c>
      <c r="F34" s="109">
        <f>F14+F23+F32</f>
        <v>40</v>
      </c>
      <c r="H34" s="179"/>
      <c r="I34" s="179"/>
      <c r="J34" s="124" t="s">
        <v>29</v>
      </c>
      <c r="K34" s="125">
        <f>SUM(K7:K32)</f>
        <v>52018</v>
      </c>
      <c r="L34" s="213">
        <f>SUM(L7:L32)</f>
        <v>0</v>
      </c>
      <c r="M34" s="121">
        <f>SUM(M7:M32)</f>
        <v>819918</v>
      </c>
      <c r="R34" s="150">
        <f>+O34*Q34</f>
        <v>0</v>
      </c>
      <c r="S34" s="150">
        <f>+P34*Q34</f>
        <v>0</v>
      </c>
      <c r="T34" s="150" t="s">
        <v>590</v>
      </c>
      <c r="U34" s="150">
        <v>1160</v>
      </c>
      <c r="V34" s="150">
        <v>904.8</v>
      </c>
      <c r="W34" s="150">
        <v>480</v>
      </c>
      <c r="X34" s="150">
        <f>+U34*W34</f>
        <v>556800</v>
      </c>
      <c r="Y34" s="150">
        <f>+V34*W34</f>
        <v>434304</v>
      </c>
    </row>
    <row r="35" spans="1:25" ht="13.5" thickBot="1">
      <c r="A35" s="180"/>
      <c r="B35" s="181"/>
      <c r="C35" s="105">
        <f>C34/($C$34+$D$34+$E$34)</f>
        <v>1</v>
      </c>
      <c r="D35" s="105">
        <f>D34/($C$34+$D$34+$E$34)</f>
        <v>0</v>
      </c>
      <c r="E35" s="110">
        <f>E34/($C$34+$D$34+$E$34)</f>
        <v>0</v>
      </c>
      <c r="K35" s="156"/>
      <c r="L35" s="762" t="s">
        <v>187</v>
      </c>
      <c r="M35" s="762"/>
      <c r="T35" s="150" t="s">
        <v>590</v>
      </c>
      <c r="U35" s="150">
        <v>1160</v>
      </c>
      <c r="V35" s="150">
        <v>904.8</v>
      </c>
      <c r="W35" s="150">
        <v>480</v>
      </c>
      <c r="X35" s="150">
        <f>+U35*W35</f>
        <v>556800</v>
      </c>
      <c r="Y35" s="150">
        <f>+V35*W35</f>
        <v>434304</v>
      </c>
    </row>
    <row r="36" spans="1:25" ht="13.5" thickBot="1">
      <c r="A36" s="179"/>
      <c r="B36" s="179"/>
      <c r="C36" s="156"/>
      <c r="D36" s="156"/>
      <c r="E36" s="156"/>
      <c r="G36" s="156"/>
      <c r="H36" s="182"/>
      <c r="I36" s="163" t="s">
        <v>41</v>
      </c>
      <c r="J36" s="163" t="s">
        <v>42</v>
      </c>
      <c r="K36" s="183"/>
      <c r="L36" s="163" t="s">
        <v>41</v>
      </c>
      <c r="M36" s="163" t="s">
        <v>42</v>
      </c>
    </row>
    <row r="37" spans="1:25" ht="17.45" customHeight="1" thickBot="1">
      <c r="A37" s="773" t="s">
        <v>71</v>
      </c>
      <c r="B37" s="774"/>
      <c r="C37" s="163" t="s">
        <v>72</v>
      </c>
      <c r="D37" s="184" t="s">
        <v>73</v>
      </c>
      <c r="E37" s="185" t="s">
        <v>74</v>
      </c>
      <c r="F37" s="361"/>
      <c r="G37" s="363"/>
      <c r="H37" s="187" t="s">
        <v>75</v>
      </c>
      <c r="I37" s="245">
        <f>(16*315+1125*15.5)/1440*G42*2.77*1440/1000000</f>
        <v>56.871142429500004</v>
      </c>
      <c r="J37" s="126">
        <f>+I37+'16'!J37</f>
        <v>886.48746780167914</v>
      </c>
      <c r="K37" s="127" t="s">
        <v>76</v>
      </c>
      <c r="L37" s="421"/>
      <c r="M37" s="422"/>
    </row>
    <row r="38" spans="1:25" ht="17.45" customHeight="1">
      <c r="A38" s="767" t="s">
        <v>13</v>
      </c>
      <c r="B38" s="768"/>
      <c r="C38" s="165">
        <f>SUMIF($G$7:$G$31,"Process",$F$7:$F$31)</f>
        <v>35</v>
      </c>
      <c r="D38" s="119">
        <f>+C38+'16'!D38</f>
        <v>855</v>
      </c>
      <c r="E38" s="144">
        <f t="shared" ref="E38:E51" si="0">D38/60</f>
        <v>14.25</v>
      </c>
      <c r="F38" s="361">
        <v>1145.1458333333333</v>
      </c>
      <c r="G38" s="361">
        <v>930.62</v>
      </c>
      <c r="H38" s="188" t="s">
        <v>77</v>
      </c>
      <c r="I38" s="543">
        <f>13.459+5.623+15.458+19.297</f>
        <v>53.837000000000003</v>
      </c>
      <c r="J38" s="128">
        <f>+I38+'16'!J38</f>
        <v>844.49099999999999</v>
      </c>
      <c r="K38" s="129" t="s">
        <v>76</v>
      </c>
      <c r="L38" s="423"/>
      <c r="M38" s="424"/>
    </row>
    <row r="39" spans="1:25" ht="17.45" customHeight="1">
      <c r="A39" s="763" t="s">
        <v>14</v>
      </c>
      <c r="B39" s="764"/>
      <c r="C39" s="165">
        <f>SUMIF($G$7:$G$31,"Cleaning",$F$7:$F$31)</f>
        <v>5</v>
      </c>
      <c r="D39" s="119">
        <f>+C39+'16'!D39</f>
        <v>203</v>
      </c>
      <c r="E39" s="144">
        <f t="shared" si="0"/>
        <v>3.3833333333333333</v>
      </c>
      <c r="F39" s="361">
        <v>1160</v>
      </c>
      <c r="G39" s="361">
        <v>904.8</v>
      </c>
      <c r="H39" s="188" t="s">
        <v>78</v>
      </c>
      <c r="I39" s="143"/>
      <c r="J39" s="130">
        <f>J37/G4</f>
        <v>52.146321635392894</v>
      </c>
      <c r="K39" s="131" t="s">
        <v>76</v>
      </c>
      <c r="L39" s="423"/>
      <c r="M39" s="424"/>
    </row>
    <row r="40" spans="1:25" ht="17.45" customHeight="1">
      <c r="A40" s="763" t="s">
        <v>79</v>
      </c>
      <c r="B40" s="764"/>
      <c r="C40" s="165">
        <f>SUMIF($G$7:$G$31,"Mechanical",$F$7:$F$31)</f>
        <v>0</v>
      </c>
      <c r="D40" s="119">
        <f>+C40+'16'!D40</f>
        <v>0</v>
      </c>
      <c r="E40" s="144">
        <f t="shared" si="0"/>
        <v>0</v>
      </c>
      <c r="F40" s="361">
        <v>1160</v>
      </c>
      <c r="G40" s="361">
        <v>904.8</v>
      </c>
      <c r="H40" s="188" t="s">
        <v>80</v>
      </c>
      <c r="I40" s="119">
        <f>(K34+L34)/1000</f>
        <v>52.018000000000001</v>
      </c>
      <c r="J40" s="132">
        <f>+I40+'16'!J40</f>
        <v>819.91800000000001</v>
      </c>
      <c r="K40" s="131" t="s">
        <v>76</v>
      </c>
      <c r="L40" s="423"/>
      <c r="M40" s="424"/>
    </row>
    <row r="41" spans="1:25" ht="17.45" customHeight="1">
      <c r="A41" s="763" t="s">
        <v>81</v>
      </c>
      <c r="B41" s="764"/>
      <c r="C41" s="165">
        <f>SUMIF($G$7:$G$31,"Electrical",$F$7:$F$31)</f>
        <v>0</v>
      </c>
      <c r="D41" s="119">
        <f>+C41+'16'!D41</f>
        <v>170</v>
      </c>
      <c r="E41" s="144">
        <f t="shared" si="0"/>
        <v>2.8333333333333335</v>
      </c>
      <c r="F41" s="361"/>
      <c r="G41" s="361"/>
      <c r="H41" s="188" t="s">
        <v>82</v>
      </c>
      <c r="I41" s="143"/>
      <c r="J41" s="130">
        <f>J40/G4</f>
        <v>48.230470588235292</v>
      </c>
      <c r="K41" s="131" t="s">
        <v>76</v>
      </c>
      <c r="L41" s="423"/>
      <c r="M41" s="424"/>
    </row>
    <row r="42" spans="1:25" ht="17.45" customHeight="1">
      <c r="A42" s="763" t="s">
        <v>17</v>
      </c>
      <c r="B42" s="764"/>
      <c r="C42" s="165">
        <f>SUMIF($G$7:$G$31,"Instrument",$F$7:$F$31)</f>
        <v>0</v>
      </c>
      <c r="D42" s="119">
        <f>+C42+'16'!D42</f>
        <v>0</v>
      </c>
      <c r="E42" s="144">
        <f t="shared" si="0"/>
        <v>0</v>
      </c>
      <c r="F42" s="361">
        <f>+(F38*480+F39*480+F40*480)/1440</f>
        <v>1155.0486111111111</v>
      </c>
      <c r="G42" s="361">
        <f>+(G38*480+G39*480+G40*480)/1440</f>
        <v>913.40666666666675</v>
      </c>
      <c r="H42" s="188" t="s">
        <v>83</v>
      </c>
      <c r="I42" s="247" t="s">
        <v>614</v>
      </c>
      <c r="J42" s="133"/>
      <c r="K42" s="131" t="s">
        <v>84</v>
      </c>
      <c r="L42" s="423"/>
      <c r="M42" s="424"/>
      <c r="Q42" s="150">
        <f>SUM(Q32:Q40)</f>
        <v>480</v>
      </c>
      <c r="R42" s="150">
        <f>SUM(R32:R40)</f>
        <v>556800</v>
      </c>
      <c r="S42" s="150">
        <f>SUM(S32:S40)</f>
        <v>434304</v>
      </c>
      <c r="W42" s="150">
        <f>SUM(W32:W40)</f>
        <v>1125</v>
      </c>
      <c r="X42" s="150">
        <f>SUM(X32:X40)</f>
        <v>1304170</v>
      </c>
      <c r="Y42" s="150">
        <f>SUM(Y32:Y40)</f>
        <v>1017252.6</v>
      </c>
    </row>
    <row r="43" spans="1:25" ht="17.45" customHeight="1">
      <c r="A43" s="763" t="s">
        <v>85</v>
      </c>
      <c r="B43" s="764"/>
      <c r="C43" s="165">
        <f>SUMIF($G$7:$G$31,"Water",$F$7:$F$31)</f>
        <v>0</v>
      </c>
      <c r="D43" s="119">
        <f>+C43+'16'!D43</f>
        <v>0</v>
      </c>
      <c r="E43" s="144">
        <f t="shared" si="0"/>
        <v>0</v>
      </c>
      <c r="F43" s="361"/>
      <c r="G43" s="362"/>
      <c r="H43" s="189" t="s">
        <v>86</v>
      </c>
      <c r="I43" s="119">
        <f>+Report1!AH25</f>
        <v>70.400000000000006</v>
      </c>
      <c r="J43" s="134">
        <f>+I43+'16'!J43</f>
        <v>1133.4000000000001</v>
      </c>
      <c r="K43" s="131" t="s">
        <v>76</v>
      </c>
      <c r="L43" s="425">
        <f>+Report1!AN25</f>
        <v>11.6</v>
      </c>
      <c r="M43" s="426">
        <f>+L43+'16'!M43</f>
        <v>169</v>
      </c>
      <c r="Q43" s="150">
        <f>480-Q42</f>
        <v>0</v>
      </c>
      <c r="R43" s="150">
        <f>+R42/Q42</f>
        <v>1160</v>
      </c>
      <c r="S43" s="150">
        <f>+S42/Q42</f>
        <v>904.8</v>
      </c>
      <c r="W43" s="150">
        <f>480-W42</f>
        <v>-645</v>
      </c>
      <c r="X43" s="150">
        <f>+X42/W42</f>
        <v>1159.2622222222221</v>
      </c>
      <c r="Y43" s="150">
        <f>+Y42/W42</f>
        <v>904.22453333333328</v>
      </c>
    </row>
    <row r="44" spans="1:25" ht="17.45" customHeight="1">
      <c r="A44" s="763" t="s">
        <v>18</v>
      </c>
      <c r="B44" s="764"/>
      <c r="C44" s="165">
        <f>SUMIF($G$7:$G$31,"PLN",$F$7:$F$31)</f>
        <v>0</v>
      </c>
      <c r="D44" s="119">
        <f>+C44+'16'!D44</f>
        <v>0</v>
      </c>
      <c r="E44" s="144">
        <f t="shared" si="0"/>
        <v>0</v>
      </c>
      <c r="F44" s="361"/>
      <c r="G44" s="362"/>
      <c r="H44" s="189" t="s">
        <v>87</v>
      </c>
      <c r="I44" s="119">
        <f>I43/I38</f>
        <v>1.3076508720768245</v>
      </c>
      <c r="J44" s="135">
        <f>J43/J38</f>
        <v>1.3421102178708832</v>
      </c>
      <c r="K44" s="131" t="s">
        <v>76</v>
      </c>
      <c r="L44" s="427">
        <f>+L43/I38</f>
        <v>0.21546520051265855</v>
      </c>
      <c r="M44" s="428">
        <f>+M43/J38</f>
        <v>0.20012054598568843</v>
      </c>
      <c r="N44" s="156" t="s">
        <v>604</v>
      </c>
      <c r="O44" s="150">
        <v>1140</v>
      </c>
      <c r="P44" s="150">
        <v>946.2</v>
      </c>
      <c r="Q44" s="150">
        <v>315</v>
      </c>
    </row>
    <row r="45" spans="1:25" ht="17.45" customHeight="1">
      <c r="A45" s="763" t="s">
        <v>19</v>
      </c>
      <c r="B45" s="764"/>
      <c r="C45" s="165">
        <f>SUMIF($G$7:$G$31,"Boiler",$F$7:$F$31)</f>
        <v>0</v>
      </c>
      <c r="D45" s="119">
        <f>+C45+'16'!D45</f>
        <v>0</v>
      </c>
      <c r="E45" s="144">
        <f t="shared" si="0"/>
        <v>0</v>
      </c>
      <c r="F45" s="361"/>
      <c r="G45" s="364"/>
      <c r="H45" s="189" t="s">
        <v>88</v>
      </c>
      <c r="I45" s="119">
        <f>I43/I40</f>
        <v>1.3533776769579762</v>
      </c>
      <c r="J45" s="135">
        <f>J43/J40</f>
        <v>1.3823333552867483</v>
      </c>
      <c r="K45" s="131" t="s">
        <v>76</v>
      </c>
      <c r="L45" s="427">
        <f>+L43/I40</f>
        <v>0.22299973086239377</v>
      </c>
      <c r="M45" s="428">
        <f>+M43/J40</f>
        <v>0.20611817279288905</v>
      </c>
      <c r="N45" s="156" t="s">
        <v>590</v>
      </c>
      <c r="O45" s="150">
        <v>1159.2622222222221</v>
      </c>
      <c r="P45" s="150">
        <v>904.22453333333328</v>
      </c>
      <c r="Q45" s="150">
        <v>1125</v>
      </c>
    </row>
    <row r="46" spans="1:25" ht="17.45" customHeight="1">
      <c r="A46" s="763" t="s">
        <v>89</v>
      </c>
      <c r="B46" s="764"/>
      <c r="C46" s="165">
        <f>SUMIF($G$7:$G$31,"Gas",$F$7:$F$31)</f>
        <v>0</v>
      </c>
      <c r="D46" s="119">
        <f>+C46+'16'!D46</f>
        <v>0</v>
      </c>
      <c r="E46" s="144">
        <f t="shared" si="0"/>
        <v>0</v>
      </c>
      <c r="F46" s="361"/>
      <c r="G46" s="362"/>
      <c r="H46" s="189" t="s">
        <v>90</v>
      </c>
      <c r="I46" s="141">
        <f>+SUMIF(Listrik!P24,"&gt;0")</f>
        <v>41140.059999999903</v>
      </c>
      <c r="J46" s="136">
        <f>+I46+'16'!J46</f>
        <v>672141.7</v>
      </c>
      <c r="K46" s="131" t="s">
        <v>91</v>
      </c>
      <c r="L46" s="427">
        <f>+Listrik!AF24</f>
        <v>0</v>
      </c>
      <c r="M46" s="429">
        <f>+L46+'16'!M46</f>
        <v>0</v>
      </c>
      <c r="N46" s="156"/>
      <c r="Q46" s="150">
        <f>+Q44+Q45</f>
        <v>1440</v>
      </c>
    </row>
    <row r="47" spans="1:25" ht="17.45" customHeight="1">
      <c r="A47" s="763" t="s">
        <v>92</v>
      </c>
      <c r="B47" s="764"/>
      <c r="C47" s="165">
        <f>SUMIF($G$7:$G$31,"Gas",$F$7:$F$31)</f>
        <v>0</v>
      </c>
      <c r="D47" s="119">
        <f>+C47+'16'!D47</f>
        <v>0</v>
      </c>
      <c r="E47" s="144">
        <f t="shared" si="0"/>
        <v>0</v>
      </c>
      <c r="F47" s="361"/>
      <c r="G47" s="362"/>
      <c r="H47" s="189" t="s">
        <v>93</v>
      </c>
      <c r="I47" s="119">
        <f>I46/I38</f>
        <v>764.15959284506755</v>
      </c>
      <c r="J47" s="136">
        <f>J46/J38</f>
        <v>795.91339635354313</v>
      </c>
      <c r="K47" s="131" t="s">
        <v>25</v>
      </c>
      <c r="L47" s="427">
        <f>+L46/I38</f>
        <v>0</v>
      </c>
      <c r="M47" s="428">
        <f>+M46/J38</f>
        <v>0</v>
      </c>
    </row>
    <row r="48" spans="1:25" ht="17.45" customHeight="1">
      <c r="A48" s="763" t="s">
        <v>15</v>
      </c>
      <c r="B48" s="764"/>
      <c r="C48" s="165">
        <f>SUMIF($G$7:$G$31,"Start Up",$F$7:$F$31)</f>
        <v>0</v>
      </c>
      <c r="D48" s="119">
        <f>+C48+'16'!D48</f>
        <v>0</v>
      </c>
      <c r="E48" s="144">
        <f t="shared" si="0"/>
        <v>0</v>
      </c>
      <c r="F48" s="361"/>
      <c r="G48" s="362"/>
      <c r="H48" s="189" t="s">
        <v>94</v>
      </c>
      <c r="I48" s="119">
        <f>I46/I40</f>
        <v>790.88123341919913</v>
      </c>
      <c r="J48" s="136">
        <f>J46/J40</f>
        <v>819.76697669766975</v>
      </c>
      <c r="K48" s="131" t="s">
        <v>25</v>
      </c>
      <c r="L48" s="427">
        <f>+L46/I38</f>
        <v>0</v>
      </c>
      <c r="M48" s="428">
        <f>+M46/J40</f>
        <v>0</v>
      </c>
    </row>
    <row r="49" spans="1:13" ht="17.45" customHeight="1">
      <c r="A49" s="763" t="s">
        <v>21</v>
      </c>
      <c r="B49" s="764"/>
      <c r="C49" s="165">
        <f>SUMIF($G$7:$G$31,"Others",$F$7:$F$31)</f>
        <v>0</v>
      </c>
      <c r="D49" s="119">
        <f>+C49+'16'!D49</f>
        <v>0</v>
      </c>
      <c r="E49" s="144">
        <f t="shared" si="0"/>
        <v>0</v>
      </c>
      <c r="F49" s="186"/>
      <c r="H49" s="189" t="s">
        <v>95</v>
      </c>
      <c r="I49" s="119">
        <f>+Report1!AB25</f>
        <v>4932.4204334457299</v>
      </c>
      <c r="J49" s="136">
        <f>+I49+'16'!J49</f>
        <v>82761.146587566996</v>
      </c>
      <c r="K49" s="131" t="s">
        <v>96</v>
      </c>
      <c r="L49" s="423"/>
      <c r="M49" s="424"/>
    </row>
    <row r="50" spans="1:13" ht="17.45" customHeight="1">
      <c r="A50" s="763" t="s">
        <v>20</v>
      </c>
      <c r="B50" s="764"/>
      <c r="C50" s="165">
        <f>SUMIF($G$7:$G$31,"Steam",$F$7:$F$31)</f>
        <v>0</v>
      </c>
      <c r="D50" s="119">
        <f>+C50+'16'!D50</f>
        <v>0</v>
      </c>
      <c r="E50" s="144">
        <f t="shared" si="0"/>
        <v>0</v>
      </c>
      <c r="F50" s="186"/>
      <c r="H50" s="189" t="s">
        <v>97</v>
      </c>
      <c r="I50" s="141">
        <f>I49/I38</f>
        <v>91.61766876768263</v>
      </c>
      <c r="J50" s="134">
        <f>J49/J38</f>
        <v>98.001217997073979</v>
      </c>
      <c r="K50" s="131" t="s">
        <v>96</v>
      </c>
      <c r="L50" s="423"/>
      <c r="M50" s="424"/>
    </row>
    <row r="51" spans="1:13" ht="17.45" customHeight="1" thickBot="1">
      <c r="A51" s="765" t="s">
        <v>98</v>
      </c>
      <c r="B51" s="766"/>
      <c r="C51" s="165">
        <f>SUMIF($G$7:$G$31,"Planned shut",$F$7:$F$31)</f>
        <v>0</v>
      </c>
      <c r="D51" s="119">
        <f>+C51+'16'!D51</f>
        <v>609</v>
      </c>
      <c r="E51" s="144">
        <f t="shared" si="0"/>
        <v>10.15</v>
      </c>
      <c r="F51" s="186"/>
      <c r="H51" s="191" t="s">
        <v>99</v>
      </c>
      <c r="I51" s="142">
        <f>I49/I40</f>
        <v>94.82141630677323</v>
      </c>
      <c r="J51" s="137">
        <f>J49/J40</f>
        <v>100.9383213779512</v>
      </c>
      <c r="K51" s="138" t="s">
        <v>96</v>
      </c>
      <c r="L51" s="423"/>
      <c r="M51" s="424"/>
    </row>
    <row r="52" spans="1:13" ht="13.5" thickBot="1">
      <c r="A52" s="767" t="s">
        <v>29</v>
      </c>
      <c r="B52" s="768"/>
      <c r="C52" s="145">
        <f>SUM(C38:C51)</f>
        <v>40</v>
      </c>
      <c r="D52" s="145">
        <f>SUM(D38:D51)</f>
        <v>1837</v>
      </c>
      <c r="E52" s="146">
        <f>SUM(E38:E51)</f>
        <v>30.616666666666667</v>
      </c>
      <c r="F52" s="186"/>
      <c r="H52" s="192"/>
      <c r="I52" s="193"/>
      <c r="J52" s="139"/>
      <c r="K52" s="140"/>
      <c r="L52" s="430"/>
      <c r="M52" s="431"/>
    </row>
    <row r="53" spans="1:13" ht="13.5" thickBot="1">
      <c r="A53" s="769"/>
      <c r="B53" s="770"/>
      <c r="C53" s="147">
        <f>C52/(24*60)</f>
        <v>2.7777777777777776E-2</v>
      </c>
      <c r="D53" s="147">
        <f>D52/(24*60*G4)</f>
        <v>7.5040849673202611E-2</v>
      </c>
      <c r="E53" s="148">
        <f>E52/(G4*24)</f>
        <v>7.5040849673202611E-2</v>
      </c>
      <c r="F53" s="186"/>
    </row>
    <row r="54" spans="1:13">
      <c r="E54" s="194"/>
      <c r="F54" s="186"/>
    </row>
    <row r="55" spans="1:13">
      <c r="E55" s="194"/>
    </row>
    <row r="56" spans="1:13">
      <c r="A56" s="195" t="s">
        <v>100</v>
      </c>
      <c r="B56" s="196"/>
      <c r="C56" s="197"/>
      <c r="D56" s="197"/>
      <c r="E56" s="197"/>
      <c r="F56" s="198"/>
      <c r="G56" s="197"/>
      <c r="H56" s="199"/>
      <c r="I56" s="200" t="s">
        <v>101</v>
      </c>
      <c r="J56" s="201">
        <f>+D34+'16'!J56</f>
        <v>3147</v>
      </c>
      <c r="K56" s="202">
        <f>J56/(J40+J56/1000)/1000</f>
        <v>3.8235133312678827E-3</v>
      </c>
    </row>
    <row r="57" spans="1:13">
      <c r="A57" s="177"/>
      <c r="I57" s="200" t="s">
        <v>102</v>
      </c>
      <c r="J57" s="201">
        <f>+E34+'16'!J57</f>
        <v>0</v>
      </c>
      <c r="K57" s="202">
        <f>J57/(J40+J57/1000)/1000</f>
        <v>0</v>
      </c>
    </row>
    <row r="58" spans="1:13">
      <c r="A58" s="203"/>
      <c r="B58" s="204"/>
      <c r="F58" s="186"/>
      <c r="H58" s="205"/>
    </row>
    <row r="59" spans="1:13">
      <c r="A59" s="206"/>
      <c r="B59" s="177"/>
      <c r="C59" s="177"/>
      <c r="D59" s="177"/>
      <c r="E59" s="177"/>
      <c r="F59" s="190"/>
      <c r="G59" s="177"/>
      <c r="H59" s="205"/>
      <c r="J59" s="156"/>
    </row>
    <row r="60" spans="1:13">
      <c r="H60" s="205"/>
    </row>
    <row r="61" spans="1:13">
      <c r="A61" s="207"/>
      <c r="B61" s="208"/>
      <c r="C61" s="208"/>
      <c r="D61" s="208"/>
      <c r="E61" s="208"/>
      <c r="F61" s="209"/>
      <c r="G61" s="208"/>
      <c r="H61" s="210"/>
    </row>
  </sheetData>
  <mergeCells count="25">
    <mergeCell ref="A7:A14"/>
    <mergeCell ref="I7:I13"/>
    <mergeCell ref="A15:A23"/>
    <mergeCell ref="I15:I22"/>
    <mergeCell ref="A34:B34"/>
    <mergeCell ref="I24:I31"/>
    <mergeCell ref="A24:A32"/>
    <mergeCell ref="A39:B39"/>
    <mergeCell ref="A40:B40"/>
    <mergeCell ref="A41:B41"/>
    <mergeCell ref="A37:B37"/>
    <mergeCell ref="L35:M35"/>
    <mergeCell ref="A38:B38"/>
    <mergeCell ref="A52:B52"/>
    <mergeCell ref="A53:B53"/>
    <mergeCell ref="A47:B47"/>
    <mergeCell ref="A48:B48"/>
    <mergeCell ref="A49:B49"/>
    <mergeCell ref="A50:B50"/>
    <mergeCell ref="A51:B51"/>
    <mergeCell ref="A42:B42"/>
    <mergeCell ref="A43:B43"/>
    <mergeCell ref="A44:B44"/>
    <mergeCell ref="A45:B45"/>
    <mergeCell ref="A46:B46"/>
  </mergeCells>
  <phoneticPr fontId="30"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S61"/>
  <sheetViews>
    <sheetView view="pageBreakPreview" zoomScale="80" zoomScaleNormal="80" zoomScaleSheetLayoutView="80" workbookViewId="0">
      <selection activeCell="H34" sqref="H3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42578125" style="150" customWidth="1"/>
    <col min="11" max="11" width="12.5703125" style="150" bestFit="1" customWidth="1"/>
    <col min="12" max="12" width="8.28515625" style="150" customWidth="1"/>
    <col min="13" max="13" width="12.140625" style="150" customWidth="1"/>
    <col min="14" max="14" width="12.28515625" style="150" bestFit="1" customWidth="1"/>
    <col min="15" max="16384" width="9.140625" style="150"/>
  </cols>
  <sheetData>
    <row r="1" spans="1:19" ht="15.75">
      <c r="A1" s="149"/>
    </row>
    <row r="2" spans="1:19" ht="15.75">
      <c r="A2" s="149" t="s">
        <v>185</v>
      </c>
    </row>
    <row r="3" spans="1:19" ht="15">
      <c r="A3" s="151"/>
    </row>
    <row r="4" spans="1:19" ht="20.25">
      <c r="A4" s="152" t="s">
        <v>5</v>
      </c>
      <c r="B4" s="153"/>
      <c r="F4" s="154" t="s">
        <v>30</v>
      </c>
      <c r="G4" s="155">
        <v>16</v>
      </c>
      <c r="H4" s="155" t="str">
        <f>+'1'!H4</f>
        <v>.11.25</v>
      </c>
      <c r="J4" s="150">
        <f>691.6+734.4+775.5</f>
        <v>2201.5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590</v>
      </c>
      <c r="O6" s="150">
        <v>1170</v>
      </c>
      <c r="P6" s="150">
        <f>+O6-O6*0.23</f>
        <v>900.9</v>
      </c>
      <c r="Q6" s="150">
        <v>480</v>
      </c>
      <c r="R6" s="150">
        <f>+O6*Q6</f>
        <v>561600</v>
      </c>
      <c r="S6" s="150">
        <f>+P6*Q6</f>
        <v>432432</v>
      </c>
    </row>
    <row r="7" spans="1:19" ht="13.5" customHeight="1" thickBot="1">
      <c r="A7" s="775" t="s">
        <v>446</v>
      </c>
      <c r="B7" s="216" t="s">
        <v>595</v>
      </c>
      <c r="C7" s="217">
        <v>17799</v>
      </c>
      <c r="D7" s="218"/>
      <c r="E7" s="219"/>
      <c r="F7" s="229"/>
      <c r="G7" s="230" t="s">
        <v>13</v>
      </c>
      <c r="H7" s="231" t="s">
        <v>390</v>
      </c>
      <c r="I7" s="778" t="s">
        <v>602</v>
      </c>
      <c r="J7" s="215" t="str">
        <f>+'15'!J7</f>
        <v>T 13,5 RC HW</v>
      </c>
      <c r="K7" s="239"/>
      <c r="L7" s="243"/>
      <c r="M7" s="118">
        <f>+K7+'15'!M7+L7</f>
        <v>263166</v>
      </c>
      <c r="O7" s="150">
        <v>1170</v>
      </c>
      <c r="P7" s="150">
        <f>+O7-O7*0.23</f>
        <v>900.9</v>
      </c>
      <c r="Q7" s="150">
        <v>480</v>
      </c>
      <c r="R7" s="150">
        <f>+O7*Q7</f>
        <v>561600</v>
      </c>
      <c r="S7" s="150">
        <f>+P7*Q7</f>
        <v>432432</v>
      </c>
    </row>
    <row r="8" spans="1:19" ht="13.5" thickBot="1">
      <c r="A8" s="784"/>
      <c r="B8" s="216"/>
      <c r="C8" s="217"/>
      <c r="D8" s="218"/>
      <c r="E8" s="220"/>
      <c r="F8" s="232">
        <v>3</v>
      </c>
      <c r="G8" s="579" t="s">
        <v>13</v>
      </c>
      <c r="H8" s="231" t="s">
        <v>429</v>
      </c>
      <c r="I8" s="779"/>
      <c r="J8" s="215" t="str">
        <f>+'15'!J8</f>
        <v>T 14 RC HW</v>
      </c>
      <c r="K8" s="240"/>
      <c r="L8" s="240"/>
      <c r="M8" s="118">
        <f>+K8+'15'!M8+L8</f>
        <v>97781</v>
      </c>
      <c r="O8" s="150">
        <v>1170</v>
      </c>
      <c r="P8" s="150">
        <f>+O8-O8*0.23</f>
        <v>900.9</v>
      </c>
      <c r="Q8" s="150">
        <f>60*7</f>
        <v>420</v>
      </c>
      <c r="R8" s="150">
        <f>+O8*Q8</f>
        <v>491400</v>
      </c>
      <c r="S8" s="150">
        <f>+P8*Q8</f>
        <v>378378</v>
      </c>
    </row>
    <row r="9" spans="1:19" ht="13.5" thickBot="1">
      <c r="A9" s="784"/>
      <c r="B9" s="216"/>
      <c r="C9" s="217"/>
      <c r="D9" s="218"/>
      <c r="E9" s="221"/>
      <c r="F9" s="229">
        <v>7</v>
      </c>
      <c r="G9" s="579" t="s">
        <v>13</v>
      </c>
      <c r="H9" s="234" t="s">
        <v>427</v>
      </c>
      <c r="I9" s="779"/>
      <c r="J9" s="215" t="str">
        <f>+'15'!J9</f>
        <v>T 15 RC HW</v>
      </c>
      <c r="K9" s="240"/>
      <c r="L9" s="240"/>
      <c r="M9" s="118">
        <f>+K9+'15'!M9+L9</f>
        <v>34238</v>
      </c>
    </row>
    <row r="10" spans="1:19" ht="26.25" thickBot="1">
      <c r="A10" s="784"/>
      <c r="B10" s="216"/>
      <c r="C10" s="217"/>
      <c r="D10" s="218"/>
      <c r="E10" s="220"/>
      <c r="F10" s="229"/>
      <c r="G10" s="238" t="s">
        <v>14</v>
      </c>
      <c r="H10" s="234" t="s">
        <v>599</v>
      </c>
      <c r="I10" s="779"/>
      <c r="J10" s="215" t="str">
        <f>+'15'!J10</f>
        <v>TW 29 RC HW</v>
      </c>
      <c r="K10" s="240"/>
      <c r="L10" s="240"/>
      <c r="M10" s="118">
        <f>+K10+'15'!M10+L10</f>
        <v>21998</v>
      </c>
    </row>
    <row r="11" spans="1:19" ht="13.5" thickBot="1">
      <c r="A11" s="784"/>
      <c r="B11" s="216"/>
      <c r="C11" s="217"/>
      <c r="D11" s="218"/>
      <c r="E11" s="220"/>
      <c r="F11" s="229"/>
      <c r="G11" s="233"/>
      <c r="H11" s="234"/>
      <c r="I11" s="779"/>
      <c r="J11" s="215" t="str">
        <f>+'15'!J11</f>
        <v>TW 20 RC HW</v>
      </c>
      <c r="K11" s="240"/>
      <c r="L11" s="240"/>
      <c r="M11" s="118">
        <f>+K11+'15'!M11+L11</f>
        <v>104164</v>
      </c>
    </row>
    <row r="12" spans="1:19" ht="13.5" thickBot="1">
      <c r="A12" s="784"/>
      <c r="B12" s="216"/>
      <c r="C12" s="217"/>
      <c r="D12" s="218"/>
      <c r="E12" s="220"/>
      <c r="F12" s="229"/>
      <c r="G12" s="233"/>
      <c r="H12" s="234"/>
      <c r="I12" s="779"/>
      <c r="J12" s="215" t="str">
        <f>+'15'!J12</f>
        <v>TW 19 RC HW</v>
      </c>
      <c r="K12" s="240"/>
      <c r="L12" s="240"/>
      <c r="M12" s="118">
        <f>+K12+'15'!M12+L12</f>
        <v>18863</v>
      </c>
    </row>
    <row r="13" spans="1:19" ht="13.5" thickBot="1">
      <c r="A13" s="784"/>
      <c r="B13" s="216"/>
      <c r="C13" s="217"/>
      <c r="D13" s="217"/>
      <c r="E13" s="220"/>
      <c r="F13" s="229"/>
      <c r="G13" s="233"/>
      <c r="H13" s="234"/>
      <c r="I13" s="780"/>
      <c r="J13" s="215" t="str">
        <f>+'15'!J13</f>
        <v>TW 17 RC HW</v>
      </c>
      <c r="K13" s="240"/>
      <c r="L13" s="240"/>
      <c r="M13" s="118">
        <f>+K13+'15'!M13+L13</f>
        <v>67816</v>
      </c>
    </row>
    <row r="14" spans="1:19" ht="13.5" thickBot="1">
      <c r="A14" s="785"/>
      <c r="B14" s="166" t="s">
        <v>3</v>
      </c>
      <c r="C14" s="100">
        <f>SUM(C7:C13)</f>
        <v>17799</v>
      </c>
      <c r="D14" s="112">
        <f>SUM(D7:D13)</f>
        <v>0</v>
      </c>
      <c r="E14" s="113">
        <f>SUM(E5:E13)</f>
        <v>0</v>
      </c>
      <c r="F14" s="103">
        <f>SUM(F6:F13)</f>
        <v>10</v>
      </c>
      <c r="G14" s="160"/>
      <c r="H14" s="167"/>
      <c r="I14" s="168"/>
      <c r="J14" s="215" t="str">
        <f>+'15'!J14</f>
        <v>F 14 RC HW</v>
      </c>
      <c r="K14" s="240"/>
      <c r="L14" s="240"/>
      <c r="M14" s="118">
        <f>+K14+'15'!M14+L14</f>
        <v>10232</v>
      </c>
    </row>
    <row r="15" spans="1:19" ht="13.5" customHeight="1" thickBot="1">
      <c r="A15" s="775" t="s">
        <v>460</v>
      </c>
      <c r="B15" s="166"/>
      <c r="C15" s="114">
        <f>C14/($C$23+$D$23+$E$23)</f>
        <v>1.0530706425275116</v>
      </c>
      <c r="D15" s="115">
        <f>D14/($C$23+$D$23+$E$23)</f>
        <v>0</v>
      </c>
      <c r="E15" s="116">
        <f>E14/($C$23+$D$23+$E$23)</f>
        <v>0</v>
      </c>
      <c r="F15" s="229"/>
      <c r="G15" s="230" t="s">
        <v>13</v>
      </c>
      <c r="H15" s="231" t="s">
        <v>390</v>
      </c>
      <c r="I15" s="778" t="s">
        <v>602</v>
      </c>
      <c r="J15" s="215" t="str">
        <f>+'15'!J15</f>
        <v>T 16,5 RC HW</v>
      </c>
      <c r="K15" s="240"/>
      <c r="L15" s="240"/>
      <c r="M15" s="118">
        <f>+K15+'15'!M15+L15</f>
        <v>10954</v>
      </c>
    </row>
    <row r="16" spans="1:19" ht="13.5" thickBot="1">
      <c r="A16" s="784"/>
      <c r="B16" s="216" t="s">
        <v>595</v>
      </c>
      <c r="C16" s="223">
        <v>16902</v>
      </c>
      <c r="D16" s="224"/>
      <c r="E16" s="225"/>
      <c r="F16" s="232">
        <v>3</v>
      </c>
      <c r="G16" s="579" t="s">
        <v>13</v>
      </c>
      <c r="H16" s="231" t="s">
        <v>429</v>
      </c>
      <c r="I16" s="779"/>
      <c r="J16" s="215" t="str">
        <f>+'15'!J16</f>
        <v>T 15,5 RC HW</v>
      </c>
      <c r="K16" s="240">
        <f>+C34</f>
        <v>52407</v>
      </c>
      <c r="L16" s="240"/>
      <c r="M16" s="118">
        <f>+K16+'15'!M16+L16</f>
        <v>138688</v>
      </c>
      <c r="Q16" s="150">
        <f>SUM(Q6:Q14)</f>
        <v>1380</v>
      </c>
      <c r="R16" s="150">
        <f>SUM(R6:R14)</f>
        <v>1614600</v>
      </c>
      <c r="S16" s="150">
        <f>SUM(S6:S14)</f>
        <v>1243242</v>
      </c>
    </row>
    <row r="17" spans="1:19" ht="13.5" thickBot="1">
      <c r="A17" s="784"/>
      <c r="B17" s="216"/>
      <c r="C17" s="217"/>
      <c r="D17" s="218"/>
      <c r="E17" s="226"/>
      <c r="F17" s="229">
        <v>9</v>
      </c>
      <c r="G17" s="579" t="s">
        <v>13</v>
      </c>
      <c r="H17" s="234" t="s">
        <v>427</v>
      </c>
      <c r="I17" s="779"/>
      <c r="J17" s="215">
        <f>+'15'!J17</f>
        <v>0</v>
      </c>
      <c r="K17" s="240"/>
      <c r="L17" s="240"/>
      <c r="M17" s="118">
        <f>+K17+'15'!M17+L17</f>
        <v>0</v>
      </c>
      <c r="Q17" s="150">
        <f>480-Q16</f>
        <v>-900</v>
      </c>
      <c r="R17" s="150">
        <f>+R16/Q16</f>
        <v>1170</v>
      </c>
      <c r="S17" s="150">
        <f>+S16/Q16</f>
        <v>900.9</v>
      </c>
    </row>
    <row r="18" spans="1:19" ht="26.25" thickBot="1">
      <c r="A18" s="784"/>
      <c r="B18" s="216"/>
      <c r="C18" s="217"/>
      <c r="D18" s="218"/>
      <c r="E18" s="226"/>
      <c r="F18" s="229">
        <v>8</v>
      </c>
      <c r="G18" s="238" t="s">
        <v>14</v>
      </c>
      <c r="H18" s="234" t="s">
        <v>600</v>
      </c>
      <c r="I18" s="779"/>
      <c r="J18" s="215">
        <f>+'15'!J18</f>
        <v>0</v>
      </c>
      <c r="K18" s="240"/>
      <c r="L18" s="240"/>
      <c r="M18" s="118">
        <f>+K18+'15'!M18+L18</f>
        <v>0</v>
      </c>
    </row>
    <row r="19" spans="1:19" ht="13.5" thickBot="1">
      <c r="A19" s="784"/>
      <c r="B19" s="216"/>
      <c r="C19" s="217"/>
      <c r="D19" s="218"/>
      <c r="E19" s="226"/>
      <c r="F19" s="236"/>
      <c r="G19" s="233"/>
      <c r="H19" s="234"/>
      <c r="I19" s="779"/>
      <c r="J19" s="215">
        <f>+'15'!J19</f>
        <v>0</v>
      </c>
      <c r="K19" s="240"/>
      <c r="L19" s="240"/>
      <c r="M19" s="118">
        <f>+K19+'15'!M19+L19</f>
        <v>0</v>
      </c>
    </row>
    <row r="20" spans="1:19" ht="13.5" thickBot="1">
      <c r="A20" s="784"/>
      <c r="B20" s="216"/>
      <c r="C20" s="217"/>
      <c r="D20" s="218"/>
      <c r="E20" s="226"/>
      <c r="F20" s="229"/>
      <c r="G20" s="233"/>
      <c r="H20" s="234"/>
      <c r="I20" s="779"/>
      <c r="J20" s="215">
        <f>+'15'!J20</f>
        <v>0</v>
      </c>
      <c r="K20" s="240"/>
      <c r="L20" s="240"/>
      <c r="M20" s="118">
        <f>+K20+'15'!M20+L20</f>
        <v>0</v>
      </c>
    </row>
    <row r="21" spans="1:19" ht="13.5" thickBot="1">
      <c r="A21" s="784"/>
      <c r="B21" s="216"/>
      <c r="C21" s="217"/>
      <c r="D21" s="218"/>
      <c r="E21" s="226"/>
      <c r="F21" s="232"/>
      <c r="G21" s="233"/>
      <c r="H21" s="234"/>
      <c r="I21" s="779"/>
      <c r="J21" s="215">
        <f>+'15'!J21</f>
        <v>0</v>
      </c>
      <c r="K21" s="240"/>
      <c r="L21" s="240"/>
      <c r="M21" s="118">
        <f>+K21+'15'!M21+L21</f>
        <v>0</v>
      </c>
    </row>
    <row r="22" spans="1:19" ht="13.5" thickBot="1">
      <c r="A22" s="784"/>
      <c r="B22" s="216"/>
      <c r="C22" s="217"/>
      <c r="D22" s="218"/>
      <c r="E22" s="226"/>
      <c r="F22" s="237"/>
      <c r="G22" s="233"/>
      <c r="H22" s="234"/>
      <c r="I22" s="780"/>
      <c r="J22" s="215">
        <f>+'15'!J22</f>
        <v>0</v>
      </c>
      <c r="K22" s="240"/>
      <c r="L22" s="240"/>
      <c r="M22" s="118">
        <f>+K22+'15'!M22+L22</f>
        <v>0</v>
      </c>
      <c r="N22" s="150" t="s">
        <v>590</v>
      </c>
      <c r="O22" s="150">
        <v>1170</v>
      </c>
      <c r="P22" s="150">
        <f>+O22-O22*0.23</f>
        <v>900.9</v>
      </c>
      <c r="Q22" s="150">
        <v>420</v>
      </c>
      <c r="R22" s="150">
        <f>+O22*Q22</f>
        <v>491400</v>
      </c>
      <c r="S22" s="150">
        <f>+P22*Q22</f>
        <v>378378</v>
      </c>
    </row>
    <row r="23" spans="1:19" ht="13.5" thickBot="1">
      <c r="A23" s="785"/>
      <c r="B23" s="166" t="s">
        <v>3</v>
      </c>
      <c r="C23" s="101">
        <f>SUM(C16:C22)</f>
        <v>16902</v>
      </c>
      <c r="D23" s="112">
        <f>SUM(D16:D22)</f>
        <v>0</v>
      </c>
      <c r="E23" s="113">
        <f>SUM(E18:E22)</f>
        <v>0</v>
      </c>
      <c r="F23" s="103">
        <f>SUM(F15:F22)</f>
        <v>20</v>
      </c>
      <c r="G23" s="160"/>
      <c r="H23" s="167"/>
      <c r="I23" s="170"/>
      <c r="J23" s="215">
        <f>+'15'!J23</f>
        <v>0</v>
      </c>
      <c r="K23" s="240"/>
      <c r="L23" s="240"/>
      <c r="M23" s="118">
        <f>+K23+'15'!M23+L23</f>
        <v>0</v>
      </c>
      <c r="N23" s="150" t="s">
        <v>604</v>
      </c>
      <c r="O23" s="150">
        <v>1140</v>
      </c>
      <c r="P23" s="150">
        <f>+O23-O23*0.17</f>
        <v>946.2</v>
      </c>
      <c r="Q23" s="150">
        <v>60</v>
      </c>
      <c r="R23" s="150">
        <f>+O23*Q23</f>
        <v>68400</v>
      </c>
      <c r="S23" s="150">
        <f>+P23*Q23</f>
        <v>56772</v>
      </c>
    </row>
    <row r="24" spans="1:19" ht="13.5" customHeight="1" thickBot="1">
      <c r="A24" s="775" t="s">
        <v>445</v>
      </c>
      <c r="B24" s="171"/>
      <c r="C24" s="114">
        <f>C23/($C$23+$D$23+$E$23)</f>
        <v>1</v>
      </c>
      <c r="D24" s="115">
        <f>D23/($C$23+$D$23+$E$23)</f>
        <v>0</v>
      </c>
      <c r="E24" s="116">
        <f>E23/($C$23+$D$23+$E$23)</f>
        <v>0</v>
      </c>
      <c r="F24" s="229"/>
      <c r="G24" s="230" t="s">
        <v>13</v>
      </c>
      <c r="H24" s="231" t="s">
        <v>390</v>
      </c>
      <c r="I24" s="778" t="s">
        <v>603</v>
      </c>
      <c r="J24" s="215">
        <f>+'15'!J24</f>
        <v>0</v>
      </c>
      <c r="K24" s="240"/>
      <c r="L24" s="240"/>
      <c r="M24" s="118">
        <f>+K24+'15'!M24+L24</f>
        <v>0</v>
      </c>
      <c r="P24" s="150">
        <f>+O24-O24*0.23</f>
        <v>0</v>
      </c>
      <c r="R24" s="150">
        <f>+O24*Q24</f>
        <v>0</v>
      </c>
      <c r="S24" s="150">
        <f>+P24*Q24</f>
        <v>0</v>
      </c>
    </row>
    <row r="25" spans="1:19" ht="13.5" thickBot="1">
      <c r="A25" s="784"/>
      <c r="B25" s="216" t="s">
        <v>595</v>
      </c>
      <c r="C25" s="227">
        <v>17706</v>
      </c>
      <c r="D25" s="218"/>
      <c r="E25" s="226"/>
      <c r="F25" s="232">
        <v>4</v>
      </c>
      <c r="G25" s="579" t="s">
        <v>13</v>
      </c>
      <c r="H25" s="231" t="s">
        <v>429</v>
      </c>
      <c r="I25" s="779"/>
      <c r="J25" s="215">
        <f>+'15'!J25</f>
        <v>0</v>
      </c>
      <c r="K25" s="240"/>
      <c r="L25" s="240"/>
      <c r="M25" s="118">
        <f>+K25+'15'!M25+L25</f>
        <v>0</v>
      </c>
    </row>
    <row r="26" spans="1:19" ht="13.5" thickBot="1">
      <c r="A26" s="784"/>
      <c r="B26" s="216"/>
      <c r="C26" s="227"/>
      <c r="D26" s="218"/>
      <c r="E26" s="228"/>
      <c r="F26" s="229">
        <v>10</v>
      </c>
      <c r="G26" s="579" t="s">
        <v>13</v>
      </c>
      <c r="H26" s="234" t="s">
        <v>397</v>
      </c>
      <c r="I26" s="779"/>
      <c r="J26" s="215">
        <f>+'15'!J26</f>
        <v>0</v>
      </c>
      <c r="K26" s="240"/>
      <c r="L26" s="240"/>
      <c r="M26" s="118">
        <f>+K26+'15'!M26+L26</f>
        <v>0</v>
      </c>
    </row>
    <row r="27" spans="1:19" ht="26.25" thickBot="1">
      <c r="A27" s="784"/>
      <c r="B27" s="216"/>
      <c r="C27" s="217"/>
      <c r="D27" s="218"/>
      <c r="E27" s="226"/>
      <c r="F27" s="229"/>
      <c r="G27" s="238" t="s">
        <v>14</v>
      </c>
      <c r="H27" s="234" t="s">
        <v>597</v>
      </c>
      <c r="I27" s="779"/>
      <c r="J27" s="215">
        <f>+'15'!J27</f>
        <v>0</v>
      </c>
      <c r="K27" s="240"/>
      <c r="L27" s="240"/>
      <c r="M27" s="118">
        <f>+K27+'15'!M27+L27</f>
        <v>0</v>
      </c>
    </row>
    <row r="28" spans="1:19" ht="13.5" thickBot="1">
      <c r="A28" s="784"/>
      <c r="B28" s="216"/>
      <c r="C28" s="217"/>
      <c r="D28" s="218"/>
      <c r="E28" s="226"/>
      <c r="F28" s="232"/>
      <c r="G28" s="233"/>
      <c r="H28" s="234" t="s">
        <v>598</v>
      </c>
      <c r="I28" s="779"/>
      <c r="J28" s="215">
        <f>+'15'!J28</f>
        <v>0</v>
      </c>
      <c r="K28" s="240"/>
      <c r="L28" s="240"/>
      <c r="M28" s="118">
        <f>+K28+'15'!M28+L28</f>
        <v>0</v>
      </c>
    </row>
    <row r="29" spans="1:19" ht="13.5" thickBot="1">
      <c r="A29" s="784"/>
      <c r="B29" s="216"/>
      <c r="C29" s="217"/>
      <c r="D29" s="218"/>
      <c r="E29" s="226"/>
      <c r="F29" s="237"/>
      <c r="G29" s="233"/>
      <c r="H29" s="234"/>
      <c r="I29" s="779"/>
      <c r="J29" s="215">
        <f>+'15'!J29</f>
        <v>0</v>
      </c>
      <c r="K29" s="240"/>
      <c r="L29" s="240"/>
      <c r="M29" s="118">
        <f>+K29+'15'!M29+L29</f>
        <v>0</v>
      </c>
    </row>
    <row r="30" spans="1:19" ht="13.5" thickBot="1">
      <c r="A30" s="784"/>
      <c r="B30" s="216"/>
      <c r="C30" s="227"/>
      <c r="D30" s="218"/>
      <c r="E30" s="226"/>
      <c r="F30" s="237"/>
      <c r="G30" s="233"/>
      <c r="H30" s="234"/>
      <c r="I30" s="779"/>
      <c r="J30" s="215">
        <f>+'15'!J30</f>
        <v>0</v>
      </c>
      <c r="K30" s="240"/>
      <c r="L30" s="240"/>
      <c r="M30" s="118">
        <f>+K30+'15'!M30+L30</f>
        <v>0</v>
      </c>
    </row>
    <row r="31" spans="1:19" ht="13.5" thickBot="1">
      <c r="A31" s="784"/>
      <c r="B31" s="216"/>
      <c r="C31" s="227"/>
      <c r="D31" s="218"/>
      <c r="E31" s="226"/>
      <c r="F31" s="237"/>
      <c r="G31" s="238"/>
      <c r="H31" s="235"/>
      <c r="I31" s="780"/>
      <c r="J31" s="215">
        <f>+'15'!J31</f>
        <v>0</v>
      </c>
      <c r="K31" s="240"/>
      <c r="L31" s="240"/>
      <c r="M31" s="118">
        <f>+K31+'15'!M31+L31</f>
        <v>0</v>
      </c>
    </row>
    <row r="32" spans="1:19" ht="13.5" thickBot="1">
      <c r="A32" s="785"/>
      <c r="B32" s="166" t="s">
        <v>3</v>
      </c>
      <c r="C32" s="100">
        <f>SUM(C25:C31)</f>
        <v>17706</v>
      </c>
      <c r="D32" s="101">
        <f>SUM(D25:D31)</f>
        <v>0</v>
      </c>
      <c r="E32" s="102">
        <f>SUM(E25:E31)</f>
        <v>0</v>
      </c>
      <c r="F32" s="103">
        <f>SUM(F24:F31)</f>
        <v>14</v>
      </c>
      <c r="G32" s="172"/>
      <c r="H32" s="173"/>
      <c r="I32" s="170"/>
      <c r="J32" s="215">
        <f>+'15'!J32</f>
        <v>0</v>
      </c>
      <c r="K32" s="242"/>
      <c r="L32" s="244"/>
      <c r="M32" s="118">
        <f>+K32+'15'!M32+L32</f>
        <v>0</v>
      </c>
      <c r="Q32" s="150">
        <f>SUM(Q22:Q30)</f>
        <v>480</v>
      </c>
      <c r="R32" s="150">
        <f>SUM(R22:R30)</f>
        <v>559800</v>
      </c>
      <c r="S32" s="150">
        <f>SUM(S22:S30)</f>
        <v>435150</v>
      </c>
    </row>
    <row r="33" spans="1:19" ht="13.5" thickBot="1">
      <c r="A33" s="174"/>
      <c r="B33" s="175"/>
      <c r="C33" s="104">
        <f>C32/($C$32+$D$32+$E$32)</f>
        <v>1</v>
      </c>
      <c r="D33" s="105">
        <f>D32/($C$32+$D$32+$E$32)</f>
        <v>0</v>
      </c>
      <c r="E33" s="106">
        <f>E32/($C$32+$D$32+$E$32)</f>
        <v>0</v>
      </c>
      <c r="F33" s="107"/>
      <c r="G33" s="176"/>
      <c r="H33" s="177"/>
      <c r="I33" s="178"/>
      <c r="J33" s="122"/>
      <c r="K33" s="123"/>
      <c r="L33" s="214"/>
      <c r="M33" s="120"/>
      <c r="Q33" s="150">
        <f>480-Q32</f>
        <v>0</v>
      </c>
      <c r="R33" s="150">
        <f>+R32/Q32</f>
        <v>1166.25</v>
      </c>
      <c r="S33" s="150">
        <f>+S32/Q32</f>
        <v>906.5625</v>
      </c>
    </row>
    <row r="34" spans="1:19" ht="13.5" thickBot="1">
      <c r="A34" s="771" t="s">
        <v>70</v>
      </c>
      <c r="B34" s="772"/>
      <c r="C34" s="108">
        <f>C14+C23+C32</f>
        <v>52407</v>
      </c>
      <c r="D34" s="108">
        <f>D14+D23+D32</f>
        <v>0</v>
      </c>
      <c r="E34" s="108">
        <f>E14+E23+E32</f>
        <v>0</v>
      </c>
      <c r="F34" s="109">
        <f>F14+F23+F32</f>
        <v>44</v>
      </c>
      <c r="H34" s="179"/>
      <c r="I34" s="179"/>
      <c r="J34" s="124" t="s">
        <v>29</v>
      </c>
      <c r="K34" s="125">
        <f>SUM(K7:K32)</f>
        <v>52407</v>
      </c>
      <c r="L34" s="213">
        <f>SUM(L7:L32)</f>
        <v>0</v>
      </c>
      <c r="M34" s="121">
        <f>SUM(M7:M32)</f>
        <v>767900</v>
      </c>
      <c r="N34" s="156"/>
    </row>
    <row r="35" spans="1:19" ht="13.5" thickBot="1">
      <c r="A35" s="180"/>
      <c r="B35" s="181"/>
      <c r="C35" s="105">
        <f>C34/($C$34+$D$34+$E$34)</f>
        <v>1</v>
      </c>
      <c r="D35" s="105">
        <f>D34/($C$34+$D$34+$E$34)</f>
        <v>0</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c r="N36" s="150" t="s">
        <v>590</v>
      </c>
      <c r="O36" s="150">
        <v>1170</v>
      </c>
      <c r="P36" s="150">
        <v>900.9</v>
      </c>
      <c r="Q36" s="150">
        <f>1440-Q37</f>
        <v>1380</v>
      </c>
    </row>
    <row r="37" spans="1:19" ht="17.45" customHeight="1" thickBot="1">
      <c r="A37" s="773" t="s">
        <v>71</v>
      </c>
      <c r="B37" s="774"/>
      <c r="C37" s="163" t="s">
        <v>72</v>
      </c>
      <c r="D37" s="184" t="s">
        <v>73</v>
      </c>
      <c r="E37" s="185" t="s">
        <v>74</v>
      </c>
      <c r="F37" s="361"/>
      <c r="G37" s="363"/>
      <c r="H37" s="187" t="s">
        <v>75</v>
      </c>
      <c r="I37" s="245">
        <f>(15.5*1380+60*16)/1440*G42*2.77*1440/1000000</f>
        <v>56.709102000000009</v>
      </c>
      <c r="J37" s="126">
        <f>+I37+'15'!J37</f>
        <v>829.61632537217918</v>
      </c>
      <c r="K37" s="127" t="s">
        <v>76</v>
      </c>
      <c r="L37" s="421"/>
      <c r="M37" s="422"/>
      <c r="N37" s="150" t="s">
        <v>604</v>
      </c>
      <c r="O37" s="150">
        <v>1140</v>
      </c>
      <c r="P37" s="150">
        <v>946.2</v>
      </c>
      <c r="Q37" s="150">
        <v>60</v>
      </c>
    </row>
    <row r="38" spans="1:19" ht="17.45" customHeight="1">
      <c r="A38" s="767" t="s">
        <v>13</v>
      </c>
      <c r="B38" s="768"/>
      <c r="C38" s="165">
        <f>SUMIF($G$7:$G$31,"Process",$F$7:$F$31)</f>
        <v>36</v>
      </c>
      <c r="D38" s="119">
        <f>+C38+'15'!D38</f>
        <v>820</v>
      </c>
      <c r="E38" s="144">
        <f t="shared" ref="E38:E51" si="0">D38/60</f>
        <v>13.666666666666666</v>
      </c>
      <c r="F38" s="361">
        <v>1170</v>
      </c>
      <c r="G38" s="361">
        <v>900.9</v>
      </c>
      <c r="H38" s="188" t="s">
        <v>77</v>
      </c>
      <c r="I38" s="543">
        <f>18.359+18.722+17.026</f>
        <v>54.106999999999999</v>
      </c>
      <c r="J38" s="128">
        <f>+I38+'15'!J38</f>
        <v>790.654</v>
      </c>
      <c r="K38" s="129" t="s">
        <v>76</v>
      </c>
      <c r="L38" s="423"/>
      <c r="M38" s="424"/>
    </row>
    <row r="39" spans="1:19" ht="17.45" customHeight="1">
      <c r="A39" s="763" t="s">
        <v>14</v>
      </c>
      <c r="B39" s="764"/>
      <c r="C39" s="165">
        <f>SUMIF($G$7:$G$31,"Cleaning",$F$7:$F$31)</f>
        <v>8</v>
      </c>
      <c r="D39" s="119">
        <f>+C39+'15'!D39</f>
        <v>198</v>
      </c>
      <c r="E39" s="144">
        <f t="shared" si="0"/>
        <v>3.3</v>
      </c>
      <c r="F39" s="361">
        <v>1170</v>
      </c>
      <c r="G39" s="361">
        <v>900.9</v>
      </c>
      <c r="H39" s="188" t="s">
        <v>78</v>
      </c>
      <c r="I39" s="143"/>
      <c r="J39" s="130">
        <f>J37/G4</f>
        <v>51.851020335761199</v>
      </c>
      <c r="K39" s="131" t="s">
        <v>76</v>
      </c>
      <c r="L39" s="423"/>
      <c r="M39" s="424"/>
    </row>
    <row r="40" spans="1:19" ht="17.45" customHeight="1">
      <c r="A40" s="763" t="s">
        <v>79</v>
      </c>
      <c r="B40" s="764"/>
      <c r="C40" s="165">
        <f>SUMIF($G$7:$G$31,"Mechanical",$F$7:$F$31)</f>
        <v>0</v>
      </c>
      <c r="D40" s="119">
        <f>+C40+'15'!D40</f>
        <v>0</v>
      </c>
      <c r="E40" s="144">
        <f t="shared" si="0"/>
        <v>0</v>
      </c>
      <c r="F40" s="361">
        <v>1140</v>
      </c>
      <c r="G40" s="361">
        <v>946.2</v>
      </c>
      <c r="H40" s="188" t="s">
        <v>80</v>
      </c>
      <c r="I40" s="119">
        <f>(K34+L34)/1000</f>
        <v>52.406999999999996</v>
      </c>
      <c r="J40" s="132">
        <f>+I40+'15'!J40</f>
        <v>767.9</v>
      </c>
      <c r="K40" s="131" t="s">
        <v>76</v>
      </c>
      <c r="L40" s="423"/>
      <c r="M40" s="424"/>
    </row>
    <row r="41" spans="1:19" ht="17.45" customHeight="1">
      <c r="A41" s="763" t="s">
        <v>81</v>
      </c>
      <c r="B41" s="764"/>
      <c r="C41" s="165">
        <f>SUMIF($G$7:$G$31,"Electrical",$F$7:$F$31)</f>
        <v>0</v>
      </c>
      <c r="D41" s="119">
        <f>+C41+'15'!D41</f>
        <v>170</v>
      </c>
      <c r="E41" s="144">
        <f t="shared" si="0"/>
        <v>2.8333333333333335</v>
      </c>
      <c r="F41" s="361"/>
      <c r="G41" s="361"/>
      <c r="H41" s="188" t="s">
        <v>82</v>
      </c>
      <c r="I41" s="143"/>
      <c r="J41" s="130">
        <f>J40/G4</f>
        <v>47.993749999999999</v>
      </c>
      <c r="K41" s="131" t="s">
        <v>76</v>
      </c>
      <c r="L41" s="423"/>
      <c r="M41" s="424"/>
    </row>
    <row r="42" spans="1:19" ht="17.45" customHeight="1">
      <c r="A42" s="763" t="s">
        <v>17</v>
      </c>
      <c r="B42" s="764"/>
      <c r="C42" s="165">
        <f>SUMIF($G$7:$G$31,"Instrument",$F$7:$F$31)</f>
        <v>0</v>
      </c>
      <c r="D42" s="119">
        <f>+C42+'15'!D42</f>
        <v>0</v>
      </c>
      <c r="E42" s="144">
        <f t="shared" si="0"/>
        <v>0</v>
      </c>
      <c r="F42" s="361">
        <f>+(480*F38+480*F39+480*F40)/1440</f>
        <v>1160</v>
      </c>
      <c r="G42" s="361">
        <f>+(480*G38+480*G39+480*G40)/1440</f>
        <v>916</v>
      </c>
      <c r="H42" s="188" t="s">
        <v>83</v>
      </c>
      <c r="I42" s="247" t="s">
        <v>605</v>
      </c>
      <c r="J42" s="133"/>
      <c r="K42" s="131" t="s">
        <v>84</v>
      </c>
      <c r="L42" s="423"/>
      <c r="M42" s="424"/>
    </row>
    <row r="43" spans="1:19" ht="17.45" customHeight="1">
      <c r="A43" s="763" t="s">
        <v>85</v>
      </c>
      <c r="B43" s="764"/>
      <c r="C43" s="165">
        <f>SUMIF($G$7:$G$31,"Water",$F$7:$F$31)</f>
        <v>0</v>
      </c>
      <c r="D43" s="119">
        <f>+C43+'15'!D43</f>
        <v>0</v>
      </c>
      <c r="E43" s="144">
        <f t="shared" si="0"/>
        <v>0</v>
      </c>
      <c r="F43" s="361"/>
      <c r="G43" s="362"/>
      <c r="H43" s="189" t="s">
        <v>86</v>
      </c>
      <c r="I43" s="119">
        <f>+Report1!AH24</f>
        <v>71.5</v>
      </c>
      <c r="J43" s="134">
        <f>+I43+'15'!J43</f>
        <v>1063</v>
      </c>
      <c r="K43" s="131" t="s">
        <v>76</v>
      </c>
      <c r="L43" s="425">
        <f>+Report1!AN24</f>
        <v>12</v>
      </c>
      <c r="M43" s="426">
        <f>+L43+'15'!M43</f>
        <v>157.4</v>
      </c>
    </row>
    <row r="44" spans="1:19" ht="17.45" customHeight="1">
      <c r="A44" s="763" t="s">
        <v>18</v>
      </c>
      <c r="B44" s="764"/>
      <c r="C44" s="165">
        <f>SUMIF($G$7:$G$31,"PLN",$F$7:$F$31)</f>
        <v>0</v>
      </c>
      <c r="D44" s="119">
        <f>+C44+'15'!D44</f>
        <v>0</v>
      </c>
      <c r="E44" s="144">
        <f t="shared" si="0"/>
        <v>0</v>
      </c>
      <c r="F44" s="361"/>
      <c r="G44" s="362"/>
      <c r="H44" s="189" t="s">
        <v>87</v>
      </c>
      <c r="I44" s="119">
        <f>I43/I38</f>
        <v>1.3214556342062949</v>
      </c>
      <c r="J44" s="135">
        <f>J43/J38</f>
        <v>1.3444566143977013</v>
      </c>
      <c r="K44" s="131" t="s">
        <v>76</v>
      </c>
      <c r="L44" s="427">
        <f>+L43/I38</f>
        <v>0.22178276378287468</v>
      </c>
      <c r="M44" s="428">
        <f>+M43/J38</f>
        <v>0.19907570188729837</v>
      </c>
    </row>
    <row r="45" spans="1:19" ht="17.45" customHeight="1">
      <c r="A45" s="763" t="s">
        <v>19</v>
      </c>
      <c r="B45" s="764"/>
      <c r="C45" s="165">
        <f>SUMIF($G$7:$G$31,"Boiler",$F$7:$F$31)</f>
        <v>0</v>
      </c>
      <c r="D45" s="119">
        <f>+C45+'15'!D45</f>
        <v>0</v>
      </c>
      <c r="E45" s="144">
        <f t="shared" si="0"/>
        <v>0</v>
      </c>
      <c r="F45" s="361"/>
      <c r="G45" s="364"/>
      <c r="H45" s="189" t="s">
        <v>88</v>
      </c>
      <c r="I45" s="119">
        <f>I43/I40</f>
        <v>1.3643215600969336</v>
      </c>
      <c r="J45" s="135">
        <f>J43/J40</f>
        <v>1.384294830055997</v>
      </c>
      <c r="K45" s="131" t="s">
        <v>76</v>
      </c>
      <c r="L45" s="427">
        <f>+L43/I40</f>
        <v>0.22897704505123362</v>
      </c>
      <c r="M45" s="428">
        <f>+M43/J40</f>
        <v>0.20497460606849852</v>
      </c>
    </row>
    <row r="46" spans="1:19" ht="17.45" customHeight="1">
      <c r="A46" s="763" t="s">
        <v>89</v>
      </c>
      <c r="B46" s="764"/>
      <c r="C46" s="165">
        <f>SUMIF($G$7:$G$31,"Gas",$F$7:$F$31)</f>
        <v>0</v>
      </c>
      <c r="D46" s="119">
        <f>+C46+'15'!D46</f>
        <v>0</v>
      </c>
      <c r="E46" s="144">
        <f t="shared" si="0"/>
        <v>0</v>
      </c>
      <c r="F46" s="361"/>
      <c r="G46" s="362"/>
      <c r="H46" s="189" t="s">
        <v>90</v>
      </c>
      <c r="I46" s="141">
        <f>+SUMIF(Listrik!P23,"&gt;0")</f>
        <v>43824.82000000008</v>
      </c>
      <c r="J46" s="136">
        <f>+I46+'15'!J46</f>
        <v>631001.64</v>
      </c>
      <c r="K46" s="131" t="s">
        <v>91</v>
      </c>
      <c r="L46" s="427">
        <f>+Listrik!AF23</f>
        <v>0</v>
      </c>
      <c r="M46" s="429">
        <f>+L46+'15'!M46</f>
        <v>0</v>
      </c>
    </row>
    <row r="47" spans="1:19" ht="17.45" customHeight="1">
      <c r="A47" s="763" t="s">
        <v>92</v>
      </c>
      <c r="B47" s="764"/>
      <c r="C47" s="165">
        <f>SUMIF($G$7:$G$31,"Gas",$F$7:$F$31)</f>
        <v>0</v>
      </c>
      <c r="D47" s="119">
        <f>+C47+'15'!D47</f>
        <v>0</v>
      </c>
      <c r="E47" s="144">
        <f t="shared" si="0"/>
        <v>0</v>
      </c>
      <c r="F47" s="361"/>
      <c r="G47" s="362"/>
      <c r="H47" s="189" t="s">
        <v>93</v>
      </c>
      <c r="I47" s="119">
        <f>I46/I38</f>
        <v>809.965808490585</v>
      </c>
      <c r="J47" s="136">
        <f>J46/J38</f>
        <v>798.07556782106963</v>
      </c>
      <c r="K47" s="131" t="s">
        <v>25</v>
      </c>
      <c r="L47" s="427">
        <f>+L46/I38</f>
        <v>0</v>
      </c>
      <c r="M47" s="428">
        <f>+M46/J38</f>
        <v>0</v>
      </c>
    </row>
    <row r="48" spans="1:19" ht="17.45" customHeight="1">
      <c r="A48" s="763" t="s">
        <v>15</v>
      </c>
      <c r="B48" s="764"/>
      <c r="C48" s="165">
        <f>SUMIF($G$7:$G$31,"Start Up",$F$7:$F$31)</f>
        <v>0</v>
      </c>
      <c r="D48" s="119">
        <f>+C48+'15'!D48</f>
        <v>0</v>
      </c>
      <c r="E48" s="144">
        <f t="shared" si="0"/>
        <v>0</v>
      </c>
      <c r="F48" s="361"/>
      <c r="G48" s="362"/>
      <c r="H48" s="189" t="s">
        <v>94</v>
      </c>
      <c r="I48" s="119">
        <f>I46/I40</f>
        <v>836.23981529185187</v>
      </c>
      <c r="J48" s="136">
        <f>J46/J40</f>
        <v>821.7237140252638</v>
      </c>
      <c r="K48" s="131" t="s">
        <v>25</v>
      </c>
      <c r="L48" s="427">
        <f>+L46/I38</f>
        <v>0</v>
      </c>
      <c r="M48" s="428">
        <f>+M46/J40</f>
        <v>0</v>
      </c>
    </row>
    <row r="49" spans="1:13" ht="17.45" customHeight="1">
      <c r="A49" s="763" t="s">
        <v>21</v>
      </c>
      <c r="B49" s="764"/>
      <c r="C49" s="165">
        <f>SUMIF($G$7:$G$31,"Others",$F$7:$F$31)</f>
        <v>0</v>
      </c>
      <c r="D49" s="119">
        <f>+C49+'15'!D49</f>
        <v>0</v>
      </c>
      <c r="E49" s="144">
        <f t="shared" si="0"/>
        <v>0</v>
      </c>
      <c r="F49" s="186"/>
      <c r="H49" s="189" t="s">
        <v>95</v>
      </c>
      <c r="I49" s="119">
        <f>+Report1!AB24</f>
        <v>4431.357533385567</v>
      </c>
      <c r="J49" s="136">
        <f>+I49+'15'!J49</f>
        <v>77828.726154121265</v>
      </c>
      <c r="K49" s="131" t="s">
        <v>96</v>
      </c>
      <c r="L49" s="423"/>
      <c r="M49" s="424"/>
    </row>
    <row r="50" spans="1:13" ht="17.45" customHeight="1">
      <c r="A50" s="763" t="s">
        <v>20</v>
      </c>
      <c r="B50" s="764"/>
      <c r="C50" s="165">
        <f>SUMIF($G$7:$G$31,"Steam",$F$7:$F$31)</f>
        <v>0</v>
      </c>
      <c r="D50" s="119">
        <f>+C50+'15'!D50</f>
        <v>0</v>
      </c>
      <c r="E50" s="144">
        <f t="shared" si="0"/>
        <v>0</v>
      </c>
      <c r="F50" s="186"/>
      <c r="H50" s="189" t="s">
        <v>97</v>
      </c>
      <c r="I50" s="141">
        <f>I49/I38</f>
        <v>81.899893422026111</v>
      </c>
      <c r="J50" s="134">
        <f>J49/J38</f>
        <v>98.435884918208558</v>
      </c>
      <c r="K50" s="131" t="s">
        <v>96</v>
      </c>
      <c r="L50" s="423"/>
      <c r="M50" s="424"/>
    </row>
    <row r="51" spans="1:13" ht="17.45" customHeight="1" thickBot="1">
      <c r="A51" s="765" t="s">
        <v>98</v>
      </c>
      <c r="B51" s="766"/>
      <c r="C51" s="165">
        <f>SUMIF($G$7:$G$31,"Planned shut",$F$7:$F$31)</f>
        <v>0</v>
      </c>
      <c r="D51" s="119">
        <f>+C51+'15'!D51</f>
        <v>609</v>
      </c>
      <c r="E51" s="144">
        <f t="shared" si="0"/>
        <v>10.15</v>
      </c>
      <c r="F51" s="186"/>
      <c r="H51" s="191" t="s">
        <v>99</v>
      </c>
      <c r="I51" s="142">
        <f>I49/I40</f>
        <v>84.556596130012537</v>
      </c>
      <c r="J51" s="137">
        <f>J49/J40</f>
        <v>101.35268414392664</v>
      </c>
      <c r="K51" s="138" t="s">
        <v>96</v>
      </c>
      <c r="L51" s="423"/>
      <c r="M51" s="424"/>
    </row>
    <row r="52" spans="1:13" ht="13.5" thickBot="1">
      <c r="A52" s="767" t="s">
        <v>29</v>
      </c>
      <c r="B52" s="768"/>
      <c r="C52" s="145">
        <f>SUM(C38:C51)</f>
        <v>44</v>
      </c>
      <c r="D52" s="145">
        <f>SUM(D38:D51)</f>
        <v>1797</v>
      </c>
      <c r="E52" s="146">
        <f>SUM(E38:E51)</f>
        <v>29.949999999999996</v>
      </c>
      <c r="F52" s="186"/>
      <c r="H52" s="192"/>
      <c r="I52" s="193"/>
      <c r="J52" s="139"/>
      <c r="K52" s="140"/>
      <c r="L52" s="430"/>
      <c r="M52" s="431"/>
    </row>
    <row r="53" spans="1:13" ht="13.5" thickBot="1">
      <c r="A53" s="769"/>
      <c r="B53" s="770"/>
      <c r="C53" s="147">
        <f>C52/(24*60)</f>
        <v>3.0555555555555555E-2</v>
      </c>
      <c r="D53" s="147">
        <f>D52/(24*60*G4)</f>
        <v>7.799479166666666E-2</v>
      </c>
      <c r="E53" s="148">
        <f>E52/(G4*24)</f>
        <v>7.799479166666666E-2</v>
      </c>
      <c r="F53" s="186"/>
    </row>
    <row r="54" spans="1:13">
      <c r="E54" s="194"/>
      <c r="F54" s="186"/>
    </row>
    <row r="55" spans="1:13">
      <c r="E55" s="194"/>
    </row>
    <row r="56" spans="1:13">
      <c r="A56" s="195" t="s">
        <v>100</v>
      </c>
      <c r="B56" s="196"/>
      <c r="C56" s="197"/>
      <c r="D56" s="197"/>
      <c r="E56" s="197"/>
      <c r="F56" s="198"/>
      <c r="G56" s="197"/>
      <c r="H56" s="199"/>
      <c r="I56" s="200" t="s">
        <v>101</v>
      </c>
      <c r="J56" s="201">
        <f>+D34+'15'!J56</f>
        <v>3147</v>
      </c>
      <c r="K56" s="202">
        <f>J56/(J40+J56/1000)/1000</f>
        <v>4.0814632571036522E-3</v>
      </c>
    </row>
    <row r="57" spans="1:13">
      <c r="A57" s="177"/>
      <c r="I57" s="200" t="s">
        <v>102</v>
      </c>
      <c r="J57" s="201">
        <f>+E34+'15'!J57</f>
        <v>0</v>
      </c>
      <c r="K57" s="202">
        <f>J57/(J40+J57/1000)/1000</f>
        <v>0</v>
      </c>
    </row>
    <row r="58" spans="1:13">
      <c r="A58" s="203"/>
      <c r="B58" s="204"/>
      <c r="F58" s="186"/>
      <c r="H58" s="205"/>
      <c r="J58" s="150">
        <v>325</v>
      </c>
    </row>
    <row r="59" spans="1:13">
      <c r="A59" s="206"/>
      <c r="B59" s="177"/>
      <c r="C59" s="177"/>
      <c r="D59" s="177"/>
      <c r="E59" s="177"/>
      <c r="F59" s="190"/>
      <c r="G59" s="177"/>
      <c r="H59" s="205"/>
      <c r="J59" s="156">
        <f>+J56+J58</f>
        <v>3472</v>
      </c>
    </row>
    <row r="60" spans="1:13">
      <c r="H60" s="205"/>
    </row>
    <row r="61" spans="1:13">
      <c r="A61" s="207"/>
      <c r="B61" s="208"/>
      <c r="C61" s="208"/>
      <c r="D61" s="208"/>
      <c r="E61" s="208"/>
      <c r="F61" s="209"/>
      <c r="G61" s="208"/>
      <c r="H61" s="210"/>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61"/>
  <sheetViews>
    <sheetView view="pageBreakPreview" zoomScale="73" zoomScaleNormal="75" zoomScaleSheetLayoutView="73" workbookViewId="0">
      <selection activeCell="D26" sqref="D2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4.42578125" style="150" bestFit="1" customWidth="1"/>
    <col min="12" max="12" width="8.28515625" style="150" customWidth="1"/>
    <col min="13" max="13" width="15.42578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15</v>
      </c>
      <c r="H4" s="155" t="str">
        <f>+'1'!H4</f>
        <v>.11.25</v>
      </c>
      <c r="J4" s="150">
        <f>611.2+537.7+645.8</f>
        <v>1794.7</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590</v>
      </c>
      <c r="O6" s="150">
        <v>1170</v>
      </c>
      <c r="P6" s="150">
        <f>+O6-O6*0.23</f>
        <v>900.9</v>
      </c>
      <c r="Q6" s="150">
        <v>480</v>
      </c>
      <c r="R6" s="150">
        <f>+O6*Q6</f>
        <v>561600</v>
      </c>
      <c r="S6" s="150">
        <f>+P6*Q6</f>
        <v>432432</v>
      </c>
    </row>
    <row r="7" spans="1:19" ht="13.5" customHeight="1" thickBot="1">
      <c r="A7" s="775" t="s">
        <v>446</v>
      </c>
      <c r="B7" s="216" t="s">
        <v>595</v>
      </c>
      <c r="C7" s="217">
        <v>16187</v>
      </c>
      <c r="D7" s="218"/>
      <c r="E7" s="219"/>
      <c r="F7" s="229"/>
      <c r="G7" s="230" t="s">
        <v>13</v>
      </c>
      <c r="H7" s="231" t="s">
        <v>390</v>
      </c>
      <c r="I7" s="778" t="s">
        <v>602</v>
      </c>
      <c r="J7" s="215" t="str">
        <f>+'14'!J7</f>
        <v>T 13,5 RC HW</v>
      </c>
      <c r="K7" s="239"/>
      <c r="L7" s="243"/>
      <c r="M7" s="118">
        <f>+K7+'14'!M7+L7</f>
        <v>263166</v>
      </c>
      <c r="O7" s="150">
        <v>1170</v>
      </c>
      <c r="P7" s="150">
        <f>+O7-O7*0.23</f>
        <v>900.9</v>
      </c>
      <c r="Q7" s="150">
        <v>480</v>
      </c>
      <c r="R7" s="150">
        <f>+O7*Q7</f>
        <v>561600</v>
      </c>
      <c r="S7" s="150">
        <f>+P7*Q7</f>
        <v>432432</v>
      </c>
    </row>
    <row r="8" spans="1:19" ht="13.5" thickBot="1">
      <c r="A8" s="784"/>
      <c r="B8" s="216"/>
      <c r="C8" s="217"/>
      <c r="D8" s="218"/>
      <c r="E8" s="220"/>
      <c r="F8" s="232">
        <v>4</v>
      </c>
      <c r="G8" s="579" t="s">
        <v>13</v>
      </c>
      <c r="H8" s="231" t="s">
        <v>429</v>
      </c>
      <c r="I8" s="779"/>
      <c r="J8" s="215" t="str">
        <f>+'14'!J8</f>
        <v>T 14 RC HW</v>
      </c>
      <c r="K8" s="240"/>
      <c r="L8" s="240"/>
      <c r="M8" s="118">
        <f>+K8+'14'!M8+L8</f>
        <v>97781</v>
      </c>
      <c r="O8" s="150">
        <v>1170</v>
      </c>
      <c r="P8" s="150">
        <f>+O8-O8*0.23</f>
        <v>900.9</v>
      </c>
      <c r="Q8" s="150">
        <v>480</v>
      </c>
      <c r="R8" s="150">
        <f>+O8*Q8</f>
        <v>561600</v>
      </c>
      <c r="S8" s="150">
        <f>+P8*Q8</f>
        <v>432432</v>
      </c>
    </row>
    <row r="9" spans="1:19" ht="13.5" thickBot="1">
      <c r="A9" s="784"/>
      <c r="B9" s="216"/>
      <c r="C9" s="217"/>
      <c r="D9" s="218"/>
      <c r="E9" s="221"/>
      <c r="F9" s="229">
        <v>8</v>
      </c>
      <c r="G9" s="579" t="s">
        <v>13</v>
      </c>
      <c r="H9" s="234" t="s">
        <v>427</v>
      </c>
      <c r="I9" s="779"/>
      <c r="J9" s="215" t="str">
        <f>+'14'!J9</f>
        <v>T 15 RC HW</v>
      </c>
      <c r="K9" s="240"/>
      <c r="L9" s="240"/>
      <c r="M9" s="118">
        <f>+K9+'14'!M9+L9</f>
        <v>34238</v>
      </c>
    </row>
    <row r="10" spans="1:19" ht="26.25" thickBot="1">
      <c r="A10" s="784"/>
      <c r="B10" s="216"/>
      <c r="C10" s="217"/>
      <c r="D10" s="218"/>
      <c r="E10" s="220"/>
      <c r="F10" s="229"/>
      <c r="G10" s="238" t="s">
        <v>14</v>
      </c>
      <c r="H10" s="234" t="s">
        <v>601</v>
      </c>
      <c r="I10" s="779"/>
      <c r="J10" s="215" t="str">
        <f>+'14'!J10</f>
        <v>TW 29 RC HW</v>
      </c>
      <c r="K10" s="240"/>
      <c r="L10" s="240"/>
      <c r="M10" s="118">
        <f>+K10+'14'!M10+L10</f>
        <v>21998</v>
      </c>
    </row>
    <row r="11" spans="1:19" ht="13.5" thickBot="1">
      <c r="A11" s="784"/>
      <c r="B11" s="216"/>
      <c r="C11" s="217"/>
      <c r="D11" s="218"/>
      <c r="E11" s="220"/>
      <c r="F11" s="229"/>
      <c r="G11" s="233"/>
      <c r="H11" s="234"/>
      <c r="I11" s="779"/>
      <c r="J11" s="215" t="str">
        <f>+'14'!J11</f>
        <v>TW 20 RC HW</v>
      </c>
      <c r="K11" s="240"/>
      <c r="L11" s="240"/>
      <c r="M11" s="118">
        <f>+K11+'14'!M11+L11</f>
        <v>104164</v>
      </c>
    </row>
    <row r="12" spans="1:19" ht="13.5" thickBot="1">
      <c r="A12" s="784"/>
      <c r="B12" s="216"/>
      <c r="C12" s="217"/>
      <c r="D12" s="218"/>
      <c r="E12" s="220"/>
      <c r="F12" s="229"/>
      <c r="G12" s="233"/>
      <c r="H12" s="234"/>
      <c r="I12" s="779"/>
      <c r="J12" s="215" t="str">
        <f>+'14'!J12</f>
        <v>TW 19 RC HW</v>
      </c>
      <c r="K12" s="240"/>
      <c r="L12" s="240"/>
      <c r="M12" s="118">
        <f>+K12+'14'!M12+L12</f>
        <v>18863</v>
      </c>
    </row>
    <row r="13" spans="1:19" ht="13.5" thickBot="1">
      <c r="A13" s="784"/>
      <c r="B13" s="216"/>
      <c r="C13" s="217"/>
      <c r="D13" s="217"/>
      <c r="E13" s="220"/>
      <c r="F13" s="229"/>
      <c r="G13" s="233"/>
      <c r="H13" s="234"/>
      <c r="I13" s="780"/>
      <c r="J13" s="215" t="str">
        <f>+'14'!J13</f>
        <v>TW 17 RC HW</v>
      </c>
      <c r="K13" s="240"/>
      <c r="L13" s="240"/>
      <c r="M13" s="118">
        <f>+K13+'14'!M13+L13</f>
        <v>67816</v>
      </c>
    </row>
    <row r="14" spans="1:19" ht="13.5" thickBot="1">
      <c r="A14" s="785"/>
      <c r="B14" s="166" t="s">
        <v>3</v>
      </c>
      <c r="C14" s="100">
        <f>SUM(C7:C13)</f>
        <v>16187</v>
      </c>
      <c r="D14" s="112">
        <f>SUM(D7:D13)</f>
        <v>0</v>
      </c>
      <c r="E14" s="113">
        <f>SUM(E5:E13)</f>
        <v>0</v>
      </c>
      <c r="F14" s="103">
        <f>SUM(F6:F13)</f>
        <v>12</v>
      </c>
      <c r="G14" s="160"/>
      <c r="H14" s="167"/>
      <c r="I14" s="168"/>
      <c r="J14" s="215" t="str">
        <f>+'14'!J14</f>
        <v>F 14 RC HW</v>
      </c>
      <c r="K14" s="240"/>
      <c r="L14" s="240"/>
      <c r="M14" s="118">
        <f>+K14+'14'!M14+L14</f>
        <v>10232</v>
      </c>
    </row>
    <row r="15" spans="1:19" ht="13.5" customHeight="1" thickBot="1">
      <c r="A15" s="775" t="s">
        <v>460</v>
      </c>
      <c r="B15" s="166"/>
      <c r="C15" s="114">
        <f>C14/($C$23+$D$23+$E$23)</f>
        <v>0.93696457513313269</v>
      </c>
      <c r="D15" s="115">
        <f>D14/($C$23+$D$23+$E$23)</f>
        <v>0</v>
      </c>
      <c r="E15" s="116">
        <f>E14/($C$23+$D$23+$E$23)</f>
        <v>0</v>
      </c>
      <c r="F15" s="229"/>
      <c r="G15" s="230" t="s">
        <v>13</v>
      </c>
      <c r="H15" s="231" t="s">
        <v>390</v>
      </c>
      <c r="I15" s="778" t="s">
        <v>602</v>
      </c>
      <c r="J15" s="215" t="str">
        <f>+'14'!J15</f>
        <v>T 16,5 RC HW</v>
      </c>
      <c r="K15" s="240"/>
      <c r="L15" s="240"/>
      <c r="M15" s="118">
        <f>+K15+'14'!M15+L15</f>
        <v>10954</v>
      </c>
    </row>
    <row r="16" spans="1:19" ht="13.5" thickBot="1">
      <c r="A16" s="784"/>
      <c r="B16" s="216" t="s">
        <v>595</v>
      </c>
      <c r="C16" s="223">
        <v>17276</v>
      </c>
      <c r="D16" s="224"/>
      <c r="E16" s="225"/>
      <c r="F16" s="232">
        <v>3</v>
      </c>
      <c r="G16" s="579" t="s">
        <v>13</v>
      </c>
      <c r="H16" s="231" t="s">
        <v>429</v>
      </c>
      <c r="I16" s="779"/>
      <c r="J16" s="215" t="str">
        <f>+'14'!J16</f>
        <v>T 15,5 RC HW</v>
      </c>
      <c r="K16" s="240">
        <f>+C34</f>
        <v>50348</v>
      </c>
      <c r="L16" s="230"/>
      <c r="M16" s="118">
        <f>+K16+'14'!M16+L16</f>
        <v>86281</v>
      </c>
      <c r="Q16" s="150">
        <f>SUM(Q6:Q14)</f>
        <v>1440</v>
      </c>
      <c r="R16" s="150">
        <f>SUM(R6:R14)</f>
        <v>1684800</v>
      </c>
      <c r="S16" s="150">
        <f>SUM(S6:S14)</f>
        <v>1297296</v>
      </c>
    </row>
    <row r="17" spans="1:19" ht="13.5" thickBot="1">
      <c r="A17" s="784"/>
      <c r="B17" s="216"/>
      <c r="C17" s="217"/>
      <c r="D17" s="218"/>
      <c r="E17" s="226"/>
      <c r="F17" s="229">
        <v>8</v>
      </c>
      <c r="G17" s="579" t="s">
        <v>13</v>
      </c>
      <c r="H17" s="234" t="s">
        <v>425</v>
      </c>
      <c r="I17" s="779"/>
      <c r="J17" s="215">
        <f>+'14'!J17</f>
        <v>0</v>
      </c>
      <c r="K17" s="240"/>
      <c r="L17" s="230"/>
      <c r="M17" s="118">
        <f>+K17+'14'!M17+L17</f>
        <v>0</v>
      </c>
      <c r="Q17" s="150">
        <f>480-Q16</f>
        <v>-960</v>
      </c>
      <c r="R17" s="150">
        <f>+R16/Q16</f>
        <v>1170</v>
      </c>
      <c r="S17" s="150">
        <f>+S16/Q16</f>
        <v>900.9</v>
      </c>
    </row>
    <row r="18" spans="1:19" ht="26.25" thickBot="1">
      <c r="A18" s="784"/>
      <c r="B18" s="216"/>
      <c r="C18" s="217"/>
      <c r="D18" s="218"/>
      <c r="E18" s="226"/>
      <c r="F18" s="229">
        <v>8</v>
      </c>
      <c r="G18" s="238" t="s">
        <v>14</v>
      </c>
      <c r="H18" s="234" t="s">
        <v>599</v>
      </c>
      <c r="I18" s="779"/>
      <c r="J18" s="215">
        <f>+'14'!J18</f>
        <v>0</v>
      </c>
      <c r="K18" s="240"/>
      <c r="L18" s="240"/>
      <c r="M18" s="118">
        <f>+K18+'14'!M18+L18</f>
        <v>0</v>
      </c>
    </row>
    <row r="19" spans="1:19" ht="13.5" thickBot="1">
      <c r="A19" s="784"/>
      <c r="B19" s="216"/>
      <c r="C19" s="217"/>
      <c r="D19" s="218"/>
      <c r="E19" s="226"/>
      <c r="F19" s="236"/>
      <c r="G19" s="233"/>
      <c r="H19" s="234"/>
      <c r="I19" s="779"/>
      <c r="J19" s="215">
        <f>+'14'!J19</f>
        <v>0</v>
      </c>
      <c r="K19" s="240"/>
      <c r="L19" s="240"/>
      <c r="M19" s="118">
        <f>+K19+'14'!M19+L19</f>
        <v>0</v>
      </c>
    </row>
    <row r="20" spans="1:19" ht="13.5" thickBot="1">
      <c r="A20" s="784"/>
      <c r="B20" s="216"/>
      <c r="C20" s="217"/>
      <c r="D20" s="218"/>
      <c r="E20" s="226"/>
      <c r="F20" s="229"/>
      <c r="G20" s="233"/>
      <c r="H20" s="234"/>
      <c r="I20" s="779"/>
      <c r="J20" s="215">
        <f>+'14'!J20</f>
        <v>0</v>
      </c>
      <c r="K20" s="240"/>
      <c r="L20" s="241"/>
      <c r="M20" s="118">
        <f>+K20+'14'!M20+L20</f>
        <v>0</v>
      </c>
    </row>
    <row r="21" spans="1:19" ht="13.5" thickBot="1">
      <c r="A21" s="784"/>
      <c r="B21" s="216"/>
      <c r="C21" s="217"/>
      <c r="D21" s="218"/>
      <c r="E21" s="226"/>
      <c r="F21" s="232"/>
      <c r="G21" s="233"/>
      <c r="H21" s="234"/>
      <c r="I21" s="779"/>
      <c r="J21" s="215">
        <f>+'14'!J21</f>
        <v>0</v>
      </c>
      <c r="K21" s="240"/>
      <c r="L21" s="240"/>
      <c r="M21" s="118">
        <f>+K21+'14'!M21+L21</f>
        <v>0</v>
      </c>
    </row>
    <row r="22" spans="1:19" ht="13.5" thickBot="1">
      <c r="A22" s="784"/>
      <c r="B22" s="216"/>
      <c r="C22" s="217"/>
      <c r="D22" s="218"/>
      <c r="E22" s="226"/>
      <c r="F22" s="237"/>
      <c r="G22" s="233"/>
      <c r="H22" s="234"/>
      <c r="I22" s="780"/>
      <c r="J22" s="215">
        <f>+'14'!J22</f>
        <v>0</v>
      </c>
      <c r="K22" s="240"/>
      <c r="L22" s="240"/>
      <c r="M22" s="118">
        <f>+K22+'14'!M22+L22</f>
        <v>0</v>
      </c>
    </row>
    <row r="23" spans="1:19" ht="13.5" thickBot="1">
      <c r="A23" s="785"/>
      <c r="B23" s="166" t="s">
        <v>3</v>
      </c>
      <c r="C23" s="101">
        <f>SUM(C16:C22)</f>
        <v>17276</v>
      </c>
      <c r="D23" s="112">
        <f>SUM(D16:D22)</f>
        <v>0</v>
      </c>
      <c r="E23" s="113">
        <f>SUM(E18:E22)</f>
        <v>0</v>
      </c>
      <c r="F23" s="103">
        <f>SUM(F15:F22)</f>
        <v>19</v>
      </c>
      <c r="G23" s="160"/>
      <c r="H23" s="167"/>
      <c r="I23" s="170"/>
      <c r="J23" s="215">
        <f>+'14'!J23</f>
        <v>0</v>
      </c>
      <c r="K23" s="240"/>
      <c r="L23" s="240"/>
      <c r="M23" s="118">
        <f>+K23+'14'!M23+L23</f>
        <v>0</v>
      </c>
    </row>
    <row r="24" spans="1:19" ht="13.5" customHeight="1" thickBot="1">
      <c r="A24" s="775" t="s">
        <v>445</v>
      </c>
      <c r="B24" s="171"/>
      <c r="C24" s="114">
        <f>C23/($C$23+$D$23+$E$23)</f>
        <v>1</v>
      </c>
      <c r="D24" s="115">
        <f>D23/($C$23+$D$23+$E$23)</f>
        <v>0</v>
      </c>
      <c r="E24" s="116">
        <f>E23/($C$23+$D$23+$E$23)</f>
        <v>0</v>
      </c>
      <c r="F24" s="229"/>
      <c r="G24" s="230" t="s">
        <v>13</v>
      </c>
      <c r="H24" s="231" t="s">
        <v>390</v>
      </c>
      <c r="I24" s="778" t="s">
        <v>602</v>
      </c>
      <c r="J24" s="215">
        <f>+'14'!J24</f>
        <v>0</v>
      </c>
      <c r="K24" s="240"/>
      <c r="L24" s="240"/>
      <c r="M24" s="118">
        <f>+K24+'14'!M24+L24</f>
        <v>0</v>
      </c>
    </row>
    <row r="25" spans="1:19" ht="13.5" thickBot="1">
      <c r="A25" s="784"/>
      <c r="B25" s="216" t="s">
        <v>595</v>
      </c>
      <c r="C25" s="227">
        <v>16885</v>
      </c>
      <c r="D25" s="218">
        <v>671</v>
      </c>
      <c r="E25" s="226"/>
      <c r="F25" s="232">
        <v>4</v>
      </c>
      <c r="G25" s="579" t="s">
        <v>13</v>
      </c>
      <c r="H25" s="231" t="s">
        <v>429</v>
      </c>
      <c r="I25" s="779"/>
      <c r="J25" s="215">
        <f>+'14'!J25</f>
        <v>0</v>
      </c>
      <c r="K25" s="240"/>
      <c r="L25" s="240"/>
      <c r="M25" s="118">
        <f>+K25+'14'!M25+L25</f>
        <v>0</v>
      </c>
    </row>
    <row r="26" spans="1:19" ht="13.5" thickBot="1">
      <c r="A26" s="784"/>
      <c r="B26" s="216"/>
      <c r="C26" s="227"/>
      <c r="D26" s="218"/>
      <c r="E26" s="228"/>
      <c r="F26" s="229">
        <v>10</v>
      </c>
      <c r="G26" s="579" t="s">
        <v>13</v>
      </c>
      <c r="H26" s="234" t="s">
        <v>427</v>
      </c>
      <c r="I26" s="779"/>
      <c r="J26" s="215">
        <f>+'14'!J26</f>
        <v>0</v>
      </c>
      <c r="K26" s="240"/>
      <c r="L26" s="240"/>
      <c r="M26" s="118">
        <f>+K26+'14'!M26+L26</f>
        <v>0</v>
      </c>
    </row>
    <row r="27" spans="1:19" ht="26.25" thickBot="1">
      <c r="A27" s="784"/>
      <c r="B27" s="216"/>
      <c r="C27" s="217"/>
      <c r="D27" s="218"/>
      <c r="E27" s="226"/>
      <c r="F27" s="229"/>
      <c r="G27" s="238" t="s">
        <v>14</v>
      </c>
      <c r="H27" s="234" t="s">
        <v>597</v>
      </c>
      <c r="I27" s="779"/>
      <c r="J27" s="215">
        <f>+'14'!J27</f>
        <v>0</v>
      </c>
      <c r="K27" s="240"/>
      <c r="L27" s="240"/>
      <c r="M27" s="118">
        <f>+K27+'14'!M27+L27</f>
        <v>0</v>
      </c>
    </row>
    <row r="28" spans="1:19" ht="13.5" thickBot="1">
      <c r="A28" s="784"/>
      <c r="B28" s="216"/>
      <c r="C28" s="217"/>
      <c r="D28" s="218"/>
      <c r="E28" s="226"/>
      <c r="F28" s="232"/>
      <c r="G28" s="233"/>
      <c r="H28" s="234"/>
      <c r="I28" s="779"/>
      <c r="J28" s="215">
        <f>+'14'!J28</f>
        <v>0</v>
      </c>
      <c r="K28" s="240"/>
      <c r="L28" s="240"/>
      <c r="M28" s="118">
        <f>+K28+'14'!M28+L28</f>
        <v>0</v>
      </c>
    </row>
    <row r="29" spans="1:19" ht="13.5" thickBot="1">
      <c r="A29" s="784"/>
      <c r="B29" s="216"/>
      <c r="C29" s="217"/>
      <c r="D29" s="218"/>
      <c r="E29" s="226"/>
      <c r="F29" s="237"/>
      <c r="G29" s="233"/>
      <c r="H29" s="234"/>
      <c r="I29" s="779"/>
      <c r="J29" s="215">
        <f>+'14'!J29</f>
        <v>0</v>
      </c>
      <c r="K29" s="240"/>
      <c r="L29" s="240"/>
      <c r="M29" s="118">
        <f>+K29+'14'!M29+L29</f>
        <v>0</v>
      </c>
    </row>
    <row r="30" spans="1:19" ht="13.5" thickBot="1">
      <c r="A30" s="784"/>
      <c r="B30" s="216"/>
      <c r="C30" s="227"/>
      <c r="D30" s="218"/>
      <c r="E30" s="226"/>
      <c r="F30" s="237"/>
      <c r="G30" s="233"/>
      <c r="H30" s="234"/>
      <c r="I30" s="779"/>
      <c r="J30" s="215">
        <f>+'14'!J30</f>
        <v>0</v>
      </c>
      <c r="K30" s="240"/>
      <c r="L30" s="240"/>
      <c r="M30" s="118">
        <f>+K30+'14'!M30+L30</f>
        <v>0</v>
      </c>
      <c r="N30" s="156"/>
    </row>
    <row r="31" spans="1:19" ht="13.5" thickBot="1">
      <c r="A31" s="784"/>
      <c r="B31" s="216"/>
      <c r="C31" s="227"/>
      <c r="D31" s="218"/>
      <c r="E31" s="226"/>
      <c r="F31" s="237"/>
      <c r="G31" s="238"/>
      <c r="H31" s="235"/>
      <c r="I31" s="780"/>
      <c r="J31" s="215">
        <f>+'14'!J31</f>
        <v>0</v>
      </c>
      <c r="K31" s="240"/>
      <c r="L31" s="240"/>
      <c r="M31" s="118">
        <f>+K31+'14'!M31+L31</f>
        <v>0</v>
      </c>
    </row>
    <row r="32" spans="1:19" ht="13.5" thickBot="1">
      <c r="A32" s="785"/>
      <c r="B32" s="166" t="s">
        <v>3</v>
      </c>
      <c r="C32" s="100">
        <f>SUM(C25:C31)</f>
        <v>16885</v>
      </c>
      <c r="D32" s="101">
        <f>SUM(D25:D31)</f>
        <v>671</v>
      </c>
      <c r="E32" s="102">
        <f>SUM(E25:E31)</f>
        <v>0</v>
      </c>
      <c r="F32" s="103">
        <f>SUM(F24:F31)</f>
        <v>14</v>
      </c>
      <c r="G32" s="172"/>
      <c r="H32" s="173"/>
      <c r="I32" s="170"/>
      <c r="J32" s="215">
        <f>+'14'!J32</f>
        <v>0</v>
      </c>
      <c r="K32" s="242"/>
      <c r="L32" s="244"/>
      <c r="M32" s="118">
        <f>+K32+'14'!M32+L32</f>
        <v>0</v>
      </c>
    </row>
    <row r="33" spans="1:14" ht="13.5" thickBot="1">
      <c r="A33" s="174"/>
      <c r="B33" s="175"/>
      <c r="C33" s="104">
        <f>C32/($C$32+$D$32+$E$32)</f>
        <v>0.96177944862155385</v>
      </c>
      <c r="D33" s="105">
        <f>D32/($C$32+$D$32+$E$32)</f>
        <v>3.8220551378446113E-2</v>
      </c>
      <c r="E33" s="106">
        <f>E32/($C$32+$D$32+$E$32)</f>
        <v>0</v>
      </c>
      <c r="F33" s="107"/>
      <c r="G33" s="176"/>
      <c r="H33" s="177"/>
      <c r="I33" s="178"/>
      <c r="J33" s="122"/>
      <c r="K33" s="123"/>
      <c r="L33" s="214"/>
      <c r="M33" s="120"/>
    </row>
    <row r="34" spans="1:14" ht="13.5" thickBot="1">
      <c r="A34" s="771" t="s">
        <v>70</v>
      </c>
      <c r="B34" s="772"/>
      <c r="C34" s="108">
        <f>C14+C23+C32</f>
        <v>50348</v>
      </c>
      <c r="D34" s="108">
        <f>D14+D23+D32</f>
        <v>671</v>
      </c>
      <c r="E34" s="108">
        <f>E14+E23+E32</f>
        <v>0</v>
      </c>
      <c r="F34" s="109">
        <f>F14+F23+F32</f>
        <v>45</v>
      </c>
      <c r="H34" s="179"/>
      <c r="I34" s="179"/>
      <c r="J34" s="124" t="s">
        <v>29</v>
      </c>
      <c r="K34" s="125">
        <f>SUM(K7:K32)</f>
        <v>50348</v>
      </c>
      <c r="L34" s="213">
        <f>SUM(L7:L32)</f>
        <v>0</v>
      </c>
      <c r="M34" s="121">
        <f>SUM(M7:M32)</f>
        <v>715493</v>
      </c>
      <c r="N34" s="156"/>
    </row>
    <row r="35" spans="1:14" ht="13.5" thickBot="1">
      <c r="A35" s="180"/>
      <c r="B35" s="181"/>
      <c r="C35" s="105">
        <f>C34/($C$34+$D$34+$E$34)</f>
        <v>0.98684803700582135</v>
      </c>
      <c r="D35" s="105">
        <f>D34/($C$34+$D$34+$E$34)</f>
        <v>1.315196299417864E-2</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(15.5*1440)/1440*G42*2.77*1440/1000000</f>
        <v>55.699403759999996</v>
      </c>
      <c r="J37" s="126">
        <f>+I37+'14'!J37</f>
        <v>772.90722337217915</v>
      </c>
      <c r="K37" s="127" t="s">
        <v>76</v>
      </c>
      <c r="L37" s="421"/>
      <c r="M37" s="422"/>
    </row>
    <row r="38" spans="1:14" ht="17.45" customHeight="1">
      <c r="A38" s="767" t="s">
        <v>13</v>
      </c>
      <c r="B38" s="768"/>
      <c r="C38" s="165">
        <f>SUMIF($G$7:$G$31,"Process",$F$7:$F$31)</f>
        <v>37</v>
      </c>
      <c r="D38" s="119">
        <f>+C38+'14'!D38</f>
        <v>784</v>
      </c>
      <c r="E38" s="144">
        <f t="shared" ref="E38:E51" si="0">D38/60</f>
        <v>13.066666666666666</v>
      </c>
      <c r="F38" s="361">
        <v>1170</v>
      </c>
      <c r="G38" s="361">
        <v>900.9</v>
      </c>
      <c r="H38" s="188" t="s">
        <v>77</v>
      </c>
      <c r="I38" s="246">
        <f>16.709+16.617+18.129</f>
        <v>51.454999999999998</v>
      </c>
      <c r="J38" s="128">
        <f>+I38+'14'!J38</f>
        <v>736.54700000000003</v>
      </c>
      <c r="K38" s="129" t="s">
        <v>76</v>
      </c>
      <c r="L38" s="423"/>
      <c r="M38" s="424"/>
    </row>
    <row r="39" spans="1:14" ht="17.45" customHeight="1">
      <c r="A39" s="763" t="s">
        <v>14</v>
      </c>
      <c r="B39" s="764"/>
      <c r="C39" s="165">
        <f>SUMIF($G$7:$G$31,"Cleaning",$F$7:$F$31)</f>
        <v>8</v>
      </c>
      <c r="D39" s="119">
        <f>+C39+'14'!D39</f>
        <v>190</v>
      </c>
      <c r="E39" s="144">
        <f t="shared" si="0"/>
        <v>3.1666666666666665</v>
      </c>
      <c r="F39" s="361">
        <v>1170</v>
      </c>
      <c r="G39" s="361">
        <v>900.9</v>
      </c>
      <c r="H39" s="188" t="s">
        <v>78</v>
      </c>
      <c r="I39" s="143"/>
      <c r="J39" s="130">
        <f>J37/G4</f>
        <v>51.527148224811945</v>
      </c>
      <c r="K39" s="131" t="s">
        <v>76</v>
      </c>
      <c r="L39" s="423"/>
      <c r="M39" s="424"/>
    </row>
    <row r="40" spans="1:14" ht="17.45" customHeight="1">
      <c r="A40" s="763" t="s">
        <v>79</v>
      </c>
      <c r="B40" s="764"/>
      <c r="C40" s="165">
        <f>SUMIF($G$7:$G$31,"Mechanical",$F$7:$F$31)</f>
        <v>0</v>
      </c>
      <c r="D40" s="119">
        <f>+C40+'14'!D40</f>
        <v>0</v>
      </c>
      <c r="E40" s="144">
        <f t="shared" si="0"/>
        <v>0</v>
      </c>
      <c r="F40" s="361">
        <v>1170</v>
      </c>
      <c r="G40" s="361">
        <v>900.9</v>
      </c>
      <c r="H40" s="188" t="s">
        <v>80</v>
      </c>
      <c r="I40" s="119">
        <f>(K34+L34)/1000</f>
        <v>50.347999999999999</v>
      </c>
      <c r="J40" s="132">
        <f>+I40+'14'!J40</f>
        <v>715.49299999999994</v>
      </c>
      <c r="K40" s="131" t="s">
        <v>76</v>
      </c>
      <c r="L40" s="423"/>
      <c r="M40" s="424"/>
    </row>
    <row r="41" spans="1:14" ht="17.45" customHeight="1">
      <c r="A41" s="763" t="s">
        <v>81</v>
      </c>
      <c r="B41" s="764"/>
      <c r="C41" s="165">
        <f>SUMIF($G$7:$G$31,"Electrical",$F$7:$F$31)</f>
        <v>0</v>
      </c>
      <c r="D41" s="119">
        <f>+C41+'14'!D41</f>
        <v>170</v>
      </c>
      <c r="E41" s="144">
        <f t="shared" si="0"/>
        <v>2.8333333333333335</v>
      </c>
      <c r="F41" s="361"/>
      <c r="G41" s="361"/>
      <c r="H41" s="188" t="s">
        <v>82</v>
      </c>
      <c r="I41" s="143"/>
      <c r="J41" s="130">
        <f>J40/G4</f>
        <v>47.699533333333328</v>
      </c>
      <c r="K41" s="131" t="s">
        <v>76</v>
      </c>
      <c r="L41" s="423"/>
      <c r="M41" s="424"/>
    </row>
    <row r="42" spans="1:14" ht="17.45" customHeight="1">
      <c r="A42" s="763" t="s">
        <v>17</v>
      </c>
      <c r="B42" s="764"/>
      <c r="C42" s="165">
        <f>SUMIF($G$7:$G$31,"Instrument",$F$7:$F$31)</f>
        <v>0</v>
      </c>
      <c r="D42" s="119">
        <f>+C42+'14'!D42</f>
        <v>0</v>
      </c>
      <c r="E42" s="144">
        <f t="shared" si="0"/>
        <v>0</v>
      </c>
      <c r="F42" s="361">
        <f>+(480*F38+480*F39+480*F40)/1440</f>
        <v>1170</v>
      </c>
      <c r="G42" s="361">
        <f>+(480*G38+480*G39+480*G40)/1440</f>
        <v>900.9</v>
      </c>
      <c r="H42" s="188" t="s">
        <v>83</v>
      </c>
      <c r="I42" s="247" t="s">
        <v>602</v>
      </c>
      <c r="J42" s="133"/>
      <c r="K42" s="131" t="s">
        <v>84</v>
      </c>
      <c r="L42" s="423"/>
      <c r="M42" s="424"/>
    </row>
    <row r="43" spans="1:14" ht="17.45" customHeight="1">
      <c r="A43" s="763" t="s">
        <v>202</v>
      </c>
      <c r="B43" s="764"/>
      <c r="C43" s="165">
        <f>SUMIF($G$7:$G$31,"Change Grade",$F$7:$F$31)</f>
        <v>0</v>
      </c>
      <c r="D43" s="119">
        <f>+C43+'14'!D43</f>
        <v>0</v>
      </c>
      <c r="E43" s="144">
        <f t="shared" si="0"/>
        <v>0</v>
      </c>
      <c r="F43" s="361"/>
      <c r="G43" s="362"/>
      <c r="H43" s="189" t="s">
        <v>86</v>
      </c>
      <c r="I43" s="119">
        <f>+Report1!AH23</f>
        <v>70.8</v>
      </c>
      <c r="J43" s="134">
        <f>+I43+'14'!J43</f>
        <v>991.49999999999989</v>
      </c>
      <c r="K43" s="131" t="s">
        <v>76</v>
      </c>
      <c r="L43" s="425">
        <f>+Report1!AN23</f>
        <v>10.8</v>
      </c>
      <c r="M43" s="426">
        <f>+L43+'14'!M43</f>
        <v>145.4</v>
      </c>
    </row>
    <row r="44" spans="1:14" ht="17.45" customHeight="1">
      <c r="A44" s="763" t="s">
        <v>18</v>
      </c>
      <c r="B44" s="764"/>
      <c r="C44" s="165">
        <f>SUMIF($G$7:$G$31,"PLN",$F$7:$F$31)</f>
        <v>0</v>
      </c>
      <c r="D44" s="119">
        <f>+C44+'14'!D44</f>
        <v>0</v>
      </c>
      <c r="E44" s="144">
        <f t="shared" si="0"/>
        <v>0</v>
      </c>
      <c r="F44" s="361"/>
      <c r="G44" s="362"/>
      <c r="H44" s="189" t="s">
        <v>87</v>
      </c>
      <c r="I44" s="119">
        <f>I43/I38</f>
        <v>1.375959576328831</v>
      </c>
      <c r="J44" s="135">
        <f>J43/J38</f>
        <v>1.3461462744400559</v>
      </c>
      <c r="K44" s="131" t="s">
        <v>76</v>
      </c>
      <c r="L44" s="427">
        <f>+L43/I38</f>
        <v>0.20989213876202509</v>
      </c>
      <c r="M44" s="428">
        <f>+M43/J38</f>
        <v>0.19740763318566229</v>
      </c>
    </row>
    <row r="45" spans="1:14" ht="17.45" customHeight="1">
      <c r="A45" s="763" t="s">
        <v>19</v>
      </c>
      <c r="B45" s="764"/>
      <c r="C45" s="165">
        <f>SUMIF($G$7:$G$31,"Boiler",$F$7:$F$31)</f>
        <v>0</v>
      </c>
      <c r="D45" s="119">
        <f>+C45+'14'!D45</f>
        <v>0</v>
      </c>
      <c r="E45" s="144">
        <f t="shared" si="0"/>
        <v>0</v>
      </c>
      <c r="F45" s="361"/>
      <c r="G45" s="364"/>
      <c r="H45" s="189" t="s">
        <v>88</v>
      </c>
      <c r="I45" s="119">
        <f>I43/I40</f>
        <v>1.4062127591959959</v>
      </c>
      <c r="J45" s="135">
        <f>J43/J40</f>
        <v>1.385757792179658</v>
      </c>
      <c r="K45" s="131" t="s">
        <v>76</v>
      </c>
      <c r="L45" s="427">
        <f>+L43/I40</f>
        <v>0.21450703106379601</v>
      </c>
      <c r="M45" s="428">
        <f>+M43/J40</f>
        <v>0.20321652343209509</v>
      </c>
    </row>
    <row r="46" spans="1:14" ht="17.45" customHeight="1">
      <c r="A46" s="763" t="s">
        <v>89</v>
      </c>
      <c r="B46" s="764"/>
      <c r="C46" s="165">
        <f>SUMIF($G$7:$G$31,"Gas",$F$7:$F$31)</f>
        <v>0</v>
      </c>
      <c r="D46" s="119">
        <f>+C46+'14'!D46</f>
        <v>0</v>
      </c>
      <c r="E46" s="144">
        <f t="shared" si="0"/>
        <v>0</v>
      </c>
      <c r="F46" s="361"/>
      <c r="G46" s="362"/>
      <c r="H46" s="189" t="s">
        <v>90</v>
      </c>
      <c r="I46" s="141">
        <f>+SUMIF(Listrik!P22,"&gt;0")</f>
        <v>36809.519999999924</v>
      </c>
      <c r="J46" s="136">
        <f>+I46+'14'!J46</f>
        <v>587176.81999999995</v>
      </c>
      <c r="K46" s="131" t="s">
        <v>91</v>
      </c>
      <c r="L46" s="427">
        <f>+Listrik!AF22</f>
        <v>0</v>
      </c>
      <c r="M46" s="429">
        <f>+L46+'14'!M46</f>
        <v>0</v>
      </c>
    </row>
    <row r="47" spans="1:14" ht="17.45" customHeight="1">
      <c r="A47" s="763" t="s">
        <v>92</v>
      </c>
      <c r="B47" s="764"/>
      <c r="C47" s="165">
        <f>SUMIF($G$7:$G$31,"Gas",$F$7:$F$31)</f>
        <v>0</v>
      </c>
      <c r="D47" s="119">
        <f>+C47+'14'!D47</f>
        <v>0</v>
      </c>
      <c r="E47" s="144">
        <f t="shared" si="0"/>
        <v>0</v>
      </c>
      <c r="F47" s="361"/>
      <c r="G47" s="362"/>
      <c r="H47" s="189" t="s">
        <v>93</v>
      </c>
      <c r="I47" s="119">
        <f>I46/I38</f>
        <v>715.37304440773346</v>
      </c>
      <c r="J47" s="136">
        <f>J46/J38</f>
        <v>797.20210658654491</v>
      </c>
      <c r="K47" s="131" t="s">
        <v>25</v>
      </c>
      <c r="L47" s="427">
        <f>+L46/I38</f>
        <v>0</v>
      </c>
      <c r="M47" s="428">
        <f>+M46/J38</f>
        <v>0</v>
      </c>
    </row>
    <row r="48" spans="1:14" ht="17.45" customHeight="1">
      <c r="A48" s="763" t="s">
        <v>15</v>
      </c>
      <c r="B48" s="764"/>
      <c r="C48" s="165">
        <f>SUMIF($G$7:$G$31,"Start Up",$F$7:$F$31)</f>
        <v>0</v>
      </c>
      <c r="D48" s="119">
        <f>+C48+'14'!D48</f>
        <v>0</v>
      </c>
      <c r="E48" s="144">
        <f t="shared" si="0"/>
        <v>0</v>
      </c>
      <c r="F48" s="361"/>
      <c r="G48" s="362"/>
      <c r="H48" s="189" t="s">
        <v>94</v>
      </c>
      <c r="I48" s="119">
        <f>I46/I40</f>
        <v>731.10193056327807</v>
      </c>
      <c r="J48" s="136">
        <f>J46/J40</f>
        <v>820.66046767753141</v>
      </c>
      <c r="K48" s="131" t="s">
        <v>25</v>
      </c>
      <c r="L48" s="427">
        <f>+L46/I38</f>
        <v>0</v>
      </c>
      <c r="M48" s="428">
        <f>+M46/J40</f>
        <v>0</v>
      </c>
    </row>
    <row r="49" spans="1:13" ht="17.45" customHeight="1">
      <c r="A49" s="763" t="s">
        <v>21</v>
      </c>
      <c r="B49" s="764"/>
      <c r="C49" s="165">
        <f>SUMIF($G$7:$G$31,"Others",$F$7:$F$31)</f>
        <v>0</v>
      </c>
      <c r="D49" s="119">
        <f>+C49+'14'!D49</f>
        <v>0</v>
      </c>
      <c r="E49" s="144">
        <f t="shared" si="0"/>
        <v>0</v>
      </c>
      <c r="F49" s="186"/>
      <c r="H49" s="189" t="s">
        <v>95</v>
      </c>
      <c r="I49" s="119">
        <f>+Report1!AB23</f>
        <v>5203.8417554071029</v>
      </c>
      <c r="J49" s="136">
        <f>+I49+'14'!J49</f>
        <v>73397.368620735695</v>
      </c>
      <c r="K49" s="131" t="s">
        <v>96</v>
      </c>
      <c r="L49" s="423"/>
      <c r="M49" s="424"/>
    </row>
    <row r="50" spans="1:13" ht="17.45" customHeight="1">
      <c r="A50" s="763" t="s">
        <v>20</v>
      </c>
      <c r="B50" s="764"/>
      <c r="C50" s="165">
        <f>SUMIF($G$7:$G$31,"Steam",$F$7:$F$31)</f>
        <v>0</v>
      </c>
      <c r="D50" s="119">
        <f>+C50+'14'!D50</f>
        <v>0</v>
      </c>
      <c r="E50" s="144">
        <f t="shared" si="0"/>
        <v>0</v>
      </c>
      <c r="F50" s="186"/>
      <c r="H50" s="189" t="s">
        <v>97</v>
      </c>
      <c r="I50" s="141">
        <f>I49/I38</f>
        <v>101.13384035384517</v>
      </c>
      <c r="J50" s="134">
        <f>J49/J38</f>
        <v>99.65062463187779</v>
      </c>
      <c r="K50" s="131" t="s">
        <v>96</v>
      </c>
      <c r="L50" s="423"/>
      <c r="M50" s="424"/>
    </row>
    <row r="51" spans="1:13" ht="17.45" customHeight="1" thickBot="1">
      <c r="A51" s="765" t="s">
        <v>98</v>
      </c>
      <c r="B51" s="766"/>
      <c r="C51" s="165">
        <f>SUMIF($G$7:$G$31,"Planned shut",$F$7:$F$31)</f>
        <v>0</v>
      </c>
      <c r="D51" s="119">
        <f>+C51+'14'!D51</f>
        <v>609</v>
      </c>
      <c r="E51" s="144">
        <f t="shared" si="0"/>
        <v>10.15</v>
      </c>
      <c r="F51" s="186"/>
      <c r="H51" s="191" t="s">
        <v>99</v>
      </c>
      <c r="I51" s="142">
        <f>I49/I40</f>
        <v>103.35746713686945</v>
      </c>
      <c r="J51" s="137">
        <f>J49/J40</f>
        <v>102.58293040006778</v>
      </c>
      <c r="K51" s="138" t="s">
        <v>96</v>
      </c>
      <c r="L51" s="423"/>
      <c r="M51" s="424"/>
    </row>
    <row r="52" spans="1:13" ht="13.5" thickBot="1">
      <c r="A52" s="767" t="s">
        <v>29</v>
      </c>
      <c r="B52" s="768"/>
      <c r="C52" s="145">
        <f>SUM(C38:C51)</f>
        <v>45</v>
      </c>
      <c r="D52" s="145">
        <f>SUM(D38:D51)</f>
        <v>1753</v>
      </c>
      <c r="E52" s="146">
        <f>SUM(E38:E51)</f>
        <v>29.216666666666669</v>
      </c>
      <c r="F52" s="186"/>
      <c r="H52" s="192"/>
      <c r="I52" s="193"/>
      <c r="J52" s="139"/>
      <c r="K52" s="140"/>
      <c r="L52" s="430"/>
      <c r="M52" s="431"/>
    </row>
    <row r="53" spans="1:13" ht="13.5" thickBot="1">
      <c r="A53" s="769"/>
      <c r="B53" s="770"/>
      <c r="C53" s="147">
        <f>C52/(24*60)</f>
        <v>3.125E-2</v>
      </c>
      <c r="D53" s="147">
        <f>D52/(24*60*G4)</f>
        <v>8.1157407407407414E-2</v>
      </c>
      <c r="E53" s="148">
        <f>E52/(G4*24)</f>
        <v>8.1157407407407414E-2</v>
      </c>
      <c r="F53" s="186"/>
    </row>
    <row r="54" spans="1:13">
      <c r="E54" s="194"/>
      <c r="F54" s="186"/>
    </row>
    <row r="55" spans="1:13">
      <c r="E55" s="194"/>
    </row>
    <row r="56" spans="1:13">
      <c r="A56" s="195" t="s">
        <v>100</v>
      </c>
      <c r="B56" s="196"/>
      <c r="C56" s="197"/>
      <c r="D56" s="197"/>
      <c r="E56" s="197"/>
      <c r="F56" s="198"/>
      <c r="G56" s="197"/>
      <c r="H56" s="199"/>
      <c r="I56" s="200" t="s">
        <v>101</v>
      </c>
      <c r="J56" s="201">
        <f>+D34+'14'!J56</f>
        <v>3147</v>
      </c>
      <c r="K56" s="202">
        <f>J56/(J40+J56/1000)/1000</f>
        <v>4.3791049760659026E-3</v>
      </c>
    </row>
    <row r="57" spans="1:13">
      <c r="A57" s="177"/>
      <c r="I57" s="200" t="s">
        <v>102</v>
      </c>
      <c r="J57" s="201">
        <f>+E34+'14'!J57</f>
        <v>0</v>
      </c>
      <c r="K57" s="202">
        <f>J57/(J40+J57/1000)/1000</f>
        <v>0</v>
      </c>
    </row>
    <row r="58" spans="1:13">
      <c r="A58" s="203"/>
      <c r="B58" s="204"/>
      <c r="F58" s="186"/>
      <c r="H58" s="205"/>
      <c r="J58" s="150">
        <v>325</v>
      </c>
    </row>
    <row r="59" spans="1:13">
      <c r="A59" s="206"/>
      <c r="B59" s="177"/>
      <c r="C59" s="177"/>
      <c r="D59" s="177"/>
      <c r="E59" s="177"/>
      <c r="F59" s="190"/>
      <c r="G59" s="177"/>
      <c r="H59" s="205"/>
      <c r="J59" s="156">
        <f>+J56+J58</f>
        <v>3472</v>
      </c>
    </row>
    <row r="60" spans="1:13">
      <c r="H60" s="205"/>
    </row>
    <row r="61" spans="1:13">
      <c r="A61" s="207"/>
      <c r="B61" s="208"/>
      <c r="C61" s="208"/>
      <c r="D61" s="208"/>
      <c r="E61" s="208"/>
      <c r="F61" s="209"/>
      <c r="G61" s="208"/>
      <c r="H61" s="210"/>
    </row>
  </sheetData>
  <mergeCells count="25">
    <mergeCell ref="A39:B39"/>
    <mergeCell ref="L35:M35"/>
    <mergeCell ref="I24:I31"/>
    <mergeCell ref="A24:A32"/>
    <mergeCell ref="I7:I13"/>
    <mergeCell ref="A7:A14"/>
    <mergeCell ref="A34:B34"/>
    <mergeCell ref="A15:A23"/>
    <mergeCell ref="I15:I22"/>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Z61"/>
  <sheetViews>
    <sheetView view="pageBreakPreview" zoomScale="80" zoomScaleNormal="75"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2.5703125" style="150" bestFit="1" customWidth="1"/>
    <col min="12" max="12" width="8.28515625" style="150" customWidth="1"/>
    <col min="13" max="13" width="12.140625" style="150"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14</v>
      </c>
      <c r="H4" s="155" t="str">
        <f>+'1'!H4</f>
        <v>.11.25</v>
      </c>
      <c r="J4" s="150">
        <f>686.3+719.3+590.5</f>
        <v>1996.1</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960</v>
      </c>
      <c r="P6" s="150">
        <f>+O6-O6*0.23</f>
        <v>739.2</v>
      </c>
      <c r="Q6" s="150">
        <f>60+24</f>
        <v>84</v>
      </c>
      <c r="R6" s="150">
        <f>+O6*Q6</f>
        <v>80640</v>
      </c>
      <c r="S6" s="150">
        <f>+P6*Q6</f>
        <v>62092.800000000003</v>
      </c>
      <c r="U6" s="150" t="s">
        <v>415</v>
      </c>
      <c r="V6" s="150">
        <v>960</v>
      </c>
      <c r="W6" s="150">
        <f>+V6-V6*0.23</f>
        <v>739.2</v>
      </c>
      <c r="X6" s="150">
        <f>60+24</f>
        <v>84</v>
      </c>
      <c r="Y6" s="150">
        <f>+V6*X6</f>
        <v>80640</v>
      </c>
      <c r="Z6" s="150">
        <f>+W6*X6</f>
        <v>62092.800000000003</v>
      </c>
    </row>
    <row r="7" spans="1:26" ht="13.5" customHeight="1" thickBot="1">
      <c r="A7" s="775" t="s">
        <v>446</v>
      </c>
      <c r="B7" s="216" t="s">
        <v>448</v>
      </c>
      <c r="C7" s="217">
        <v>17556</v>
      </c>
      <c r="D7" s="218"/>
      <c r="E7" s="219"/>
      <c r="F7" s="229"/>
      <c r="G7" s="230" t="s">
        <v>13</v>
      </c>
      <c r="H7" s="231" t="s">
        <v>390</v>
      </c>
      <c r="I7" s="778" t="s">
        <v>591</v>
      </c>
      <c r="J7" s="215" t="str">
        <f>+'13'!J7</f>
        <v>T 13,5 RC HW</v>
      </c>
      <c r="K7" s="239">
        <f>+C7</f>
        <v>17556</v>
      </c>
      <c r="L7" s="243"/>
      <c r="M7" s="118">
        <f>+K7+'13'!M7+L7</f>
        <v>263166</v>
      </c>
      <c r="O7" s="150">
        <v>970</v>
      </c>
      <c r="P7" s="150">
        <f t="shared" ref="P7:P14" si="0">+O7-O7*0.23</f>
        <v>746.9</v>
      </c>
      <c r="Q7" s="150">
        <f>60-24+4</f>
        <v>40</v>
      </c>
      <c r="R7" s="150">
        <f t="shared" ref="R7:R10" si="1">+O7*Q7</f>
        <v>38800</v>
      </c>
      <c r="S7" s="150">
        <f t="shared" ref="S7:S10" si="2">+P7*Q7</f>
        <v>29876</v>
      </c>
      <c r="V7" s="150">
        <v>970</v>
      </c>
      <c r="W7" s="150">
        <f t="shared" ref="W7:W12" si="3">+V7-V7*0.23</f>
        <v>746.9</v>
      </c>
      <c r="X7" s="150">
        <f>60-24+4</f>
        <v>40</v>
      </c>
      <c r="Y7" s="150">
        <f t="shared" ref="Y7:Y12" si="4">+V7*X7</f>
        <v>38800</v>
      </c>
      <c r="Z7" s="150">
        <f t="shared" ref="Z7:Z12" si="5">+W7*X7</f>
        <v>29876</v>
      </c>
    </row>
    <row r="8" spans="1:26" ht="13.5" thickBot="1">
      <c r="A8" s="784"/>
      <c r="B8" s="216" t="s">
        <v>595</v>
      </c>
      <c r="C8" s="217">
        <v>683</v>
      </c>
      <c r="D8" s="218"/>
      <c r="E8" s="220"/>
      <c r="F8" s="232">
        <v>9</v>
      </c>
      <c r="G8" s="579" t="s">
        <v>13</v>
      </c>
      <c r="H8" s="231" t="s">
        <v>429</v>
      </c>
      <c r="I8" s="779"/>
      <c r="J8" s="215" t="str">
        <f>+'13'!J8</f>
        <v>T 14 RC HW</v>
      </c>
      <c r="K8" s="240"/>
      <c r="L8" s="240"/>
      <c r="M8" s="118">
        <f>+K8+'13'!M8+L8</f>
        <v>97781</v>
      </c>
      <c r="O8" s="150">
        <v>1020</v>
      </c>
      <c r="P8" s="150">
        <f t="shared" si="0"/>
        <v>785.4</v>
      </c>
      <c r="Q8" s="150">
        <f>51-4</f>
        <v>47</v>
      </c>
      <c r="R8" s="150">
        <f t="shared" si="1"/>
        <v>47940</v>
      </c>
      <c r="S8" s="150">
        <f t="shared" si="2"/>
        <v>36913.799999999996</v>
      </c>
      <c r="V8" s="150">
        <v>1020</v>
      </c>
      <c r="W8" s="150">
        <f t="shared" si="3"/>
        <v>785.4</v>
      </c>
      <c r="X8" s="150">
        <f>51-4</f>
        <v>47</v>
      </c>
      <c r="Y8" s="150">
        <f t="shared" si="4"/>
        <v>47940</v>
      </c>
      <c r="Z8" s="150">
        <f t="shared" si="5"/>
        <v>36913.799999999996</v>
      </c>
    </row>
    <row r="9" spans="1:26" ht="13.5" thickBot="1">
      <c r="A9" s="784"/>
      <c r="B9" s="216"/>
      <c r="C9" s="217"/>
      <c r="D9" s="218"/>
      <c r="E9" s="221"/>
      <c r="F9" s="229">
        <f>24-9</f>
        <v>15</v>
      </c>
      <c r="G9" s="579" t="s">
        <v>13</v>
      </c>
      <c r="H9" s="234" t="s">
        <v>427</v>
      </c>
      <c r="I9" s="779"/>
      <c r="J9" s="215" t="str">
        <f>+'13'!J9</f>
        <v>T 15 RC HW</v>
      </c>
      <c r="K9" s="240"/>
      <c r="L9" s="240"/>
      <c r="M9" s="118">
        <f>+K9+'13'!M9+L9</f>
        <v>34238</v>
      </c>
      <c r="O9" s="150">
        <v>1050</v>
      </c>
      <c r="P9" s="150">
        <f t="shared" si="0"/>
        <v>808.5</v>
      </c>
      <c r="Q9" s="150">
        <f>60-51+28</f>
        <v>37</v>
      </c>
      <c r="R9" s="150">
        <f t="shared" si="1"/>
        <v>38850</v>
      </c>
      <c r="S9" s="150">
        <f t="shared" si="2"/>
        <v>29914.5</v>
      </c>
      <c r="V9" s="150">
        <v>1050</v>
      </c>
      <c r="W9" s="150">
        <f t="shared" si="3"/>
        <v>808.5</v>
      </c>
      <c r="X9" s="150">
        <f>60-51+28</f>
        <v>37</v>
      </c>
      <c r="Y9" s="150">
        <f t="shared" si="4"/>
        <v>38850</v>
      </c>
      <c r="Z9" s="150">
        <f t="shared" si="5"/>
        <v>29914.5</v>
      </c>
    </row>
    <row r="10" spans="1:26" ht="26.25" thickBot="1">
      <c r="A10" s="784"/>
      <c r="B10" s="216"/>
      <c r="C10" s="217"/>
      <c r="D10" s="218"/>
      <c r="E10" s="220"/>
      <c r="F10" s="229"/>
      <c r="G10" s="238" t="s">
        <v>14</v>
      </c>
      <c r="H10" s="234" t="s">
        <v>587</v>
      </c>
      <c r="I10" s="779"/>
      <c r="J10" s="215" t="str">
        <f>+'13'!J10</f>
        <v>TW 29 RC HW</v>
      </c>
      <c r="K10" s="240"/>
      <c r="L10" s="240"/>
      <c r="M10" s="118">
        <f>+K10+'13'!M10+L10</f>
        <v>21998</v>
      </c>
      <c r="O10" s="150">
        <v>1100</v>
      </c>
      <c r="P10" s="150">
        <f t="shared" si="0"/>
        <v>847</v>
      </c>
      <c r="Q10" s="150">
        <f>60-28+7</f>
        <v>39</v>
      </c>
      <c r="R10" s="150">
        <f t="shared" si="1"/>
        <v>42900</v>
      </c>
      <c r="S10" s="150">
        <f t="shared" si="2"/>
        <v>33033</v>
      </c>
      <c r="V10" s="150">
        <v>1100</v>
      </c>
      <c r="W10" s="150">
        <f t="shared" si="3"/>
        <v>847</v>
      </c>
      <c r="X10" s="150">
        <f>60-28+7</f>
        <v>39</v>
      </c>
      <c r="Y10" s="150">
        <f t="shared" si="4"/>
        <v>42900</v>
      </c>
      <c r="Z10" s="150">
        <f t="shared" si="5"/>
        <v>33033</v>
      </c>
    </row>
    <row r="11" spans="1:26" ht="115.5" thickBot="1">
      <c r="A11" s="784"/>
      <c r="B11" s="216"/>
      <c r="C11" s="217"/>
      <c r="D11" s="218"/>
      <c r="E11" s="220"/>
      <c r="F11" s="229"/>
      <c r="G11" s="233"/>
      <c r="H11" s="234" t="s">
        <v>589</v>
      </c>
      <c r="I11" s="779"/>
      <c r="J11" s="215" t="str">
        <f>+'13'!J11</f>
        <v>TW 20 RC HW</v>
      </c>
      <c r="K11" s="240"/>
      <c r="L11" s="240"/>
      <c r="M11" s="118">
        <f>+K11+'13'!M11+L11</f>
        <v>104164</v>
      </c>
      <c r="O11" s="150">
        <v>1120</v>
      </c>
      <c r="P11" s="150">
        <f t="shared" si="0"/>
        <v>862.4</v>
      </c>
      <c r="Q11" s="150">
        <f>60-7+5</f>
        <v>58</v>
      </c>
      <c r="R11" s="150">
        <f t="shared" ref="R11:R14" si="6">+O11*Q11</f>
        <v>64960</v>
      </c>
      <c r="S11" s="150">
        <f t="shared" ref="S11:S14" si="7">+P11*Q11</f>
        <v>50019.199999999997</v>
      </c>
      <c r="V11" s="150">
        <v>1120</v>
      </c>
      <c r="W11" s="150">
        <f t="shared" si="3"/>
        <v>862.4</v>
      </c>
      <c r="X11" s="150">
        <f>60-7+5</f>
        <v>58</v>
      </c>
      <c r="Y11" s="150">
        <f t="shared" si="4"/>
        <v>64960</v>
      </c>
      <c r="Z11" s="150">
        <f t="shared" si="5"/>
        <v>50019.199999999997</v>
      </c>
    </row>
    <row r="12" spans="1:26" ht="13.5" thickBot="1">
      <c r="A12" s="784"/>
      <c r="B12" s="216"/>
      <c r="C12" s="217"/>
      <c r="D12" s="218"/>
      <c r="E12" s="220"/>
      <c r="F12" s="229"/>
      <c r="G12" s="233"/>
      <c r="H12" s="234"/>
      <c r="I12" s="779"/>
      <c r="J12" s="215" t="str">
        <f>+'13'!J12</f>
        <v>TW 19 RC HW</v>
      </c>
      <c r="K12" s="240"/>
      <c r="L12" s="240"/>
      <c r="M12" s="118">
        <f>+K12+'13'!M12+L12</f>
        <v>18863</v>
      </c>
      <c r="O12" s="150">
        <v>1130</v>
      </c>
      <c r="P12" s="150">
        <f t="shared" si="0"/>
        <v>870.09999999999991</v>
      </c>
      <c r="Q12" s="150">
        <f>6-5</f>
        <v>1</v>
      </c>
      <c r="R12" s="150">
        <f t="shared" si="6"/>
        <v>1130</v>
      </c>
      <c r="S12" s="150">
        <f t="shared" si="7"/>
        <v>870.09999999999991</v>
      </c>
      <c r="V12" s="150">
        <v>1130</v>
      </c>
      <c r="W12" s="150">
        <f t="shared" si="3"/>
        <v>870.09999999999991</v>
      </c>
      <c r="X12" s="150">
        <f>6-5</f>
        <v>1</v>
      </c>
      <c r="Y12" s="150">
        <f t="shared" si="4"/>
        <v>1130</v>
      </c>
      <c r="Z12" s="150">
        <f t="shared" si="5"/>
        <v>870.09999999999991</v>
      </c>
    </row>
    <row r="13" spans="1:26" ht="13.5" thickBot="1">
      <c r="A13" s="784"/>
      <c r="B13" s="216"/>
      <c r="C13" s="217"/>
      <c r="D13" s="217"/>
      <c r="E13" s="220"/>
      <c r="F13" s="229"/>
      <c r="G13" s="233"/>
      <c r="H13" s="234"/>
      <c r="I13" s="780"/>
      <c r="J13" s="215" t="str">
        <f>+'13'!J13</f>
        <v>TW 17 RC HW</v>
      </c>
      <c r="K13" s="240"/>
      <c r="L13" s="240"/>
      <c r="M13" s="118">
        <f>+K13+'13'!M13+L13</f>
        <v>67816</v>
      </c>
      <c r="N13" s="150" t="s">
        <v>590</v>
      </c>
      <c r="O13" s="150">
        <v>1130</v>
      </c>
      <c r="P13" s="150">
        <f t="shared" si="0"/>
        <v>870.09999999999991</v>
      </c>
      <c r="Q13" s="150">
        <f>41-6</f>
        <v>35</v>
      </c>
      <c r="R13" s="150">
        <f t="shared" si="6"/>
        <v>39550</v>
      </c>
      <c r="S13" s="150">
        <f t="shared" si="7"/>
        <v>30453.499999999996</v>
      </c>
    </row>
    <row r="14" spans="1:26" ht="13.5" thickBot="1">
      <c r="A14" s="785"/>
      <c r="B14" s="166" t="s">
        <v>3</v>
      </c>
      <c r="C14" s="100">
        <f>SUM(C7:C13)</f>
        <v>18239</v>
      </c>
      <c r="D14" s="112">
        <f>SUM(D7:D13)</f>
        <v>0</v>
      </c>
      <c r="E14" s="113">
        <f>SUM(E5:E13)</f>
        <v>0</v>
      </c>
      <c r="F14" s="103">
        <f>SUM(F6:F13)</f>
        <v>24</v>
      </c>
      <c r="G14" s="160"/>
      <c r="H14" s="167"/>
      <c r="I14" s="168"/>
      <c r="J14" s="215" t="str">
        <f>+'13'!J14</f>
        <v>F 14 RC HW</v>
      </c>
      <c r="K14" s="240"/>
      <c r="L14" s="240"/>
      <c r="M14" s="118">
        <f>+K14+'13'!M14+L14</f>
        <v>10232</v>
      </c>
      <c r="O14" s="150">
        <v>1150</v>
      </c>
      <c r="P14" s="150">
        <f t="shared" si="0"/>
        <v>885.5</v>
      </c>
      <c r="Q14" s="150">
        <f>60-41+120</f>
        <v>139</v>
      </c>
      <c r="R14" s="150">
        <f t="shared" si="6"/>
        <v>159850</v>
      </c>
      <c r="S14" s="150">
        <f t="shared" si="7"/>
        <v>123084.5</v>
      </c>
    </row>
    <row r="15" spans="1:26" ht="13.5" customHeight="1" thickBot="1">
      <c r="A15" s="775" t="s">
        <v>460</v>
      </c>
      <c r="B15" s="166"/>
      <c r="C15" s="114">
        <f>C14/($C$23+$D$23+$E$23)</f>
        <v>1.048821161587119</v>
      </c>
      <c r="D15" s="115">
        <f>D14/($C$23+$D$23+$E$23)</f>
        <v>0</v>
      </c>
      <c r="E15" s="116">
        <f>E14/($C$23+$D$23+$E$23)</f>
        <v>0</v>
      </c>
      <c r="F15" s="229"/>
      <c r="G15" s="230" t="s">
        <v>13</v>
      </c>
      <c r="H15" s="231" t="s">
        <v>390</v>
      </c>
      <c r="I15" s="778" t="s">
        <v>419</v>
      </c>
      <c r="J15" s="215" t="str">
        <f>+'13'!J15</f>
        <v>T 16,5 RC HW</v>
      </c>
      <c r="K15" s="240"/>
      <c r="L15" s="240"/>
      <c r="M15" s="118">
        <f>+K15+'13'!M15+L15</f>
        <v>10954</v>
      </c>
    </row>
    <row r="16" spans="1:26" ht="13.5" thickBot="1">
      <c r="A16" s="784"/>
      <c r="B16" s="216" t="s">
        <v>595</v>
      </c>
      <c r="C16" s="223">
        <v>17390</v>
      </c>
      <c r="D16" s="224"/>
      <c r="E16" s="225"/>
      <c r="F16" s="232">
        <v>3</v>
      </c>
      <c r="G16" s="579" t="s">
        <v>13</v>
      </c>
      <c r="H16" s="231" t="s">
        <v>429</v>
      </c>
      <c r="I16" s="779"/>
      <c r="J16" s="215" t="s">
        <v>595</v>
      </c>
      <c r="K16" s="240">
        <f>+C8+C16+C25</f>
        <v>35933</v>
      </c>
      <c r="L16" s="230"/>
      <c r="M16" s="118">
        <f>+K16+'13'!M16+L16</f>
        <v>35933</v>
      </c>
      <c r="Q16" s="150">
        <f>SUM(Q6:Q14)</f>
        <v>480</v>
      </c>
      <c r="R16" s="150">
        <f>SUM(R6:R14)</f>
        <v>514620</v>
      </c>
      <c r="S16" s="150">
        <f>SUM(S6:S14)</f>
        <v>396257.39999999997</v>
      </c>
      <c r="X16" s="150">
        <f>SUM(X6:X14)</f>
        <v>306</v>
      </c>
      <c r="Y16" s="150">
        <f>SUM(Y6:Y14)</f>
        <v>315220</v>
      </c>
      <c r="Z16" s="150">
        <f>SUM(Z6:Z14)</f>
        <v>242719.4</v>
      </c>
    </row>
    <row r="17" spans="1:26" ht="13.5" thickBot="1">
      <c r="A17" s="784"/>
      <c r="B17" s="216"/>
      <c r="C17" s="217"/>
      <c r="D17" s="218"/>
      <c r="E17" s="226"/>
      <c r="F17" s="229">
        <v>8</v>
      </c>
      <c r="G17" s="579" t="s">
        <v>13</v>
      </c>
      <c r="H17" s="234" t="s">
        <v>425</v>
      </c>
      <c r="I17" s="779"/>
      <c r="J17" s="215">
        <f>+'13'!J17</f>
        <v>0</v>
      </c>
      <c r="K17" s="240"/>
      <c r="L17" s="230"/>
      <c r="M17" s="118">
        <f>+K17+'13'!M17+L17</f>
        <v>0</v>
      </c>
      <c r="Q17" s="150">
        <f>480-Q16</f>
        <v>0</v>
      </c>
      <c r="R17" s="150">
        <f>+R16/Q16</f>
        <v>1072.125</v>
      </c>
      <c r="S17" s="150">
        <f>+S16/Q16</f>
        <v>825.53624999999988</v>
      </c>
      <c r="X17" s="150">
        <f>480-X16</f>
        <v>174</v>
      </c>
      <c r="Y17" s="150">
        <f>+Y16/X16</f>
        <v>1030.1307189542483</v>
      </c>
      <c r="Z17" s="150">
        <f>+Z16/X16</f>
        <v>793.20065359477121</v>
      </c>
    </row>
    <row r="18" spans="1:26" ht="26.25" thickBot="1">
      <c r="A18" s="784"/>
      <c r="B18" s="216"/>
      <c r="C18" s="217"/>
      <c r="D18" s="218"/>
      <c r="E18" s="226"/>
      <c r="F18" s="229">
        <v>8</v>
      </c>
      <c r="G18" s="238" t="s">
        <v>14</v>
      </c>
      <c r="H18" s="234" t="s">
        <v>588</v>
      </c>
      <c r="I18" s="779"/>
      <c r="J18" s="215">
        <f>+'13'!J18</f>
        <v>0</v>
      </c>
      <c r="K18" s="240"/>
      <c r="L18" s="240"/>
      <c r="M18" s="118">
        <f>+K18+'13'!M18+L18</f>
        <v>0</v>
      </c>
      <c r="N18" s="150" t="s">
        <v>590</v>
      </c>
      <c r="O18" s="150">
        <v>1150</v>
      </c>
      <c r="P18" s="150">
        <f>+O18-O18*0.23</f>
        <v>885.5</v>
      </c>
      <c r="Q18" s="150">
        <v>480</v>
      </c>
      <c r="R18" s="150">
        <f>+O18*Q18</f>
        <v>552000</v>
      </c>
      <c r="S18" s="150">
        <f>+P18*Q18</f>
        <v>425040</v>
      </c>
      <c r="U18" s="150" t="s">
        <v>590</v>
      </c>
      <c r="V18" s="150">
        <v>1130</v>
      </c>
      <c r="W18" s="150">
        <v>870.09999999999991</v>
      </c>
      <c r="X18" s="150">
        <v>35</v>
      </c>
      <c r="Y18" s="150">
        <f>+V18*X18</f>
        <v>39550</v>
      </c>
      <c r="Z18" s="150">
        <f>+W18*X18</f>
        <v>30453.499999999996</v>
      </c>
    </row>
    <row r="19" spans="1:26" ht="13.5" thickBot="1">
      <c r="A19" s="784"/>
      <c r="B19" s="216"/>
      <c r="C19" s="217"/>
      <c r="D19" s="218"/>
      <c r="E19" s="226"/>
      <c r="F19" s="236"/>
      <c r="G19" s="233"/>
      <c r="H19" s="234"/>
      <c r="I19" s="779"/>
      <c r="J19" s="215">
        <f>+'13'!J19</f>
        <v>0</v>
      </c>
      <c r="K19" s="240"/>
      <c r="L19" s="240"/>
      <c r="M19" s="118">
        <f>+K19+'13'!M19+L19</f>
        <v>0</v>
      </c>
      <c r="V19" s="150">
        <v>1150</v>
      </c>
      <c r="W19" s="150">
        <v>885.5</v>
      </c>
      <c r="X19" s="150">
        <v>139</v>
      </c>
      <c r="Y19" s="150">
        <f t="shared" ref="Y19:Y21" si="8">+V19*X19</f>
        <v>159850</v>
      </c>
      <c r="Z19" s="150">
        <f t="shared" ref="Z19:Z21" si="9">+W19*X19</f>
        <v>123084.5</v>
      </c>
    </row>
    <row r="20" spans="1:26" ht="13.5" thickBot="1">
      <c r="A20" s="784"/>
      <c r="B20" s="216"/>
      <c r="C20" s="217"/>
      <c r="D20" s="218"/>
      <c r="E20" s="226"/>
      <c r="F20" s="229"/>
      <c r="G20" s="233"/>
      <c r="H20" s="234"/>
      <c r="I20" s="779"/>
      <c r="J20" s="215">
        <f>+'13'!J20</f>
        <v>0</v>
      </c>
      <c r="K20" s="240"/>
      <c r="L20" s="241"/>
      <c r="M20" s="118">
        <f>+K20+'13'!M20+L20</f>
        <v>0</v>
      </c>
      <c r="U20" s="150" t="s">
        <v>590</v>
      </c>
      <c r="V20" s="150">
        <v>1150</v>
      </c>
      <c r="W20" s="150">
        <v>885.5</v>
      </c>
      <c r="X20" s="150">
        <v>480</v>
      </c>
      <c r="Y20" s="150">
        <f t="shared" si="8"/>
        <v>552000</v>
      </c>
      <c r="Z20" s="150">
        <f t="shared" si="9"/>
        <v>425040</v>
      </c>
    </row>
    <row r="21" spans="1:26" ht="13.5" thickBot="1">
      <c r="A21" s="784"/>
      <c r="B21" s="216"/>
      <c r="C21" s="217"/>
      <c r="D21" s="218"/>
      <c r="E21" s="226"/>
      <c r="F21" s="232"/>
      <c r="G21" s="233"/>
      <c r="H21" s="234"/>
      <c r="I21" s="779"/>
      <c r="J21" s="215">
        <f>+'13'!J21</f>
        <v>0</v>
      </c>
      <c r="K21" s="240"/>
      <c r="L21" s="240"/>
      <c r="M21" s="118">
        <f>+K21+'13'!M21+L21</f>
        <v>0</v>
      </c>
      <c r="U21" s="150" t="s">
        <v>590</v>
      </c>
      <c r="V21" s="150">
        <v>1150</v>
      </c>
      <c r="W21" s="150">
        <v>885.5</v>
      </c>
      <c r="X21" s="150">
        <v>480</v>
      </c>
      <c r="Y21" s="150">
        <f t="shared" si="8"/>
        <v>552000</v>
      </c>
      <c r="Z21" s="150">
        <f t="shared" si="9"/>
        <v>425040</v>
      </c>
    </row>
    <row r="22" spans="1:26" ht="13.5" thickBot="1">
      <c r="A22" s="784"/>
      <c r="B22" s="216"/>
      <c r="C22" s="217"/>
      <c r="D22" s="218"/>
      <c r="E22" s="226"/>
      <c r="F22" s="237"/>
      <c r="G22" s="233"/>
      <c r="H22" s="234"/>
      <c r="I22" s="780"/>
      <c r="J22" s="215">
        <f>+'13'!J22</f>
        <v>0</v>
      </c>
      <c r="K22" s="240"/>
      <c r="L22" s="240"/>
      <c r="M22" s="118">
        <f>+K22+'13'!M22+L22</f>
        <v>0</v>
      </c>
    </row>
    <row r="23" spans="1:26" ht="13.5" thickBot="1">
      <c r="A23" s="785"/>
      <c r="B23" s="166" t="s">
        <v>3</v>
      </c>
      <c r="C23" s="101">
        <f>SUM(C16:C22)</f>
        <v>17390</v>
      </c>
      <c r="D23" s="112">
        <f>SUM(D16:D22)</f>
        <v>0</v>
      </c>
      <c r="E23" s="113">
        <f>SUM(E18:E22)</f>
        <v>0</v>
      </c>
      <c r="F23" s="103">
        <f>SUM(F15:F22)</f>
        <v>19</v>
      </c>
      <c r="G23" s="160"/>
      <c r="H23" s="167"/>
      <c r="I23" s="170"/>
      <c r="J23" s="215">
        <f>+'13'!J23</f>
        <v>0</v>
      </c>
      <c r="K23" s="240"/>
      <c r="L23" s="240"/>
      <c r="M23" s="118">
        <f>+K23+'13'!M23+L23</f>
        <v>0</v>
      </c>
    </row>
    <row r="24" spans="1:26" ht="13.5" customHeight="1" thickBot="1">
      <c r="A24" s="775" t="s">
        <v>444</v>
      </c>
      <c r="B24" s="171"/>
      <c r="C24" s="114">
        <f>C23/($C$23+$D$23+$E$23)</f>
        <v>1</v>
      </c>
      <c r="D24" s="115">
        <f>D23/($C$23+$D$23+$E$23)</f>
        <v>0</v>
      </c>
      <c r="E24" s="116">
        <f>E23/($C$23+$D$23+$E$23)</f>
        <v>0</v>
      </c>
      <c r="F24" s="229"/>
      <c r="G24" s="230" t="s">
        <v>13</v>
      </c>
      <c r="H24" s="231" t="s">
        <v>390</v>
      </c>
      <c r="I24" s="778" t="s">
        <v>419</v>
      </c>
      <c r="J24" s="215">
        <f>+'13'!J24</f>
        <v>0</v>
      </c>
      <c r="K24" s="240"/>
      <c r="L24" s="240"/>
      <c r="M24" s="118">
        <f>+K24+'13'!M24+L24</f>
        <v>0</v>
      </c>
    </row>
    <row r="25" spans="1:26" ht="13.5" thickBot="1">
      <c r="A25" s="784"/>
      <c r="B25" s="216" t="s">
        <v>595</v>
      </c>
      <c r="C25" s="227">
        <v>17860</v>
      </c>
      <c r="D25" s="218"/>
      <c r="E25" s="226"/>
      <c r="F25" s="232">
        <v>3</v>
      </c>
      <c r="G25" s="579" t="s">
        <v>13</v>
      </c>
      <c r="H25" s="231" t="s">
        <v>429</v>
      </c>
      <c r="I25" s="779"/>
      <c r="J25" s="215">
        <f>+'13'!J25</f>
        <v>0</v>
      </c>
      <c r="K25" s="240"/>
      <c r="L25" s="240"/>
      <c r="M25" s="118">
        <f>+K25+'13'!M25+L25</f>
        <v>0</v>
      </c>
    </row>
    <row r="26" spans="1:26" ht="13.5" thickBot="1">
      <c r="A26" s="784"/>
      <c r="B26" s="216"/>
      <c r="C26" s="227"/>
      <c r="D26" s="218"/>
      <c r="E26" s="228"/>
      <c r="F26" s="229">
        <v>8</v>
      </c>
      <c r="G26" s="579" t="s">
        <v>13</v>
      </c>
      <c r="H26" s="234" t="s">
        <v>397</v>
      </c>
      <c r="I26" s="779"/>
      <c r="J26" s="215">
        <f>+'13'!J26</f>
        <v>0</v>
      </c>
      <c r="K26" s="240"/>
      <c r="L26" s="240"/>
      <c r="M26" s="118">
        <f>+K26+'13'!M26+L26</f>
        <v>0</v>
      </c>
    </row>
    <row r="27" spans="1:26" ht="26.25" thickBot="1">
      <c r="A27" s="784"/>
      <c r="B27" s="216"/>
      <c r="C27" s="217"/>
      <c r="D27" s="218"/>
      <c r="E27" s="226"/>
      <c r="F27" s="229"/>
      <c r="G27" s="238" t="s">
        <v>14</v>
      </c>
      <c r="H27" s="234" t="s">
        <v>586</v>
      </c>
      <c r="I27" s="779"/>
      <c r="J27" s="215">
        <f>+'13'!J27</f>
        <v>0</v>
      </c>
      <c r="K27" s="240"/>
      <c r="L27" s="240"/>
      <c r="M27" s="118">
        <f>+K27+'13'!M27+L27</f>
        <v>0</v>
      </c>
    </row>
    <row r="28" spans="1:26" ht="13.5" thickBot="1">
      <c r="A28" s="784"/>
      <c r="B28" s="216"/>
      <c r="C28" s="217"/>
      <c r="D28" s="218"/>
      <c r="E28" s="226"/>
      <c r="F28" s="232"/>
      <c r="G28" s="233"/>
      <c r="H28" s="234"/>
      <c r="I28" s="779"/>
      <c r="J28" s="215">
        <f>+'13'!J28</f>
        <v>0</v>
      </c>
      <c r="K28" s="240"/>
      <c r="L28" s="240"/>
      <c r="M28" s="118">
        <f>+K28+'13'!M28+L28</f>
        <v>0</v>
      </c>
      <c r="Q28" s="150">
        <f>SUM(Q18:Q26)</f>
        <v>480</v>
      </c>
      <c r="R28" s="150">
        <f>SUM(R18:R26)</f>
        <v>552000</v>
      </c>
      <c r="S28" s="150">
        <f>SUM(S18:S26)</f>
        <v>425040</v>
      </c>
      <c r="X28" s="150">
        <f>SUM(X18:X26)</f>
        <v>1134</v>
      </c>
      <c r="Y28" s="150">
        <f>SUM(Y18:Y26)</f>
        <v>1303400</v>
      </c>
      <c r="Z28" s="150">
        <f>SUM(Z18:Z26)</f>
        <v>1003618</v>
      </c>
    </row>
    <row r="29" spans="1:26" ht="13.5" thickBot="1">
      <c r="A29" s="784"/>
      <c r="B29" s="216"/>
      <c r="C29" s="217"/>
      <c r="D29" s="218"/>
      <c r="E29" s="226"/>
      <c r="F29" s="237"/>
      <c r="G29" s="233"/>
      <c r="H29" s="234"/>
      <c r="I29" s="779"/>
      <c r="J29" s="215">
        <f>+'13'!J29</f>
        <v>0</v>
      </c>
      <c r="K29" s="240"/>
      <c r="L29" s="240"/>
      <c r="M29" s="118">
        <f>+K29+'13'!M29+L29</f>
        <v>0</v>
      </c>
      <c r="Q29" s="150">
        <f>480-Q28</f>
        <v>0</v>
      </c>
      <c r="R29" s="150">
        <f>+R28/Q28</f>
        <v>1150</v>
      </c>
      <c r="S29" s="150">
        <f>+S28/Q28</f>
        <v>885.5</v>
      </c>
      <c r="X29" s="150">
        <f>480-X28</f>
        <v>-654</v>
      </c>
      <c r="Y29" s="150">
        <f>+Y28/X28</f>
        <v>1149.3827160493827</v>
      </c>
      <c r="Z29" s="150">
        <f>+Z28/X28</f>
        <v>885.02469135802471</v>
      </c>
    </row>
    <row r="30" spans="1:26" ht="13.5" thickBot="1">
      <c r="A30" s="784"/>
      <c r="B30" s="216"/>
      <c r="C30" s="227"/>
      <c r="D30" s="218"/>
      <c r="E30" s="226"/>
      <c r="F30" s="237"/>
      <c r="G30" s="233"/>
      <c r="H30" s="234"/>
      <c r="I30" s="779"/>
      <c r="J30" s="215">
        <f>+'13'!J30</f>
        <v>0</v>
      </c>
      <c r="K30" s="240"/>
      <c r="L30" s="240"/>
      <c r="M30" s="118">
        <f>+K30+'13'!M30+L30</f>
        <v>0</v>
      </c>
      <c r="N30" s="150" t="s">
        <v>590</v>
      </c>
      <c r="O30" s="150">
        <v>1150</v>
      </c>
      <c r="P30" s="150">
        <f>+O30-O30*0.23</f>
        <v>885.5</v>
      </c>
      <c r="Q30" s="150">
        <v>480</v>
      </c>
      <c r="R30" s="150">
        <f>+O30*Q30</f>
        <v>552000</v>
      </c>
      <c r="S30" s="150">
        <f>+P30*Q30</f>
        <v>425040</v>
      </c>
    </row>
    <row r="31" spans="1:26" ht="13.5" thickBot="1">
      <c r="A31" s="784"/>
      <c r="B31" s="216"/>
      <c r="C31" s="227"/>
      <c r="D31" s="218"/>
      <c r="E31" s="226"/>
      <c r="F31" s="237"/>
      <c r="G31" s="238"/>
      <c r="H31" s="235"/>
      <c r="I31" s="780"/>
      <c r="J31" s="215">
        <f>+'13'!J31</f>
        <v>0</v>
      </c>
      <c r="K31" s="240"/>
      <c r="L31" s="240"/>
      <c r="M31" s="118">
        <f>+K31+'13'!M31+L31</f>
        <v>0</v>
      </c>
    </row>
    <row r="32" spans="1:26" ht="13.5" thickBot="1">
      <c r="A32" s="785"/>
      <c r="B32" s="166" t="s">
        <v>3</v>
      </c>
      <c r="C32" s="100">
        <f>SUM(C25:C31)</f>
        <v>17860</v>
      </c>
      <c r="D32" s="101">
        <f>SUM(D25:D31)</f>
        <v>0</v>
      </c>
      <c r="E32" s="102">
        <f>SUM(E25:E31)</f>
        <v>0</v>
      </c>
      <c r="F32" s="103">
        <f>SUM(F24:F31)</f>
        <v>11</v>
      </c>
      <c r="G32" s="172"/>
      <c r="H32" s="173"/>
      <c r="I32" s="170"/>
      <c r="J32" s="215">
        <f>+'13'!J32</f>
        <v>0</v>
      </c>
      <c r="K32" s="242"/>
      <c r="L32" s="244"/>
      <c r="M32" s="118">
        <f>+K32+'13'!M32+L32</f>
        <v>0</v>
      </c>
    </row>
    <row r="33" spans="1:19" ht="13.5" thickBot="1">
      <c r="A33" s="174"/>
      <c r="B33" s="175"/>
      <c r="C33" s="104">
        <f>C32/($C$32+$D$32+$E$32)</f>
        <v>1</v>
      </c>
      <c r="D33" s="105">
        <f>D32/($C$32+$D$32+$E$32)</f>
        <v>0</v>
      </c>
      <c r="E33" s="106">
        <f>E32/($C$32+$D$32+$E$32)</f>
        <v>0</v>
      </c>
      <c r="F33" s="107"/>
      <c r="G33" s="176"/>
      <c r="H33" s="177"/>
      <c r="I33" s="178"/>
      <c r="J33" s="122"/>
      <c r="K33" s="123"/>
      <c r="L33" s="214"/>
      <c r="M33" s="120"/>
    </row>
    <row r="34" spans="1:19" ht="13.5" thickBot="1">
      <c r="A34" s="771" t="s">
        <v>70</v>
      </c>
      <c r="B34" s="772"/>
      <c r="C34" s="108">
        <f>C14+C23+C32</f>
        <v>53489</v>
      </c>
      <c r="D34" s="108">
        <f>D14+D23+D32</f>
        <v>0</v>
      </c>
      <c r="E34" s="108">
        <f>E14+E23+E32</f>
        <v>0</v>
      </c>
      <c r="F34" s="109">
        <f>F14+F23+F32</f>
        <v>54</v>
      </c>
      <c r="H34" s="179"/>
      <c r="I34" s="179"/>
      <c r="J34" s="124" t="s">
        <v>29</v>
      </c>
      <c r="K34" s="125">
        <f>SUM(K7:K32)</f>
        <v>53489</v>
      </c>
      <c r="L34" s="213">
        <f>SUM(L7:L32)</f>
        <v>0</v>
      </c>
      <c r="M34" s="121">
        <f>SUM(M7:M32)</f>
        <v>665145</v>
      </c>
    </row>
    <row r="35" spans="1:19" ht="13.5" thickBot="1">
      <c r="A35" s="180"/>
      <c r="B35" s="181"/>
      <c r="C35" s="105">
        <f>C34/($C$34+$D$34+$E$34)</f>
        <v>1</v>
      </c>
      <c r="D35" s="105">
        <f>D34/($C$34+$D$34+$E$34)</f>
        <v>0</v>
      </c>
      <c r="E35" s="110">
        <f>E34/($C$34+$D$34+$E$34)</f>
        <v>0</v>
      </c>
      <c r="K35" s="156"/>
      <c r="L35" s="762" t="s">
        <v>187</v>
      </c>
      <c r="M35" s="762"/>
    </row>
    <row r="36" spans="1:19" ht="13.5" thickBot="1">
      <c r="A36" s="179"/>
      <c r="B36" s="179"/>
      <c r="C36" s="156"/>
      <c r="D36" s="156"/>
      <c r="E36" s="156"/>
      <c r="G36" s="156"/>
      <c r="H36" s="182"/>
      <c r="I36" s="163" t="s">
        <v>41</v>
      </c>
      <c r="J36" s="163" t="s">
        <v>42</v>
      </c>
      <c r="K36" s="183"/>
      <c r="L36" s="163" t="s">
        <v>41</v>
      </c>
      <c r="M36" s="163" t="s">
        <v>42</v>
      </c>
    </row>
    <row r="37" spans="1:19" ht="17.45" customHeight="1" thickBot="1">
      <c r="A37" s="773" t="s">
        <v>71</v>
      </c>
      <c r="B37" s="774"/>
      <c r="C37" s="163" t="s">
        <v>72</v>
      </c>
      <c r="D37" s="184" t="s">
        <v>73</v>
      </c>
      <c r="E37" s="185" t="s">
        <v>74</v>
      </c>
      <c r="F37" s="361"/>
      <c r="G37" s="363"/>
      <c r="H37" s="187" t="s">
        <v>75</v>
      </c>
      <c r="I37" s="245">
        <f>(13.5*306+15.5*1134)/1440*G42*2.77*1440/1000000</f>
        <v>52.044245564850002</v>
      </c>
      <c r="J37" s="126">
        <f>+I37+'13'!J37</f>
        <v>717.20781961217915</v>
      </c>
      <c r="K37" s="127" t="s">
        <v>76</v>
      </c>
      <c r="L37" s="421"/>
      <c r="M37" s="422"/>
    </row>
    <row r="38" spans="1:19" ht="17.45" customHeight="1">
      <c r="A38" s="767" t="s">
        <v>13</v>
      </c>
      <c r="B38" s="768"/>
      <c r="C38" s="165">
        <f>SUMIF($G$7:$G$31,"Process",$F$7:$F$31)</f>
        <v>46</v>
      </c>
      <c r="D38" s="119">
        <f>+C38+'13'!D38</f>
        <v>747</v>
      </c>
      <c r="E38" s="144">
        <f t="shared" ref="E38:E51" si="10">D38/60</f>
        <v>12.45</v>
      </c>
      <c r="F38" s="361">
        <v>1072.125</v>
      </c>
      <c r="G38" s="361">
        <v>825.53624999999988</v>
      </c>
      <c r="H38" s="188" t="s">
        <v>77</v>
      </c>
      <c r="I38" s="543">
        <f>8.6+5.326+17.361+17.642</f>
        <v>48.929000000000002</v>
      </c>
      <c r="J38" s="128">
        <f>+I38+'13'!J38</f>
        <v>685.09199999999998</v>
      </c>
      <c r="K38" s="129" t="s">
        <v>76</v>
      </c>
      <c r="L38" s="423"/>
      <c r="M38" s="424"/>
    </row>
    <row r="39" spans="1:19" ht="17.45" customHeight="1">
      <c r="A39" s="763" t="s">
        <v>14</v>
      </c>
      <c r="B39" s="764"/>
      <c r="C39" s="165">
        <f>SUMIF($G$7:$G$31,"Cleaning",$F$7:$F$31)</f>
        <v>8</v>
      </c>
      <c r="D39" s="119">
        <f>+C39+'13'!D39</f>
        <v>182</v>
      </c>
      <c r="E39" s="144">
        <f t="shared" si="10"/>
        <v>3.0333333333333332</v>
      </c>
      <c r="F39" s="361">
        <v>1150</v>
      </c>
      <c r="G39" s="361">
        <v>885.5</v>
      </c>
      <c r="H39" s="188" t="s">
        <v>78</v>
      </c>
      <c r="I39" s="143"/>
      <c r="J39" s="130">
        <f>J37/G4</f>
        <v>51.229129972298509</v>
      </c>
      <c r="K39" s="131" t="s">
        <v>76</v>
      </c>
      <c r="L39" s="423"/>
      <c r="M39" s="424"/>
    </row>
    <row r="40" spans="1:19" ht="17.45" customHeight="1">
      <c r="A40" s="763" t="s">
        <v>79</v>
      </c>
      <c r="B40" s="764"/>
      <c r="C40" s="165">
        <f>SUMIF($G$7:$G$31,"Mechanical",$F$7:$F$31)</f>
        <v>0</v>
      </c>
      <c r="D40" s="119">
        <f>+C40+'13'!D40</f>
        <v>0</v>
      </c>
      <c r="E40" s="144">
        <f t="shared" si="10"/>
        <v>0</v>
      </c>
      <c r="F40" s="361">
        <v>1150</v>
      </c>
      <c r="G40" s="361">
        <v>885.5</v>
      </c>
      <c r="H40" s="188" t="s">
        <v>80</v>
      </c>
      <c r="I40" s="119">
        <f>(K34+L34)/1000</f>
        <v>53.488999999999997</v>
      </c>
      <c r="J40" s="132">
        <f>+I40+'13'!J40</f>
        <v>665.14499999999998</v>
      </c>
      <c r="K40" s="131" t="s">
        <v>76</v>
      </c>
      <c r="L40" s="423"/>
      <c r="M40" s="424"/>
      <c r="Q40" s="150">
        <f>SUM(Q30:Q38)</f>
        <v>480</v>
      </c>
      <c r="R40" s="150">
        <f>SUM(R30:R38)</f>
        <v>552000</v>
      </c>
      <c r="S40" s="150">
        <f>SUM(S30:S38)</f>
        <v>425040</v>
      </c>
    </row>
    <row r="41" spans="1:19" ht="17.45" customHeight="1">
      <c r="A41" s="763" t="s">
        <v>81</v>
      </c>
      <c r="B41" s="764"/>
      <c r="C41" s="165">
        <f>SUMIF($G$7:$G$31,"Electrical",$F$7:$F$31)</f>
        <v>0</v>
      </c>
      <c r="D41" s="119">
        <f>+C41+'13'!D41</f>
        <v>170</v>
      </c>
      <c r="E41" s="144">
        <f t="shared" si="10"/>
        <v>2.8333333333333335</v>
      </c>
      <c r="F41" s="361"/>
      <c r="G41" s="361"/>
      <c r="H41" s="188" t="s">
        <v>82</v>
      </c>
      <c r="I41" s="143"/>
      <c r="J41" s="130">
        <f>J40/G4</f>
        <v>47.510357142857139</v>
      </c>
      <c r="K41" s="131" t="s">
        <v>76</v>
      </c>
      <c r="L41" s="423"/>
      <c r="M41" s="424"/>
      <c r="Q41" s="150">
        <f>480-Q40</f>
        <v>0</v>
      </c>
      <c r="R41" s="150">
        <f>+R40/Q40</f>
        <v>1150</v>
      </c>
      <c r="S41" s="150">
        <f>+S40/Q40</f>
        <v>885.5</v>
      </c>
    </row>
    <row r="42" spans="1:19" ht="17.45" customHeight="1">
      <c r="A42" s="763" t="s">
        <v>17</v>
      </c>
      <c r="B42" s="764"/>
      <c r="C42" s="165">
        <f>SUMIF($G$7:$G$31,"Instrument",$F$7:$F$31)</f>
        <v>0</v>
      </c>
      <c r="D42" s="119">
        <f>+C42+'13'!D42</f>
        <v>0</v>
      </c>
      <c r="E42" s="144">
        <f t="shared" si="10"/>
        <v>0</v>
      </c>
      <c r="F42" s="361">
        <f>+(F38*480+F39*480+F40*480)/1440</f>
        <v>1124.0416666666667</v>
      </c>
      <c r="G42" s="361">
        <f>+(G38*480+G39*480+G40*480)/1440</f>
        <v>865.51208333333329</v>
      </c>
      <c r="H42" s="188" t="s">
        <v>83</v>
      </c>
      <c r="I42" s="247" t="s">
        <v>592</v>
      </c>
      <c r="J42" s="133"/>
      <c r="K42" s="131" t="s">
        <v>84</v>
      </c>
      <c r="L42" s="423"/>
      <c r="M42" s="424"/>
    </row>
    <row r="43" spans="1:19" ht="17.45" customHeight="1">
      <c r="A43" s="763" t="s">
        <v>202</v>
      </c>
      <c r="B43" s="764"/>
      <c r="C43" s="165">
        <f>SUMIF($G$7:$G$31,"Change GRade",$F$7:$F$31)</f>
        <v>0</v>
      </c>
      <c r="D43" s="119">
        <f>+C43+'13'!D43</f>
        <v>0</v>
      </c>
      <c r="E43" s="144">
        <f t="shared" si="10"/>
        <v>0</v>
      </c>
      <c r="F43" s="361"/>
      <c r="G43" s="362"/>
      <c r="H43" s="189" t="s">
        <v>86</v>
      </c>
      <c r="I43" s="119">
        <f>+Report1!AH22</f>
        <v>68.8</v>
      </c>
      <c r="J43" s="134">
        <f>+I43+'13'!J43</f>
        <v>920.69999999999993</v>
      </c>
      <c r="K43" s="131" t="s">
        <v>76</v>
      </c>
      <c r="L43" s="425">
        <f>+Report1!AN22</f>
        <v>9.6999999999999993</v>
      </c>
      <c r="M43" s="426">
        <f>+L43+'13'!M43</f>
        <v>134.6</v>
      </c>
    </row>
    <row r="44" spans="1:19" ht="17.45" customHeight="1">
      <c r="A44" s="763" t="s">
        <v>18</v>
      </c>
      <c r="B44" s="764"/>
      <c r="C44" s="165">
        <f>SUMIF($G$7:$G$31,"PLN",$F$7:$F$31)</f>
        <v>0</v>
      </c>
      <c r="D44" s="119">
        <f>+C44+'13'!D44</f>
        <v>0</v>
      </c>
      <c r="E44" s="144">
        <f t="shared" si="10"/>
        <v>0</v>
      </c>
      <c r="F44" s="361"/>
      <c r="G44" s="362"/>
      <c r="H44" s="189" t="s">
        <v>87</v>
      </c>
      <c r="I44" s="119">
        <f>I43/I38</f>
        <v>1.4061190704898934</v>
      </c>
      <c r="J44" s="135">
        <f>J43/J38</f>
        <v>1.343907095689338</v>
      </c>
      <c r="K44" s="131" t="s">
        <v>76</v>
      </c>
      <c r="L44" s="427">
        <f>+L43/I38</f>
        <v>0.19824643871732509</v>
      </c>
      <c r="M44" s="428">
        <f>+M43/J38</f>
        <v>0.19646996315823276</v>
      </c>
      <c r="N44" s="150" t="s">
        <v>415</v>
      </c>
      <c r="O44" s="150">
        <v>1030.1307189542483</v>
      </c>
      <c r="P44" s="150">
        <v>793.20065359477121</v>
      </c>
      <c r="Q44" s="150">
        <v>306</v>
      </c>
    </row>
    <row r="45" spans="1:19" ht="17.45" customHeight="1">
      <c r="A45" s="763" t="s">
        <v>19</v>
      </c>
      <c r="B45" s="764"/>
      <c r="C45" s="165">
        <f>SUMIF($G$7:$G$31,"Boiler",$F$7:$F$31)</f>
        <v>0</v>
      </c>
      <c r="D45" s="119">
        <f>+C45+'13'!D45</f>
        <v>0</v>
      </c>
      <c r="E45" s="144">
        <f t="shared" si="10"/>
        <v>0</v>
      </c>
      <c r="F45" s="361"/>
      <c r="G45" s="364"/>
      <c r="H45" s="189" t="s">
        <v>88</v>
      </c>
      <c r="I45" s="119">
        <f>I43/I40</f>
        <v>1.2862457701583503</v>
      </c>
      <c r="J45" s="135">
        <f>J43/J40</f>
        <v>1.3842094580880859</v>
      </c>
      <c r="K45" s="131" t="s">
        <v>76</v>
      </c>
      <c r="L45" s="427">
        <f>+L43/I40</f>
        <v>0.18134569724616276</v>
      </c>
      <c r="M45" s="428">
        <f>+M43/J40</f>
        <v>0.20236189101624458</v>
      </c>
      <c r="N45" s="150" t="s">
        <v>590</v>
      </c>
      <c r="O45" s="150">
        <v>1149.3827160493827</v>
      </c>
      <c r="P45" s="150">
        <v>885.02469135802471</v>
      </c>
      <c r="Q45" s="150">
        <v>1134</v>
      </c>
    </row>
    <row r="46" spans="1:19" ht="17.45" customHeight="1">
      <c r="A46" s="763" t="s">
        <v>89</v>
      </c>
      <c r="B46" s="764"/>
      <c r="C46" s="165">
        <f>SUMIF($G$7:$G$31,"Gas",$F$7:$F$31)</f>
        <v>0</v>
      </c>
      <c r="D46" s="119">
        <f>+C46+'13'!D46</f>
        <v>0</v>
      </c>
      <c r="E46" s="144">
        <f t="shared" si="10"/>
        <v>0</v>
      </c>
      <c r="F46" s="361"/>
      <c r="G46" s="362"/>
      <c r="H46" s="189" t="s">
        <v>90</v>
      </c>
      <c r="I46" s="141">
        <f>+SUMIF(Listrik!P21,"&gt;0")</f>
        <v>38079.380000000012</v>
      </c>
      <c r="J46" s="136">
        <f>+I46+'13'!J46</f>
        <v>550367.30000000005</v>
      </c>
      <c r="K46" s="131" t="s">
        <v>91</v>
      </c>
      <c r="L46" s="427">
        <f>+Listrik!AF21</f>
        <v>0</v>
      </c>
      <c r="M46" s="429">
        <f>+L46+'13'!M46</f>
        <v>0</v>
      </c>
      <c r="Q46" s="150">
        <f>+Q44+Q45</f>
        <v>1440</v>
      </c>
    </row>
    <row r="47" spans="1:19" ht="17.45" customHeight="1">
      <c r="A47" s="763" t="s">
        <v>92</v>
      </c>
      <c r="B47" s="764"/>
      <c r="C47" s="165">
        <f>SUMIF($G$7:$G$31,"Gas",$F$7:$F$31)</f>
        <v>0</v>
      </c>
      <c r="D47" s="119">
        <f>+C47+'13'!D47</f>
        <v>0</v>
      </c>
      <c r="E47" s="144">
        <f t="shared" si="10"/>
        <v>0</v>
      </c>
      <c r="F47" s="361"/>
      <c r="G47" s="362"/>
      <c r="H47" s="189" t="s">
        <v>93</v>
      </c>
      <c r="I47" s="119">
        <f>I46/I38</f>
        <v>778.25788387255022</v>
      </c>
      <c r="J47" s="136">
        <f>J46/J38</f>
        <v>803.3480174925412</v>
      </c>
      <c r="K47" s="131" t="s">
        <v>25</v>
      </c>
      <c r="L47" s="427">
        <f>+L46/I38</f>
        <v>0</v>
      </c>
      <c r="M47" s="428">
        <f>+M46/J38</f>
        <v>0</v>
      </c>
    </row>
    <row r="48" spans="1:19" ht="17.45" customHeight="1">
      <c r="A48" s="763" t="s">
        <v>15</v>
      </c>
      <c r="B48" s="764"/>
      <c r="C48" s="165">
        <f>SUMIF($G$7:$G$31,"Start Up",$F$7:$F$31)</f>
        <v>0</v>
      </c>
      <c r="D48" s="119">
        <f>+C48+'13'!D48</f>
        <v>0</v>
      </c>
      <c r="E48" s="144">
        <f t="shared" si="10"/>
        <v>0</v>
      </c>
      <c r="F48" s="361"/>
      <c r="G48" s="362"/>
      <c r="H48" s="189" t="s">
        <v>94</v>
      </c>
      <c r="I48" s="119">
        <f>I46/I40</f>
        <v>711.91048626820498</v>
      </c>
      <c r="J48" s="136">
        <f>J46/J40</f>
        <v>827.43958084327483</v>
      </c>
      <c r="K48" s="131" t="s">
        <v>25</v>
      </c>
      <c r="L48" s="427">
        <f>+L46/I38</f>
        <v>0</v>
      </c>
      <c r="M48" s="428">
        <f>+M46/J40</f>
        <v>0</v>
      </c>
    </row>
    <row r="49" spans="1:13" ht="17.45" customHeight="1">
      <c r="A49" s="763" t="s">
        <v>21</v>
      </c>
      <c r="B49" s="764"/>
      <c r="C49" s="165">
        <f>SUMIF($G$7:$G$31,"Others",$F$7:$F$31)</f>
        <v>0</v>
      </c>
      <c r="D49" s="119">
        <f>+C49+'13'!D49</f>
        <v>0</v>
      </c>
      <c r="E49" s="144">
        <f t="shared" si="10"/>
        <v>0</v>
      </c>
      <c r="F49" s="186"/>
      <c r="H49" s="189" t="s">
        <v>95</v>
      </c>
      <c r="I49" s="119">
        <f>+Report1!AB22</f>
        <v>4647.6580504159374</v>
      </c>
      <c r="J49" s="136">
        <f>+I49+'13'!J49</f>
        <v>68193.526865328589</v>
      </c>
      <c r="K49" s="131" t="s">
        <v>96</v>
      </c>
      <c r="L49" s="423"/>
      <c r="M49" s="424"/>
    </row>
    <row r="50" spans="1:13" ht="17.45" customHeight="1">
      <c r="A50" s="763" t="s">
        <v>20</v>
      </c>
      <c r="B50" s="764"/>
      <c r="C50" s="165">
        <f>SUMIF($G$7:$G$31,"Steam",$F$7:$F$31)</f>
        <v>0</v>
      </c>
      <c r="D50" s="119">
        <f>+C50+'13'!D50</f>
        <v>0</v>
      </c>
      <c r="E50" s="144">
        <f t="shared" si="10"/>
        <v>0</v>
      </c>
      <c r="F50" s="186"/>
      <c r="H50" s="189" t="s">
        <v>97</v>
      </c>
      <c r="I50" s="141">
        <f>I49/I38</f>
        <v>94.987799677408844</v>
      </c>
      <c r="J50" s="134">
        <f>J49/J38</f>
        <v>99.539225192132719</v>
      </c>
      <c r="K50" s="131" t="s">
        <v>96</v>
      </c>
      <c r="L50" s="423"/>
      <c r="M50" s="424"/>
    </row>
    <row r="51" spans="1:13" ht="17.45" customHeight="1" thickBot="1">
      <c r="A51" s="765" t="s">
        <v>98</v>
      </c>
      <c r="B51" s="766"/>
      <c r="C51" s="165">
        <f>SUMIF($G$7:$G$31,"Planned shut",$F$7:$F$31)</f>
        <v>0</v>
      </c>
      <c r="D51" s="119">
        <f>+C51+'13'!D51</f>
        <v>609</v>
      </c>
      <c r="E51" s="144">
        <f t="shared" si="10"/>
        <v>10.15</v>
      </c>
      <c r="F51" s="186"/>
      <c r="H51" s="191" t="s">
        <v>99</v>
      </c>
      <c r="I51" s="142">
        <f>I49/I40</f>
        <v>86.889978321074196</v>
      </c>
      <c r="J51" s="137">
        <f>J49/J40</f>
        <v>102.52430201734748</v>
      </c>
      <c r="K51" s="138" t="s">
        <v>96</v>
      </c>
      <c r="L51" s="423"/>
      <c r="M51" s="424"/>
    </row>
    <row r="52" spans="1:13" ht="13.5" thickBot="1">
      <c r="A52" s="767" t="s">
        <v>29</v>
      </c>
      <c r="B52" s="768"/>
      <c r="C52" s="145">
        <f>SUM(C38:C51)</f>
        <v>54</v>
      </c>
      <c r="D52" s="145">
        <f>SUM(D38:D51)</f>
        <v>1708</v>
      </c>
      <c r="E52" s="146">
        <f>SUM(E38:E51)</f>
        <v>28.466666666666669</v>
      </c>
      <c r="F52" s="186"/>
      <c r="H52" s="192"/>
      <c r="I52" s="193"/>
      <c r="J52" s="139"/>
      <c r="K52" s="140"/>
      <c r="L52" s="430"/>
      <c r="M52" s="431"/>
    </row>
    <row r="53" spans="1:13" ht="13.5" thickBot="1">
      <c r="A53" s="769"/>
      <c r="B53" s="770"/>
      <c r="C53" s="147">
        <f>C52/(24*60)</f>
        <v>3.7499999999999999E-2</v>
      </c>
      <c r="D53" s="147">
        <f>D52/(24*60*G4)</f>
        <v>8.4722222222222227E-2</v>
      </c>
      <c r="E53" s="148">
        <f>E52/(G4*24)</f>
        <v>8.4722222222222227E-2</v>
      </c>
      <c r="F53" s="186"/>
    </row>
    <row r="54" spans="1:13">
      <c r="E54" s="194"/>
      <c r="F54" s="186"/>
    </row>
    <row r="55" spans="1:13">
      <c r="E55" s="194"/>
    </row>
    <row r="56" spans="1:13">
      <c r="A56" s="195" t="s">
        <v>100</v>
      </c>
      <c r="B56" s="196"/>
      <c r="C56" s="197"/>
      <c r="D56" s="197"/>
      <c r="E56" s="197"/>
      <c r="F56" s="198"/>
      <c r="G56" s="197"/>
      <c r="H56" s="199"/>
      <c r="I56" s="200" t="s">
        <v>101</v>
      </c>
      <c r="J56" s="201">
        <f>+D34+'13'!J56</f>
        <v>2476</v>
      </c>
      <c r="K56" s="202">
        <f>J56/(J40+J56/1000)/1000</f>
        <v>3.7086910088208729E-3</v>
      </c>
    </row>
    <row r="57" spans="1:13">
      <c r="A57" s="177"/>
      <c r="I57" s="200" t="s">
        <v>102</v>
      </c>
      <c r="J57" s="201">
        <f>+E34+'13'!J57</f>
        <v>0</v>
      </c>
      <c r="K57" s="202">
        <f>J57/(J40+J57/1000)/1000</f>
        <v>0</v>
      </c>
    </row>
    <row r="58" spans="1:13">
      <c r="A58" s="203"/>
      <c r="B58" s="204"/>
      <c r="F58" s="186"/>
      <c r="H58" s="205"/>
      <c r="J58" s="150">
        <v>325</v>
      </c>
    </row>
    <row r="59" spans="1:13">
      <c r="A59" s="206"/>
      <c r="B59" s="177"/>
      <c r="C59" s="177"/>
      <c r="D59" s="177"/>
      <c r="E59" s="177"/>
      <c r="F59" s="190"/>
      <c r="G59" s="177"/>
      <c r="H59" s="205"/>
      <c r="J59" s="156">
        <f>+J56+J58</f>
        <v>2801</v>
      </c>
    </row>
    <row r="60" spans="1:13">
      <c r="H60" s="205"/>
    </row>
    <row r="61" spans="1:13">
      <c r="A61" s="207"/>
      <c r="B61" s="208"/>
      <c r="C61" s="208"/>
      <c r="D61" s="208"/>
      <c r="E61" s="208"/>
      <c r="F61" s="209"/>
      <c r="G61" s="208"/>
      <c r="H61" s="210"/>
    </row>
  </sheetData>
  <mergeCells count="25">
    <mergeCell ref="A46:B46"/>
    <mergeCell ref="A47:B47"/>
    <mergeCell ref="A52:B52"/>
    <mergeCell ref="A53:B53"/>
    <mergeCell ref="A48:B48"/>
    <mergeCell ref="A49:B49"/>
    <mergeCell ref="A50:B50"/>
    <mergeCell ref="A51:B51"/>
    <mergeCell ref="A40:B40"/>
    <mergeCell ref="A41:B41"/>
    <mergeCell ref="A44:B44"/>
    <mergeCell ref="A45:B45"/>
    <mergeCell ref="A42:B42"/>
    <mergeCell ref="A43:B43"/>
    <mergeCell ref="A37:B37"/>
    <mergeCell ref="I24:I31"/>
    <mergeCell ref="A24:A32"/>
    <mergeCell ref="A38:B38"/>
    <mergeCell ref="A39:B39"/>
    <mergeCell ref="L35:M35"/>
    <mergeCell ref="A7:A14"/>
    <mergeCell ref="I7:I13"/>
    <mergeCell ref="A15:A23"/>
    <mergeCell ref="I15:I22"/>
    <mergeCell ref="A34:B34"/>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S61"/>
  <sheetViews>
    <sheetView view="pageBreakPreview" topLeftCell="A13" zoomScale="85" zoomScaleNormal="70" zoomScaleSheetLayoutView="85"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7109375" style="150" bestFit="1"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13</v>
      </c>
      <c r="H4" s="155" t="str">
        <f>+'1'!H4</f>
        <v>.11.25</v>
      </c>
      <c r="J4" s="150">
        <f>460.3+518.8+592</f>
        <v>1571.1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1310</v>
      </c>
      <c r="P6" s="150">
        <f>+O6-O6*0.23</f>
        <v>1008.7</v>
      </c>
      <c r="Q6" s="150">
        <v>480</v>
      </c>
      <c r="R6" s="150">
        <f>+O6*Q6</f>
        <v>628800</v>
      </c>
      <c r="S6" s="150">
        <f>+P6*Q6</f>
        <v>484176</v>
      </c>
    </row>
    <row r="7" spans="1:19" ht="13.5" customHeight="1" thickBot="1">
      <c r="A7" s="775" t="s">
        <v>446</v>
      </c>
      <c r="B7" s="216" t="s">
        <v>448</v>
      </c>
      <c r="C7" s="217">
        <v>15115</v>
      </c>
      <c r="D7" s="218"/>
      <c r="E7" s="219"/>
      <c r="F7" s="229"/>
      <c r="G7" s="230" t="s">
        <v>13</v>
      </c>
      <c r="H7" s="231" t="s">
        <v>390</v>
      </c>
      <c r="I7" s="778" t="s">
        <v>562</v>
      </c>
      <c r="J7" s="215" t="str">
        <f>+'12'!J7</f>
        <v>T 13,5 RC HW</v>
      </c>
      <c r="K7" s="239">
        <f>+C34</f>
        <v>29459</v>
      </c>
      <c r="L7" s="243"/>
      <c r="M7" s="118">
        <f>+K7+'12'!M7+L7</f>
        <v>245610</v>
      </c>
      <c r="R7" s="150">
        <f t="shared" ref="R7:R10" si="0">+O7*Q7</f>
        <v>0</v>
      </c>
      <c r="S7" s="150">
        <f t="shared" ref="S7:S10" si="1">+P7*Q7</f>
        <v>0</v>
      </c>
    </row>
    <row r="8" spans="1:19" ht="13.5" thickBot="1">
      <c r="A8" s="784"/>
      <c r="B8" s="216"/>
      <c r="C8" s="217"/>
      <c r="D8" s="218"/>
      <c r="E8" s="220"/>
      <c r="F8" s="232">
        <v>4</v>
      </c>
      <c r="G8" s="579" t="s">
        <v>13</v>
      </c>
      <c r="H8" s="231" t="s">
        <v>426</v>
      </c>
      <c r="I8" s="779"/>
      <c r="J8" s="215" t="str">
        <f>+'12'!J8</f>
        <v>T 14 RC HW</v>
      </c>
      <c r="K8" s="240"/>
      <c r="L8" s="240"/>
      <c r="M8" s="118">
        <f>+K8+'12'!M8+L8</f>
        <v>97781</v>
      </c>
      <c r="R8" s="150">
        <f t="shared" si="0"/>
        <v>0</v>
      </c>
      <c r="S8" s="150">
        <f t="shared" si="1"/>
        <v>0</v>
      </c>
    </row>
    <row r="9" spans="1:19" ht="13.5" thickBot="1">
      <c r="A9" s="784"/>
      <c r="B9" s="216"/>
      <c r="C9" s="217"/>
      <c r="D9" s="218"/>
      <c r="E9" s="221"/>
      <c r="F9" s="229">
        <v>7</v>
      </c>
      <c r="G9" s="579" t="s">
        <v>13</v>
      </c>
      <c r="H9" s="234" t="s">
        <v>427</v>
      </c>
      <c r="I9" s="779"/>
      <c r="J9" s="215" t="str">
        <f>+'12'!J9</f>
        <v>T 15 RC HW</v>
      </c>
      <c r="K9" s="240"/>
      <c r="L9" s="240"/>
      <c r="M9" s="118">
        <f>+K9+'12'!M9+L9</f>
        <v>34238</v>
      </c>
      <c r="R9" s="150">
        <f t="shared" si="0"/>
        <v>0</v>
      </c>
      <c r="S9" s="150">
        <f t="shared" si="1"/>
        <v>0</v>
      </c>
    </row>
    <row r="10" spans="1:19" ht="26.25" thickBot="1">
      <c r="A10" s="784"/>
      <c r="B10" s="216"/>
      <c r="C10" s="217"/>
      <c r="D10" s="218"/>
      <c r="E10" s="220"/>
      <c r="F10" s="229"/>
      <c r="G10" s="238" t="s">
        <v>14</v>
      </c>
      <c r="H10" s="234" t="s">
        <v>578</v>
      </c>
      <c r="I10" s="779"/>
      <c r="J10" s="215" t="str">
        <f>+'12'!J10</f>
        <v>TW 29 RC HW</v>
      </c>
      <c r="K10" s="240"/>
      <c r="L10" s="240"/>
      <c r="M10" s="118">
        <f>+K10+'12'!M10+L10</f>
        <v>21998</v>
      </c>
      <c r="R10" s="150">
        <f t="shared" si="0"/>
        <v>0</v>
      </c>
      <c r="S10" s="150">
        <f t="shared" si="1"/>
        <v>0</v>
      </c>
    </row>
    <row r="11" spans="1:19" ht="13.5" thickBot="1">
      <c r="A11" s="784"/>
      <c r="B11" s="216"/>
      <c r="C11" s="217"/>
      <c r="D11" s="218"/>
      <c r="E11" s="220"/>
      <c r="F11" s="229"/>
      <c r="G11" s="233"/>
      <c r="H11" s="234"/>
      <c r="I11" s="779"/>
      <c r="J11" s="215" t="str">
        <f>+'12'!J11</f>
        <v>TW 20 RC HW</v>
      </c>
      <c r="K11" s="240"/>
      <c r="L11" s="240"/>
      <c r="M11" s="118">
        <f>+K11+'12'!M11+L11</f>
        <v>104164</v>
      </c>
    </row>
    <row r="12" spans="1:19" ht="13.5" thickBot="1">
      <c r="A12" s="784"/>
      <c r="B12" s="216"/>
      <c r="C12" s="217"/>
      <c r="D12" s="218"/>
      <c r="E12" s="220"/>
      <c r="F12" s="229"/>
      <c r="G12" s="233"/>
      <c r="H12" s="234"/>
      <c r="I12" s="779"/>
      <c r="J12" s="215" t="str">
        <f>+'12'!J12</f>
        <v>TW 19 RC HW</v>
      </c>
      <c r="K12" s="240"/>
      <c r="L12" s="240"/>
      <c r="M12" s="118">
        <f>+K12+'12'!M12+L12</f>
        <v>18863</v>
      </c>
      <c r="Q12" s="150">
        <f>SUM(Q6:Q10)</f>
        <v>480</v>
      </c>
      <c r="R12" s="150">
        <f>SUM(R6:R10)</f>
        <v>628800</v>
      </c>
      <c r="S12" s="150">
        <f>SUM(S6:S10)</f>
        <v>484176</v>
      </c>
    </row>
    <row r="13" spans="1:19" ht="13.5" thickBot="1">
      <c r="A13" s="784"/>
      <c r="B13" s="216"/>
      <c r="C13" s="217"/>
      <c r="D13" s="217"/>
      <c r="E13" s="220"/>
      <c r="F13" s="229"/>
      <c r="G13" s="233"/>
      <c r="H13" s="234"/>
      <c r="I13" s="780"/>
      <c r="J13" s="215" t="str">
        <f>+'12'!J13</f>
        <v>TW 17 RC HW</v>
      </c>
      <c r="K13" s="240"/>
      <c r="L13" s="240"/>
      <c r="M13" s="118">
        <f>+K13+'12'!M13+L13</f>
        <v>67816</v>
      </c>
      <c r="R13" s="150">
        <f>+R12/Q12</f>
        <v>1310</v>
      </c>
      <c r="S13" s="150">
        <f>+S12/Q12</f>
        <v>1008.7</v>
      </c>
    </row>
    <row r="14" spans="1:19" ht="13.5" thickBot="1">
      <c r="A14" s="785"/>
      <c r="B14" s="166" t="s">
        <v>3</v>
      </c>
      <c r="C14" s="100">
        <f>SUM(C7:C13)</f>
        <v>15115</v>
      </c>
      <c r="D14" s="112">
        <f>SUM(D7:D13)</f>
        <v>0</v>
      </c>
      <c r="E14" s="113">
        <f>SUM(E5:E13)</f>
        <v>0</v>
      </c>
      <c r="F14" s="103">
        <f>SUM(F6:F13)</f>
        <v>11</v>
      </c>
      <c r="G14" s="160"/>
      <c r="H14" s="167"/>
      <c r="I14" s="168"/>
      <c r="J14" s="215" t="str">
        <f>+'12'!J14</f>
        <v>F 14 RC HW</v>
      </c>
      <c r="K14" s="240"/>
      <c r="L14" s="240"/>
      <c r="M14" s="118">
        <f>+K14+'12'!M14+L14</f>
        <v>10232</v>
      </c>
    </row>
    <row r="15" spans="1:19" ht="13.5" customHeight="1" thickBot="1">
      <c r="A15" s="775" t="s">
        <v>460</v>
      </c>
      <c r="B15" s="166"/>
      <c r="C15" s="114">
        <f>C14/($C$23+$D$23+$E$23)</f>
        <v>1.5379527879527879</v>
      </c>
      <c r="D15" s="115">
        <f>D14/($C$23+$D$23+$E$23)</f>
        <v>0</v>
      </c>
      <c r="E15" s="116">
        <f>E14/($C$23+$D$23+$E$23)</f>
        <v>0</v>
      </c>
      <c r="F15" s="229"/>
      <c r="G15" s="230" t="s">
        <v>13</v>
      </c>
      <c r="H15" s="231" t="s">
        <v>390</v>
      </c>
      <c r="I15" s="778" t="s">
        <v>581</v>
      </c>
      <c r="J15" s="215" t="str">
        <f>+'12'!J15</f>
        <v>T 16,5 RC HW</v>
      </c>
      <c r="K15" s="240"/>
      <c r="L15" s="240"/>
      <c r="M15" s="118">
        <f>+K15+'12'!M15+L15</f>
        <v>10954</v>
      </c>
      <c r="N15" s="150" t="s">
        <v>415</v>
      </c>
      <c r="O15" s="150">
        <v>1300</v>
      </c>
      <c r="P15" s="150">
        <f>+O15-O15*0.23</f>
        <v>1001</v>
      </c>
      <c r="Q15" s="150">
        <f>60*2+15</f>
        <v>135</v>
      </c>
      <c r="R15" s="150">
        <f>+O15*Q15</f>
        <v>175500</v>
      </c>
      <c r="S15" s="150">
        <f>+P15*Q15</f>
        <v>135135</v>
      </c>
    </row>
    <row r="16" spans="1:19" ht="13.5" thickBot="1">
      <c r="A16" s="784"/>
      <c r="B16" s="216" t="s">
        <v>448</v>
      </c>
      <c r="C16" s="223">
        <v>9828</v>
      </c>
      <c r="D16" s="224"/>
      <c r="E16" s="225"/>
      <c r="F16" s="232">
        <v>3</v>
      </c>
      <c r="G16" s="579" t="s">
        <v>13</v>
      </c>
      <c r="H16" s="231" t="s">
        <v>424</v>
      </c>
      <c r="I16" s="779"/>
      <c r="J16" s="215">
        <f>+'12'!J16</f>
        <v>0</v>
      </c>
      <c r="K16" s="240"/>
      <c r="L16" s="230"/>
      <c r="M16" s="118">
        <f>+K16+'12'!M16+L16</f>
        <v>0</v>
      </c>
      <c r="O16" s="150">
        <v>1250</v>
      </c>
      <c r="P16" s="150">
        <f t="shared" ref="P16:P18" si="2">+O16-O16*0.23</f>
        <v>962.5</v>
      </c>
      <c r="Q16" s="150">
        <v>86</v>
      </c>
      <c r="R16" s="150">
        <f t="shared" ref="R16:R19" si="3">+O16*Q16</f>
        <v>107500</v>
      </c>
      <c r="S16" s="150">
        <f t="shared" ref="S16:S19" si="4">+P16*Q16</f>
        <v>82775</v>
      </c>
    </row>
    <row r="17" spans="1:19" ht="13.5" thickBot="1">
      <c r="A17" s="784"/>
      <c r="B17" s="216"/>
      <c r="C17" s="217"/>
      <c r="D17" s="218"/>
      <c r="E17" s="226"/>
      <c r="F17" s="229">
        <v>6</v>
      </c>
      <c r="G17" s="579" t="s">
        <v>13</v>
      </c>
      <c r="H17" s="234" t="s">
        <v>493</v>
      </c>
      <c r="I17" s="779"/>
      <c r="J17" s="215">
        <f>+'12'!J17</f>
        <v>0</v>
      </c>
      <c r="K17" s="240"/>
      <c r="L17" s="230"/>
      <c r="M17" s="118">
        <f>+K17+'12'!M17+L17</f>
        <v>0</v>
      </c>
      <c r="O17" s="150">
        <v>1310</v>
      </c>
      <c r="P17" s="150">
        <f t="shared" si="2"/>
        <v>1008.7</v>
      </c>
      <c r="Q17" s="150">
        <v>85</v>
      </c>
      <c r="R17" s="150">
        <f t="shared" si="3"/>
        <v>111350</v>
      </c>
      <c r="S17" s="150">
        <f t="shared" si="4"/>
        <v>85739.5</v>
      </c>
    </row>
    <row r="18" spans="1:19" ht="26.25" thickBot="1">
      <c r="A18" s="784"/>
      <c r="B18" s="216"/>
      <c r="C18" s="217"/>
      <c r="D18" s="218"/>
      <c r="E18" s="226"/>
      <c r="F18" s="229">
        <v>8</v>
      </c>
      <c r="G18" s="238" t="s">
        <v>14</v>
      </c>
      <c r="H18" s="234" t="s">
        <v>569</v>
      </c>
      <c r="I18" s="779"/>
      <c r="J18" s="215">
        <f>+'12'!J18</f>
        <v>0</v>
      </c>
      <c r="K18" s="240"/>
      <c r="L18" s="240"/>
      <c r="M18" s="118">
        <f>+K18+'12'!M18+L18</f>
        <v>0</v>
      </c>
      <c r="O18" s="150">
        <v>1260</v>
      </c>
      <c r="P18" s="150">
        <f t="shared" si="2"/>
        <v>970.2</v>
      </c>
      <c r="Q18" s="150">
        <f>60-56</f>
        <v>4</v>
      </c>
      <c r="R18" s="150">
        <f t="shared" si="3"/>
        <v>5040</v>
      </c>
      <c r="S18" s="150">
        <f t="shared" si="4"/>
        <v>3880.8</v>
      </c>
    </row>
    <row r="19" spans="1:19" ht="141" thickBot="1">
      <c r="A19" s="784"/>
      <c r="B19" s="216"/>
      <c r="C19" s="217"/>
      <c r="D19" s="218"/>
      <c r="E19" s="226"/>
      <c r="F19" s="236">
        <v>170</v>
      </c>
      <c r="G19" s="233" t="s">
        <v>81</v>
      </c>
      <c r="H19" s="234" t="s">
        <v>577</v>
      </c>
      <c r="I19" s="779"/>
      <c r="J19" s="215">
        <f>+'12'!J19</f>
        <v>0</v>
      </c>
      <c r="K19" s="240"/>
      <c r="L19" s="240"/>
      <c r="M19" s="118">
        <f>+K19+'12'!M19+L19</f>
        <v>0</v>
      </c>
      <c r="R19" s="150">
        <f t="shared" si="3"/>
        <v>0</v>
      </c>
      <c r="S19" s="150">
        <f t="shared" si="4"/>
        <v>0</v>
      </c>
    </row>
    <row r="20" spans="1:19" ht="13.5" thickBot="1">
      <c r="A20" s="784"/>
      <c r="B20" s="216"/>
      <c r="C20" s="217"/>
      <c r="D20" s="218"/>
      <c r="E20" s="226"/>
      <c r="F20" s="229"/>
      <c r="G20" s="233"/>
      <c r="H20" s="234"/>
      <c r="I20" s="779"/>
      <c r="J20" s="215">
        <f>+'12'!J20</f>
        <v>0</v>
      </c>
      <c r="K20" s="240"/>
      <c r="L20" s="241"/>
      <c r="M20" s="118">
        <f>+K20+'12'!M20+L20</f>
        <v>0</v>
      </c>
    </row>
    <row r="21" spans="1:19" ht="13.5" thickBot="1">
      <c r="A21" s="784"/>
      <c r="B21" s="216"/>
      <c r="C21" s="217"/>
      <c r="D21" s="218"/>
      <c r="E21" s="226"/>
      <c r="F21" s="232"/>
      <c r="G21" s="233"/>
      <c r="H21" s="234"/>
      <c r="I21" s="779"/>
      <c r="J21" s="215">
        <f>+'12'!J21</f>
        <v>0</v>
      </c>
      <c r="K21" s="240"/>
      <c r="L21" s="240"/>
      <c r="M21" s="118">
        <f>+K21+'12'!M21+L21</f>
        <v>0</v>
      </c>
      <c r="Q21" s="150">
        <f>SUM(Q15:Q19)</f>
        <v>310</v>
      </c>
      <c r="R21" s="150">
        <f>SUM(R15:R19)</f>
        <v>399390</v>
      </c>
      <c r="S21" s="150">
        <f>SUM(S15:S19)</f>
        <v>307530.3</v>
      </c>
    </row>
    <row r="22" spans="1:19" ht="16.5" customHeight="1" thickBot="1">
      <c r="A22" s="784"/>
      <c r="B22" s="216"/>
      <c r="C22" s="217"/>
      <c r="D22" s="218"/>
      <c r="E22" s="226"/>
      <c r="F22" s="237"/>
      <c r="G22" s="233"/>
      <c r="H22" s="234"/>
      <c r="I22" s="780"/>
      <c r="J22" s="215">
        <f>+'12'!J22</f>
        <v>0</v>
      </c>
      <c r="K22" s="240"/>
      <c r="L22" s="240"/>
      <c r="M22" s="118">
        <f>+K22+'12'!M22+L22</f>
        <v>0</v>
      </c>
      <c r="Q22" s="150">
        <f>480-Q21</f>
        <v>170</v>
      </c>
      <c r="R22" s="150">
        <f>+R21/Q21</f>
        <v>1288.3548387096773</v>
      </c>
      <c r="S22" s="150">
        <f>+S21/Q21</f>
        <v>992.03322580645158</v>
      </c>
    </row>
    <row r="23" spans="1:19" ht="13.5" thickBot="1">
      <c r="A23" s="785"/>
      <c r="B23" s="166" t="s">
        <v>3</v>
      </c>
      <c r="C23" s="101">
        <f>SUM(C16:C22)</f>
        <v>9828</v>
      </c>
      <c r="D23" s="112">
        <f>SUM(D16:D22)</f>
        <v>0</v>
      </c>
      <c r="E23" s="113">
        <f>SUM(E18:E22)</f>
        <v>0</v>
      </c>
      <c r="F23" s="103">
        <f>SUM(F15:F22)</f>
        <v>187</v>
      </c>
      <c r="G23" s="160"/>
      <c r="H23" s="167"/>
      <c r="I23" s="170"/>
      <c r="J23" s="215">
        <f>+'12'!J23</f>
        <v>0</v>
      </c>
      <c r="K23" s="240"/>
      <c r="L23" s="240"/>
      <c r="M23" s="118">
        <f>+K23+'12'!M23+L23</f>
        <v>0</v>
      </c>
    </row>
    <row r="24" spans="1:19" ht="13.5" customHeight="1" thickBot="1">
      <c r="A24" s="775" t="s">
        <v>444</v>
      </c>
      <c r="B24" s="171"/>
      <c r="C24" s="114">
        <f>C23/($C$23+$D$23+$E$23)</f>
        <v>1</v>
      </c>
      <c r="D24" s="115">
        <f>D23/($C$23+$D$23+$E$23)</f>
        <v>0</v>
      </c>
      <c r="E24" s="116">
        <f>E23/($C$23+$D$23+$E$23)</f>
        <v>0</v>
      </c>
      <c r="F24" s="229">
        <v>9</v>
      </c>
      <c r="G24" s="230" t="s">
        <v>13</v>
      </c>
      <c r="H24" s="231" t="s">
        <v>583</v>
      </c>
      <c r="I24" s="778" t="s">
        <v>580</v>
      </c>
      <c r="J24" s="215">
        <f>+'12'!J24</f>
        <v>0</v>
      </c>
      <c r="K24" s="240"/>
      <c r="L24" s="240"/>
      <c r="M24" s="118">
        <f>+K24+'12'!M24+L24</f>
        <v>0</v>
      </c>
    </row>
    <row r="25" spans="1:19" ht="13.5" thickBot="1">
      <c r="A25" s="784"/>
      <c r="B25" s="216" t="s">
        <v>448</v>
      </c>
      <c r="C25" s="227">
        <v>4516</v>
      </c>
      <c r="D25" s="218"/>
      <c r="E25" s="226"/>
      <c r="F25" s="232"/>
      <c r="G25" s="579" t="s">
        <v>13</v>
      </c>
      <c r="H25" s="231" t="s">
        <v>582</v>
      </c>
      <c r="I25" s="779"/>
      <c r="J25" s="215">
        <f>+'12'!J25</f>
        <v>0</v>
      </c>
      <c r="K25" s="240"/>
      <c r="L25" s="240"/>
      <c r="M25" s="118">
        <f>+K25+'12'!M25+L25</f>
        <v>0</v>
      </c>
      <c r="N25" s="150" t="s">
        <v>415</v>
      </c>
      <c r="O25" s="150">
        <v>1260</v>
      </c>
      <c r="P25" s="150">
        <f>+O25-O25*0.23</f>
        <v>970.2</v>
      </c>
      <c r="Q25" s="150">
        <v>0</v>
      </c>
      <c r="R25" s="150">
        <f>+O25*Q25</f>
        <v>0</v>
      </c>
      <c r="S25" s="150">
        <f>+P25*Q25</f>
        <v>0</v>
      </c>
    </row>
    <row r="26" spans="1:19" ht="13.5" thickBot="1">
      <c r="A26" s="784"/>
      <c r="B26" s="216"/>
      <c r="C26" s="227"/>
      <c r="D26" s="218"/>
      <c r="E26" s="228"/>
      <c r="F26" s="229">
        <f>21-9</f>
        <v>12</v>
      </c>
      <c r="G26" s="579" t="s">
        <v>13</v>
      </c>
      <c r="H26" s="234" t="s">
        <v>427</v>
      </c>
      <c r="I26" s="779"/>
      <c r="J26" s="215">
        <f>+'12'!J26</f>
        <v>0</v>
      </c>
      <c r="K26" s="240"/>
      <c r="L26" s="240"/>
      <c r="M26" s="118">
        <f>+K26+'12'!M26+L26</f>
        <v>0</v>
      </c>
      <c r="O26" s="150">
        <v>1200</v>
      </c>
      <c r="P26" s="150">
        <f t="shared" ref="P26:P29" si="5">+O26-O26*0.23</f>
        <v>924</v>
      </c>
      <c r="Q26" s="150">
        <v>54</v>
      </c>
      <c r="R26" s="150">
        <f t="shared" ref="R26:R29" si="6">+O26*Q26</f>
        <v>64800</v>
      </c>
      <c r="S26" s="150">
        <f t="shared" ref="S26:S29" si="7">+P26*Q26</f>
        <v>49896</v>
      </c>
    </row>
    <row r="27" spans="1:19" ht="26.25" thickBot="1">
      <c r="A27" s="784"/>
      <c r="B27" s="216"/>
      <c r="C27" s="217"/>
      <c r="D27" s="218"/>
      <c r="E27" s="226"/>
      <c r="F27" s="229"/>
      <c r="G27" s="238" t="s">
        <v>14</v>
      </c>
      <c r="H27" s="234" t="s">
        <v>575</v>
      </c>
      <c r="I27" s="779"/>
      <c r="J27" s="215">
        <f>+'12'!J27</f>
        <v>0</v>
      </c>
      <c r="K27" s="240"/>
      <c r="L27" s="240"/>
      <c r="M27" s="118">
        <f>+K27+'12'!M27+L27</f>
        <v>0</v>
      </c>
      <c r="O27" s="150">
        <v>1150</v>
      </c>
      <c r="P27" s="150">
        <f t="shared" si="5"/>
        <v>885.5</v>
      </c>
      <c r="Q27" s="150">
        <f>60-6+19</f>
        <v>73</v>
      </c>
      <c r="R27" s="150">
        <f t="shared" si="6"/>
        <v>83950</v>
      </c>
      <c r="S27" s="150">
        <f t="shared" si="7"/>
        <v>64641.5</v>
      </c>
    </row>
    <row r="28" spans="1:19" ht="255.75" thickBot="1">
      <c r="A28" s="784"/>
      <c r="B28" s="216"/>
      <c r="C28" s="217"/>
      <c r="D28" s="218"/>
      <c r="E28" s="226"/>
      <c r="F28" s="232">
        <v>132</v>
      </c>
      <c r="G28" s="579" t="s">
        <v>13</v>
      </c>
      <c r="H28" s="234" t="s">
        <v>576</v>
      </c>
      <c r="I28" s="779"/>
      <c r="J28" s="215">
        <f>+'12'!J28</f>
        <v>0</v>
      </c>
      <c r="K28" s="240"/>
      <c r="L28" s="240"/>
      <c r="M28" s="118">
        <f>+K28+'12'!M28+L28</f>
        <v>0</v>
      </c>
      <c r="O28" s="150">
        <v>910</v>
      </c>
      <c r="P28" s="150">
        <f t="shared" si="5"/>
        <v>700.7</v>
      </c>
      <c r="Q28" s="150">
        <f>60-19+60+45</f>
        <v>146</v>
      </c>
      <c r="R28" s="150">
        <f t="shared" si="6"/>
        <v>132860</v>
      </c>
      <c r="S28" s="150">
        <f t="shared" si="7"/>
        <v>102302.20000000001</v>
      </c>
    </row>
    <row r="29" spans="1:19" ht="13.5" thickBot="1">
      <c r="A29" s="784"/>
      <c r="B29" s="216"/>
      <c r="C29" s="217"/>
      <c r="D29" s="218"/>
      <c r="E29" s="226"/>
      <c r="F29" s="237"/>
      <c r="G29" s="233"/>
      <c r="H29" s="234"/>
      <c r="I29" s="779"/>
      <c r="J29" s="215">
        <f>+'12'!J29</f>
        <v>0</v>
      </c>
      <c r="K29" s="240"/>
      <c r="L29" s="240"/>
      <c r="M29" s="118">
        <f>+K29+'12'!M29+L29</f>
        <v>0</v>
      </c>
      <c r="O29" s="150">
        <v>960</v>
      </c>
      <c r="P29" s="150">
        <f t="shared" si="5"/>
        <v>739.2</v>
      </c>
      <c r="Q29" s="150">
        <f>60-45+60</f>
        <v>75</v>
      </c>
      <c r="R29" s="150">
        <f t="shared" si="6"/>
        <v>72000</v>
      </c>
      <c r="S29" s="150">
        <f t="shared" si="7"/>
        <v>55440</v>
      </c>
    </row>
    <row r="30" spans="1:19" ht="13.5" thickBot="1">
      <c r="A30" s="784"/>
      <c r="B30" s="216"/>
      <c r="C30" s="227"/>
      <c r="D30" s="218"/>
      <c r="E30" s="226"/>
      <c r="F30" s="237"/>
      <c r="G30" s="233"/>
      <c r="H30" s="234"/>
      <c r="I30" s="779"/>
      <c r="J30" s="215">
        <f>+'12'!J30</f>
        <v>0</v>
      </c>
      <c r="K30" s="240"/>
      <c r="L30" s="240"/>
      <c r="M30" s="118">
        <f>+K30+'12'!M30+L30</f>
        <v>0</v>
      </c>
    </row>
    <row r="31" spans="1:19" ht="13.5" thickBot="1">
      <c r="A31" s="784"/>
      <c r="B31" s="216"/>
      <c r="C31" s="227"/>
      <c r="D31" s="218"/>
      <c r="E31" s="226"/>
      <c r="F31" s="237"/>
      <c r="G31" s="238"/>
      <c r="H31" s="235"/>
      <c r="I31" s="780"/>
      <c r="J31" s="215">
        <f>+'12'!J31</f>
        <v>0</v>
      </c>
      <c r="K31" s="240"/>
      <c r="L31" s="240"/>
      <c r="M31" s="118">
        <f>+K31+'12'!M31+L31</f>
        <v>0</v>
      </c>
      <c r="Q31" s="150">
        <f>SUM(Q25:Q29)</f>
        <v>348</v>
      </c>
      <c r="R31" s="150">
        <f>SUM(R25:R29)</f>
        <v>353610</v>
      </c>
      <c r="S31" s="150">
        <f>SUM(S25:S29)</f>
        <v>272279.7</v>
      </c>
    </row>
    <row r="32" spans="1:19" ht="13.5" thickBot="1">
      <c r="A32" s="785"/>
      <c r="B32" s="166" t="s">
        <v>3</v>
      </c>
      <c r="C32" s="100">
        <f>SUM(C25:C31)</f>
        <v>4516</v>
      </c>
      <c r="D32" s="101">
        <f>SUM(D25:D31)</f>
        <v>0</v>
      </c>
      <c r="E32" s="102">
        <f>SUM(E25:E31)</f>
        <v>0</v>
      </c>
      <c r="F32" s="103">
        <f>SUM(F24:F31)</f>
        <v>153</v>
      </c>
      <c r="G32" s="172"/>
      <c r="H32" s="173"/>
      <c r="I32" s="170"/>
      <c r="J32" s="215">
        <f>+'12'!J32</f>
        <v>0</v>
      </c>
      <c r="K32" s="242"/>
      <c r="L32" s="244"/>
      <c r="M32" s="118">
        <f>+K32+'12'!M32+L32</f>
        <v>0</v>
      </c>
      <c r="Q32" s="150">
        <f>480-Q31</f>
        <v>132</v>
      </c>
      <c r="R32" s="150">
        <f>+R31/Q31</f>
        <v>1016.1206896551724</v>
      </c>
      <c r="S32" s="150">
        <f>+S31/Q31</f>
        <v>782.41293103448277</v>
      </c>
    </row>
    <row r="33" spans="1:15" ht="13.5" thickBot="1">
      <c r="A33" s="174"/>
      <c r="B33" s="175"/>
      <c r="C33" s="104">
        <f>C32/($C$32+$D$32+$E$32)</f>
        <v>1</v>
      </c>
      <c r="D33" s="105">
        <f>D32/($C$32+$D$32+$E$32)</f>
        <v>0</v>
      </c>
      <c r="E33" s="106">
        <f>E32/($C$32+$D$32+$E$32)</f>
        <v>0</v>
      </c>
      <c r="F33" s="107"/>
      <c r="G33" s="176"/>
      <c r="H33" s="177"/>
      <c r="I33" s="178"/>
      <c r="J33" s="122"/>
      <c r="K33" s="123"/>
      <c r="L33" s="214"/>
      <c r="M33" s="120"/>
    </row>
    <row r="34" spans="1:15" ht="13.5" thickBot="1">
      <c r="A34" s="771" t="s">
        <v>70</v>
      </c>
      <c r="B34" s="772"/>
      <c r="C34" s="108">
        <f>C14+C23+C32</f>
        <v>29459</v>
      </c>
      <c r="D34" s="108">
        <f>D14+D23+D32</f>
        <v>0</v>
      </c>
      <c r="E34" s="108">
        <f>E14+E23+E32</f>
        <v>0</v>
      </c>
      <c r="F34" s="109">
        <f>F14+F23+F32</f>
        <v>351</v>
      </c>
      <c r="H34" s="179"/>
      <c r="I34" s="179"/>
      <c r="J34" s="124" t="s">
        <v>29</v>
      </c>
      <c r="K34" s="125">
        <f>SUM(K7:K32)</f>
        <v>29459</v>
      </c>
      <c r="L34" s="213">
        <f>SUM(L7:L32)</f>
        <v>0</v>
      </c>
      <c r="M34" s="121">
        <f>SUM(M7:M32)</f>
        <v>611656</v>
      </c>
      <c r="N34" s="156"/>
    </row>
    <row r="35" spans="1:15" ht="13.5" thickBot="1">
      <c r="A35" s="180"/>
      <c r="B35" s="181"/>
      <c r="C35" s="105">
        <f>C34/($C$34+$D$34+$E$34)</f>
        <v>1</v>
      </c>
      <c r="D35" s="105">
        <f>D34/($C$34+$D$34+$E$34)</f>
        <v>0</v>
      </c>
      <c r="E35" s="110">
        <f>E34/($C$34+$D$34+$E$34)</f>
        <v>0</v>
      </c>
      <c r="K35" s="156"/>
      <c r="L35" s="762" t="s">
        <v>187</v>
      </c>
      <c r="M35" s="762"/>
    </row>
    <row r="36" spans="1:15" ht="13.5" thickBot="1">
      <c r="A36" s="179"/>
      <c r="B36" s="179"/>
      <c r="C36" s="156"/>
      <c r="D36" s="156"/>
      <c r="E36" s="156"/>
      <c r="G36" s="156"/>
      <c r="H36" s="182"/>
      <c r="I36" s="163" t="s">
        <v>41</v>
      </c>
      <c r="J36" s="163" t="s">
        <v>42</v>
      </c>
      <c r="K36" s="183"/>
      <c r="L36" s="163" t="s">
        <v>41</v>
      </c>
      <c r="M36" s="163" t="s">
        <v>42</v>
      </c>
    </row>
    <row r="37" spans="1:15" ht="17.45" customHeight="1" thickBot="1">
      <c r="A37" s="773" t="s">
        <v>71</v>
      </c>
      <c r="B37" s="774"/>
      <c r="C37" s="163" t="s">
        <v>72</v>
      </c>
      <c r="D37" s="184" t="s">
        <v>73</v>
      </c>
      <c r="E37" s="185" t="s">
        <v>74</v>
      </c>
      <c r="F37" s="361"/>
      <c r="G37" s="363"/>
      <c r="H37" s="187" t="s">
        <v>75</v>
      </c>
      <c r="I37" s="245">
        <f>(13.5*1138)/1138*G42*2.77*1138/1000000</f>
        <v>39.787756470000005</v>
      </c>
      <c r="J37" s="126">
        <f>+I37+'12'!J37</f>
        <v>665.16357404732912</v>
      </c>
      <c r="K37" s="127" t="s">
        <v>76</v>
      </c>
      <c r="L37" s="421"/>
      <c r="M37" s="422"/>
      <c r="N37" s="150">
        <v>480</v>
      </c>
      <c r="O37" s="555"/>
    </row>
    <row r="38" spans="1:15" ht="17.45" customHeight="1">
      <c r="A38" s="767" t="s">
        <v>13</v>
      </c>
      <c r="B38" s="768"/>
      <c r="C38" s="165">
        <f>SUMIF($G$7:$G$31,"Process",$F$7:$F$31)</f>
        <v>173</v>
      </c>
      <c r="D38" s="119">
        <f>+C38+'12'!D38</f>
        <v>701</v>
      </c>
      <c r="E38" s="144">
        <f t="shared" ref="E38:E51" si="8">D38/60</f>
        <v>11.683333333333334</v>
      </c>
      <c r="F38" s="361">
        <v>1310</v>
      </c>
      <c r="G38" s="361">
        <v>1008.7</v>
      </c>
      <c r="H38" s="188" t="s">
        <v>77</v>
      </c>
      <c r="I38" s="543">
        <f>16.756+11.252+10.301</f>
        <v>38.309000000000005</v>
      </c>
      <c r="J38" s="128">
        <f>+I38+'12'!J38</f>
        <v>636.16300000000001</v>
      </c>
      <c r="K38" s="129" t="s">
        <v>76</v>
      </c>
      <c r="L38" s="423"/>
      <c r="M38" s="424"/>
      <c r="N38" s="150">
        <v>310</v>
      </c>
    </row>
    <row r="39" spans="1:15" ht="17.45" customHeight="1">
      <c r="A39" s="763" t="s">
        <v>14</v>
      </c>
      <c r="B39" s="764"/>
      <c r="C39" s="165">
        <f>SUMIF($G$7:$G$31,"Cleaning",$F$7:$F$31)</f>
        <v>8</v>
      </c>
      <c r="D39" s="119">
        <f>+C39+'12'!D39</f>
        <v>174</v>
      </c>
      <c r="E39" s="144">
        <f t="shared" si="8"/>
        <v>2.9</v>
      </c>
      <c r="F39" s="361">
        <v>1288.3548387096773</v>
      </c>
      <c r="G39" s="361">
        <v>992.03322580645158</v>
      </c>
      <c r="H39" s="188" t="s">
        <v>78</v>
      </c>
      <c r="I39" s="143"/>
      <c r="J39" s="130">
        <f>J37/G4</f>
        <v>51.16642877287147</v>
      </c>
      <c r="K39" s="131" t="s">
        <v>76</v>
      </c>
      <c r="L39" s="423"/>
      <c r="M39" s="424"/>
      <c r="N39" s="150">
        <v>348</v>
      </c>
    </row>
    <row r="40" spans="1:15" ht="17.45" customHeight="1">
      <c r="A40" s="763" t="s">
        <v>79</v>
      </c>
      <c r="B40" s="764"/>
      <c r="C40" s="165">
        <f>SUMIF($G$7:$G$31,"Mechanical",$F$7:$F$31)</f>
        <v>0</v>
      </c>
      <c r="D40" s="119">
        <f>+C40+'12'!D40</f>
        <v>0</v>
      </c>
      <c r="E40" s="144">
        <f t="shared" si="8"/>
        <v>0</v>
      </c>
      <c r="F40" s="361">
        <v>1016.1206896551724</v>
      </c>
      <c r="G40" s="361">
        <v>782.41293103448277</v>
      </c>
      <c r="H40" s="188" t="s">
        <v>80</v>
      </c>
      <c r="I40" s="119">
        <f>(K34+L34)/1000</f>
        <v>29.459</v>
      </c>
      <c r="J40" s="132">
        <f>+I40+'12'!J40</f>
        <v>611.65599999999995</v>
      </c>
      <c r="K40" s="131" t="s">
        <v>76</v>
      </c>
      <c r="L40" s="423"/>
      <c r="M40" s="424"/>
      <c r="N40" s="150">
        <f>+N37+N38+N39</f>
        <v>1138</v>
      </c>
    </row>
    <row r="41" spans="1:15" ht="17.45" customHeight="1">
      <c r="A41" s="763" t="s">
        <v>81</v>
      </c>
      <c r="B41" s="764"/>
      <c r="C41" s="165">
        <f>SUMIF($G$7:$G$31,"Electrical",$F$7:$F$31)</f>
        <v>170</v>
      </c>
      <c r="D41" s="119">
        <f>+C41+'12'!D41</f>
        <v>170</v>
      </c>
      <c r="E41" s="144">
        <f t="shared" si="8"/>
        <v>2.8333333333333335</v>
      </c>
      <c r="F41" s="361"/>
      <c r="G41" s="361"/>
      <c r="H41" s="188" t="s">
        <v>82</v>
      </c>
      <c r="I41" s="143"/>
      <c r="J41" s="130">
        <f>J40/G4</f>
        <v>47.050461538461533</v>
      </c>
      <c r="K41" s="131" t="s">
        <v>76</v>
      </c>
      <c r="L41" s="423"/>
      <c r="M41" s="424"/>
    </row>
    <row r="42" spans="1:15" ht="17.45" customHeight="1">
      <c r="A42" s="763" t="s">
        <v>17</v>
      </c>
      <c r="B42" s="764"/>
      <c r="C42" s="165">
        <f>SUMIF($G$7:$G$31,"Instrument",$F$7:$F$31)</f>
        <v>0</v>
      </c>
      <c r="D42" s="119">
        <f>+C42+'12'!D42</f>
        <v>0</v>
      </c>
      <c r="E42" s="144">
        <f t="shared" si="8"/>
        <v>0</v>
      </c>
      <c r="F42" s="361">
        <f>+(480*F38+310*F39+348*F40)/1138</f>
        <v>1214.2355008787347</v>
      </c>
      <c r="G42" s="361">
        <f>+(480*G38+310*G39+348*G40)/1138</f>
        <v>934.96133567662571</v>
      </c>
      <c r="H42" s="188" t="s">
        <v>83</v>
      </c>
      <c r="I42" s="247" t="s">
        <v>579</v>
      </c>
      <c r="J42" s="133"/>
      <c r="K42" s="131" t="s">
        <v>84</v>
      </c>
      <c r="L42" s="423"/>
      <c r="M42" s="424"/>
    </row>
    <row r="43" spans="1:15" ht="17.45" customHeight="1">
      <c r="A43" s="763" t="s">
        <v>85</v>
      </c>
      <c r="B43" s="764"/>
      <c r="C43" s="165">
        <f>SUMIF($G$7:$G$31,"Water",$F$7:$F$31)</f>
        <v>0</v>
      </c>
      <c r="D43" s="119">
        <f>+C43+'12'!D43</f>
        <v>0</v>
      </c>
      <c r="E43" s="144">
        <f t="shared" si="8"/>
        <v>0</v>
      </c>
      <c r="F43" s="361"/>
      <c r="G43" s="362"/>
      <c r="H43" s="189" t="s">
        <v>86</v>
      </c>
      <c r="I43" s="119">
        <f>+Report1!AH21</f>
        <v>61.5</v>
      </c>
      <c r="J43" s="134">
        <f>+I43+'12'!J43</f>
        <v>851.9</v>
      </c>
      <c r="K43" s="131" t="s">
        <v>76</v>
      </c>
      <c r="L43" s="425">
        <f>+Report1!AN21</f>
        <v>8.1</v>
      </c>
      <c r="M43" s="426">
        <f>+L43+'12'!M43</f>
        <v>124.89999999999999</v>
      </c>
    </row>
    <row r="44" spans="1:15" ht="17.45" customHeight="1">
      <c r="A44" s="763" t="s">
        <v>18</v>
      </c>
      <c r="B44" s="764"/>
      <c r="C44" s="165">
        <f>SUMIF($G$7:$G$31,"PLN",$F$7:$F$31)</f>
        <v>0</v>
      </c>
      <c r="D44" s="119">
        <f>+C44+'12'!D44</f>
        <v>0</v>
      </c>
      <c r="E44" s="144">
        <f t="shared" si="8"/>
        <v>0</v>
      </c>
      <c r="F44" s="361"/>
      <c r="G44" s="362"/>
      <c r="H44" s="189" t="s">
        <v>87</v>
      </c>
      <c r="I44" s="119">
        <f>I43/I38</f>
        <v>1.6053668850661722</v>
      </c>
      <c r="J44" s="135">
        <f>J43/J38</f>
        <v>1.3391222061012664</v>
      </c>
      <c r="K44" s="131" t="s">
        <v>76</v>
      </c>
      <c r="L44" s="427">
        <f>+L43/I38</f>
        <v>0.21143856535017877</v>
      </c>
      <c r="M44" s="428">
        <f>+M43/J38</f>
        <v>0.19633332966551023</v>
      </c>
    </row>
    <row r="45" spans="1:15" ht="17.45" customHeight="1">
      <c r="A45" s="763" t="s">
        <v>19</v>
      </c>
      <c r="B45" s="764"/>
      <c r="C45" s="165">
        <f>SUMIF($G$7:$G$31,"Boiler",$F$7:$F$31)</f>
        <v>0</v>
      </c>
      <c r="D45" s="119">
        <f>+C45+'12'!D45</f>
        <v>0</v>
      </c>
      <c r="E45" s="144">
        <f t="shared" si="8"/>
        <v>0</v>
      </c>
      <c r="F45" s="361"/>
      <c r="G45" s="364"/>
      <c r="H45" s="189" t="s">
        <v>88</v>
      </c>
      <c r="I45" s="119">
        <f>I43/I40</f>
        <v>2.0876472385349127</v>
      </c>
      <c r="J45" s="135">
        <f>J43/J40</f>
        <v>1.392776331794342</v>
      </c>
      <c r="K45" s="131" t="s">
        <v>76</v>
      </c>
      <c r="L45" s="427">
        <f>+L43/I40</f>
        <v>0.27495841678264704</v>
      </c>
      <c r="M45" s="428">
        <f>+M43/J40</f>
        <v>0.20419974626260512</v>
      </c>
    </row>
    <row r="46" spans="1:15" ht="17.45" customHeight="1">
      <c r="A46" s="763" t="s">
        <v>89</v>
      </c>
      <c r="B46" s="764"/>
      <c r="C46" s="165">
        <f>SUMIF($G$7:$G$31,"Gas",$F$7:$F$31)</f>
        <v>0</v>
      </c>
      <c r="D46" s="119">
        <f>+C46+'12'!D46</f>
        <v>0</v>
      </c>
      <c r="E46" s="144">
        <f t="shared" si="8"/>
        <v>0</v>
      </c>
      <c r="F46" s="361"/>
      <c r="G46" s="362"/>
      <c r="H46" s="189" t="s">
        <v>90</v>
      </c>
      <c r="I46" s="141">
        <f>+SUMIF(Listrik!P20,"&gt;0")</f>
        <v>37379.299999999981</v>
      </c>
      <c r="J46" s="136">
        <f>+I46+'12'!J46</f>
        <v>512287.92000000004</v>
      </c>
      <c r="K46" s="131" t="s">
        <v>91</v>
      </c>
      <c r="L46" s="427">
        <f>+Listrik!AF20</f>
        <v>0</v>
      </c>
      <c r="M46" s="429">
        <f>+L46+'12'!M46</f>
        <v>0</v>
      </c>
    </row>
    <row r="47" spans="1:15" ht="17.45" customHeight="1">
      <c r="A47" s="763" t="s">
        <v>92</v>
      </c>
      <c r="B47" s="764"/>
      <c r="C47" s="165">
        <f>SUMIF($G$7:$G$31,"Gas",$F$7:$F$31)</f>
        <v>0</v>
      </c>
      <c r="D47" s="119">
        <f>+C47+'12'!D47</f>
        <v>0</v>
      </c>
      <c r="E47" s="144">
        <f t="shared" si="8"/>
        <v>0</v>
      </c>
      <c r="F47" s="361"/>
      <c r="G47" s="362"/>
      <c r="H47" s="189" t="s">
        <v>93</v>
      </c>
      <c r="I47" s="119">
        <f>I46/I38</f>
        <v>975.73155133258444</v>
      </c>
      <c r="J47" s="136">
        <f>J46/J38</f>
        <v>805.2777668616377</v>
      </c>
      <c r="K47" s="131" t="s">
        <v>25</v>
      </c>
      <c r="L47" s="427">
        <f>+L46/I38</f>
        <v>0</v>
      </c>
      <c r="M47" s="428">
        <f>+M46/J38</f>
        <v>0</v>
      </c>
    </row>
    <row r="48" spans="1:15" ht="17.45" customHeight="1">
      <c r="A48" s="763" t="s">
        <v>15</v>
      </c>
      <c r="B48" s="764"/>
      <c r="C48" s="165">
        <f>SUMIF($G$7:$G$31,"Start Up",$F$7:$F$31)</f>
        <v>0</v>
      </c>
      <c r="D48" s="119">
        <f>+C48+'12'!D48</f>
        <v>0</v>
      </c>
      <c r="E48" s="144">
        <f t="shared" si="8"/>
        <v>0</v>
      </c>
      <c r="F48" s="361"/>
      <c r="G48" s="362"/>
      <c r="H48" s="189" t="s">
        <v>94</v>
      </c>
      <c r="I48" s="119">
        <f>I46/I40</f>
        <v>1268.8584133880981</v>
      </c>
      <c r="J48" s="136">
        <f>J46/J40</f>
        <v>837.54254025138323</v>
      </c>
      <c r="K48" s="131" t="s">
        <v>25</v>
      </c>
      <c r="L48" s="427">
        <f>+L46/I38</f>
        <v>0</v>
      </c>
      <c r="M48" s="428">
        <f>+M46/J40</f>
        <v>0</v>
      </c>
    </row>
    <row r="49" spans="1:13" ht="17.45" customHeight="1">
      <c r="A49" s="763" t="s">
        <v>21</v>
      </c>
      <c r="B49" s="764"/>
      <c r="C49" s="165">
        <f>SUMIF($G$7:$G$31,"Others",$F$7:$F$31)</f>
        <v>0</v>
      </c>
      <c r="D49" s="119">
        <f>+C49+'12'!D49</f>
        <v>0</v>
      </c>
      <c r="E49" s="144">
        <f t="shared" si="8"/>
        <v>0</v>
      </c>
      <c r="F49" s="186"/>
      <c r="H49" s="189" t="s">
        <v>95</v>
      </c>
      <c r="I49" s="119">
        <f>+Report1!AB21</f>
        <v>4176.7592610150214</v>
      </c>
      <c r="J49" s="136">
        <f>+I49+'12'!J49</f>
        <v>63545.868814912654</v>
      </c>
      <c r="K49" s="131" t="s">
        <v>96</v>
      </c>
      <c r="L49" s="423"/>
      <c r="M49" s="424"/>
    </row>
    <row r="50" spans="1:13" ht="17.45" customHeight="1">
      <c r="A50" s="763" t="s">
        <v>20</v>
      </c>
      <c r="B50" s="764"/>
      <c r="C50" s="165">
        <f>SUMIF($G$7:$G$31,"Steam",$F$7:$F$31)</f>
        <v>0</v>
      </c>
      <c r="D50" s="119">
        <f>+C50+'12'!D50</f>
        <v>0</v>
      </c>
      <c r="E50" s="144">
        <f t="shared" si="8"/>
        <v>0</v>
      </c>
      <c r="F50" s="186"/>
      <c r="H50" s="189" t="s">
        <v>97</v>
      </c>
      <c r="I50" s="141">
        <f>I49/I38</f>
        <v>109.02814641507273</v>
      </c>
      <c r="J50" s="134">
        <f>J49/J38</f>
        <v>99.889287517370008</v>
      </c>
      <c r="K50" s="131" t="s">
        <v>96</v>
      </c>
      <c r="L50" s="423"/>
      <c r="M50" s="424"/>
    </row>
    <row r="51" spans="1:13" ht="17.45" customHeight="1" thickBot="1">
      <c r="A51" s="765" t="s">
        <v>98</v>
      </c>
      <c r="B51" s="766"/>
      <c r="C51" s="165">
        <f>SUMIF($G$7:$G$31,"Planned shut",$F$7:$F$31)</f>
        <v>0</v>
      </c>
      <c r="D51" s="119">
        <f>+C51+'12'!D51</f>
        <v>609</v>
      </c>
      <c r="E51" s="144">
        <f t="shared" si="8"/>
        <v>10.15</v>
      </c>
      <c r="F51" s="186"/>
      <c r="H51" s="191" t="s">
        <v>99</v>
      </c>
      <c r="I51" s="142">
        <f>I49/I40</f>
        <v>141.78211280135176</v>
      </c>
      <c r="J51" s="137">
        <f>J49/J40</f>
        <v>103.89151551674905</v>
      </c>
      <c r="K51" s="138" t="s">
        <v>96</v>
      </c>
      <c r="L51" s="423"/>
      <c r="M51" s="424"/>
    </row>
    <row r="52" spans="1:13" ht="13.5" thickBot="1">
      <c r="A52" s="767" t="s">
        <v>29</v>
      </c>
      <c r="B52" s="768"/>
      <c r="C52" s="145">
        <f>SUM(C38:C51)</f>
        <v>351</v>
      </c>
      <c r="D52" s="145">
        <f>SUM(D38:D51)</f>
        <v>1654</v>
      </c>
      <c r="E52" s="146">
        <f>SUM(E38:E51)</f>
        <v>27.56666666666667</v>
      </c>
      <c r="F52" s="186"/>
      <c r="H52" s="192"/>
      <c r="I52" s="193"/>
      <c r="J52" s="139"/>
      <c r="K52" s="140"/>
      <c r="L52" s="430"/>
      <c r="M52" s="431"/>
    </row>
    <row r="53" spans="1:13" ht="13.5" thickBot="1">
      <c r="A53" s="769"/>
      <c r="B53" s="770"/>
      <c r="C53" s="147">
        <f>C52/(24*60)</f>
        <v>0.24374999999999999</v>
      </c>
      <c r="D53" s="147">
        <f>D52/(24*60*G4)</f>
        <v>8.835470085470086E-2</v>
      </c>
      <c r="E53" s="148">
        <f>E52/(G4*24)</f>
        <v>8.835470085470086E-2</v>
      </c>
      <c r="F53" s="186"/>
    </row>
    <row r="54" spans="1:13">
      <c r="E54" s="194"/>
      <c r="F54" s="186"/>
    </row>
    <row r="55" spans="1:13">
      <c r="E55" s="194"/>
    </row>
    <row r="56" spans="1:13">
      <c r="A56" s="195" t="s">
        <v>100</v>
      </c>
      <c r="B56" s="196"/>
      <c r="C56" s="197"/>
      <c r="D56" s="197"/>
      <c r="E56" s="197"/>
      <c r="F56" s="198"/>
      <c r="G56" s="197"/>
      <c r="H56" s="199"/>
      <c r="I56" s="200" t="s">
        <v>101</v>
      </c>
      <c r="J56" s="201">
        <f>+D34+'12'!J56</f>
        <v>2476</v>
      </c>
      <c r="K56" s="202">
        <f>J56/(J40+J56/1000)/1000</f>
        <v>4.0317065386594412E-3</v>
      </c>
    </row>
    <row r="57" spans="1:13">
      <c r="A57" s="177"/>
      <c r="I57" s="200" t="s">
        <v>102</v>
      </c>
      <c r="J57" s="201">
        <f>+E34+'12'!J57</f>
        <v>0</v>
      </c>
      <c r="K57" s="202">
        <f>J57/(J40+J57/1000)/1000</f>
        <v>0</v>
      </c>
    </row>
    <row r="58" spans="1:13">
      <c r="A58" s="203"/>
      <c r="B58" s="204"/>
      <c r="F58" s="186"/>
      <c r="H58" s="205"/>
      <c r="J58" s="150">
        <v>325</v>
      </c>
    </row>
    <row r="59" spans="1:13">
      <c r="A59" s="206"/>
      <c r="B59" s="177"/>
      <c r="C59" s="177"/>
      <c r="D59" s="177"/>
      <c r="E59" s="177"/>
      <c r="F59" s="190"/>
      <c r="G59" s="177"/>
      <c r="H59" s="205"/>
      <c r="J59" s="156">
        <f>+J56+J58</f>
        <v>2801</v>
      </c>
    </row>
    <row r="60" spans="1:13">
      <c r="H60" s="205"/>
    </row>
    <row r="61" spans="1:13">
      <c r="A61" s="207"/>
      <c r="B61" s="208"/>
      <c r="C61" s="208"/>
      <c r="D61" s="208"/>
      <c r="E61" s="208"/>
      <c r="F61" s="209"/>
      <c r="G61" s="208"/>
      <c r="H61" s="210"/>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N61"/>
  <sheetViews>
    <sheetView zoomScale="80" zoomScaleNormal="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4" style="150" bestFit="1" customWidth="1"/>
    <col min="12" max="12" width="12.140625" style="150" customWidth="1"/>
    <col min="13" max="13" width="15" style="150" bestFit="1" customWidth="1"/>
    <col min="14" max="16384" width="9.140625" style="150"/>
  </cols>
  <sheetData>
    <row r="1" spans="1:13" ht="15.75">
      <c r="A1" s="149"/>
    </row>
    <row r="2" spans="1:13" ht="15.75">
      <c r="A2" s="149" t="s">
        <v>185</v>
      </c>
    </row>
    <row r="3" spans="1:13" ht="15">
      <c r="A3" s="151"/>
    </row>
    <row r="4" spans="1:13" ht="20.25">
      <c r="A4" s="152" t="s">
        <v>5</v>
      </c>
      <c r="B4" s="153"/>
      <c r="F4" s="154" t="s">
        <v>30</v>
      </c>
      <c r="G4" s="155">
        <v>12</v>
      </c>
      <c r="H4" s="155" t="str">
        <f>+'1'!H4</f>
        <v>.11.25</v>
      </c>
      <c r="J4" s="150">
        <f>572.7+432.4+417</f>
        <v>1422.1</v>
      </c>
    </row>
    <row r="5" spans="1:13" ht="13.5" thickBot="1">
      <c r="C5" s="156"/>
      <c r="D5" s="156"/>
    </row>
    <row r="6" spans="1:13"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3" ht="13.5" customHeight="1" thickBot="1">
      <c r="A7" s="775" t="s">
        <v>445</v>
      </c>
      <c r="B7" s="216" t="s">
        <v>448</v>
      </c>
      <c r="C7" s="217">
        <v>14369</v>
      </c>
      <c r="D7" s="218"/>
      <c r="E7" s="219"/>
      <c r="F7" s="229"/>
      <c r="G7" s="230" t="s">
        <v>13</v>
      </c>
      <c r="H7" s="231" t="s">
        <v>390</v>
      </c>
      <c r="I7" s="778" t="s">
        <v>563</v>
      </c>
      <c r="J7" s="215" t="str">
        <f>+'11'!J7</f>
        <v>T 13,5 RC HW</v>
      </c>
      <c r="K7" s="239">
        <f>+C34</f>
        <v>49130</v>
      </c>
      <c r="L7" s="243"/>
      <c r="M7" s="118">
        <f>+K7+'11'!M7+L7</f>
        <v>216151</v>
      </c>
    </row>
    <row r="8" spans="1:13" ht="13.5" thickBot="1">
      <c r="A8" s="784"/>
      <c r="B8" s="216"/>
      <c r="C8" s="217"/>
      <c r="D8" s="218"/>
      <c r="E8" s="220"/>
      <c r="F8" s="232">
        <v>8</v>
      </c>
      <c r="G8" s="579" t="s">
        <v>13</v>
      </c>
      <c r="H8" s="231" t="s">
        <v>429</v>
      </c>
      <c r="I8" s="779"/>
      <c r="J8" s="215" t="str">
        <f>+'11'!J8</f>
        <v>T 14 RC HW</v>
      </c>
      <c r="K8" s="240"/>
      <c r="L8" s="240"/>
      <c r="M8" s="118">
        <f>+K8+'11'!M8+L8</f>
        <v>97781</v>
      </c>
    </row>
    <row r="9" spans="1:13" ht="13.5" thickBot="1">
      <c r="A9" s="784"/>
      <c r="B9" s="216"/>
      <c r="C9" s="217"/>
      <c r="D9" s="218"/>
      <c r="E9" s="221"/>
      <c r="F9" s="229">
        <v>10</v>
      </c>
      <c r="G9" s="579" t="s">
        <v>13</v>
      </c>
      <c r="H9" s="234" t="s">
        <v>427</v>
      </c>
      <c r="I9" s="779"/>
      <c r="J9" s="215" t="str">
        <f>+'11'!J9</f>
        <v>T 15 RC HW</v>
      </c>
      <c r="K9" s="240"/>
      <c r="L9" s="240"/>
      <c r="M9" s="118">
        <f>+K9+'11'!M9+L9</f>
        <v>34238</v>
      </c>
    </row>
    <row r="10" spans="1:13" ht="26.25" thickBot="1">
      <c r="A10" s="784"/>
      <c r="B10" s="216"/>
      <c r="C10" s="217"/>
      <c r="D10" s="218"/>
      <c r="E10" s="220"/>
      <c r="F10" s="229"/>
      <c r="G10" s="238" t="s">
        <v>14</v>
      </c>
      <c r="H10" s="234" t="s">
        <v>573</v>
      </c>
      <c r="I10" s="779"/>
      <c r="J10" s="215" t="str">
        <f>+'11'!J10</f>
        <v>TW 29 RC HW</v>
      </c>
      <c r="K10" s="240"/>
      <c r="L10" s="240"/>
      <c r="M10" s="118">
        <f>+K10+'11'!M10+L10</f>
        <v>21998</v>
      </c>
    </row>
    <row r="11" spans="1:13" ht="39" thickBot="1">
      <c r="A11" s="784"/>
      <c r="B11" s="216"/>
      <c r="C11" s="217"/>
      <c r="D11" s="218"/>
      <c r="E11" s="220"/>
      <c r="F11" s="229"/>
      <c r="G11" s="233"/>
      <c r="H11" s="234" t="s">
        <v>572</v>
      </c>
      <c r="I11" s="779"/>
      <c r="J11" s="215" t="str">
        <f>+'11'!J11</f>
        <v>TW 20 RC HW</v>
      </c>
      <c r="K11" s="240"/>
      <c r="L11" s="240"/>
      <c r="M11" s="118">
        <f>+K11+'11'!M11+L11</f>
        <v>104164</v>
      </c>
    </row>
    <row r="12" spans="1:13" ht="13.5" thickBot="1">
      <c r="A12" s="784"/>
      <c r="B12" s="216"/>
      <c r="C12" s="217"/>
      <c r="D12" s="218"/>
      <c r="E12" s="220"/>
      <c r="F12" s="229"/>
      <c r="G12" s="233"/>
      <c r="H12" s="234"/>
      <c r="I12" s="779"/>
      <c r="J12" s="215" t="str">
        <f>+'11'!J12</f>
        <v>TW 19 RC HW</v>
      </c>
      <c r="K12" s="240"/>
      <c r="L12" s="240"/>
      <c r="M12" s="118">
        <f>+K12+'11'!M12+L12</f>
        <v>18863</v>
      </c>
    </row>
    <row r="13" spans="1:13" ht="13.5" thickBot="1">
      <c r="A13" s="784"/>
      <c r="B13" s="216"/>
      <c r="C13" s="217"/>
      <c r="D13" s="217"/>
      <c r="E13" s="220"/>
      <c r="F13" s="229"/>
      <c r="G13" s="233"/>
      <c r="H13" s="234"/>
      <c r="I13" s="780"/>
      <c r="J13" s="215" t="str">
        <f>+'11'!J13</f>
        <v>TW 17 RC HW</v>
      </c>
      <c r="K13" s="240"/>
      <c r="L13" s="240"/>
      <c r="M13" s="118">
        <f>+K13+'11'!M13+L13</f>
        <v>67816</v>
      </c>
    </row>
    <row r="14" spans="1:13" ht="13.5" thickBot="1">
      <c r="A14" s="785"/>
      <c r="B14" s="166" t="s">
        <v>3</v>
      </c>
      <c r="C14" s="100">
        <f>SUM(C7:C13)</f>
        <v>14369</v>
      </c>
      <c r="D14" s="112">
        <f>SUM(D7:D13)</f>
        <v>0</v>
      </c>
      <c r="E14" s="113">
        <f>SUM(E5:E13)</f>
        <v>0</v>
      </c>
      <c r="F14" s="103">
        <f>SUM(F6:F13)</f>
        <v>18</v>
      </c>
      <c r="G14" s="160"/>
      <c r="H14" s="167"/>
      <c r="I14" s="168"/>
      <c r="J14" s="215" t="str">
        <f>+'11'!J14</f>
        <v>F 14 RC HW</v>
      </c>
      <c r="K14" s="240"/>
      <c r="L14" s="240"/>
      <c r="M14" s="118">
        <f>+K14+'11'!M14+L14</f>
        <v>10232</v>
      </c>
    </row>
    <row r="15" spans="1:13" ht="13.5" customHeight="1" thickBot="1">
      <c r="A15" s="775" t="s">
        <v>460</v>
      </c>
      <c r="B15" s="166"/>
      <c r="C15" s="114">
        <f>C14/($C$23+$D$23+$E$23)</f>
        <v>0.82789813321041716</v>
      </c>
      <c r="D15" s="115">
        <f>D14/($C$23+$D$23+$E$23)</f>
        <v>0</v>
      </c>
      <c r="E15" s="116">
        <f>E14/($C$23+$D$23+$E$23)</f>
        <v>0</v>
      </c>
      <c r="F15" s="229"/>
      <c r="G15" s="230" t="s">
        <v>13</v>
      </c>
      <c r="H15" s="231" t="s">
        <v>390</v>
      </c>
      <c r="I15" s="778" t="s">
        <v>563</v>
      </c>
      <c r="J15" s="215" t="str">
        <f>+'11'!J15</f>
        <v>T 16,5 RC HW</v>
      </c>
      <c r="K15" s="240"/>
      <c r="L15" s="240"/>
      <c r="M15" s="118">
        <f>+K15+'11'!M15+L15</f>
        <v>10954</v>
      </c>
    </row>
    <row r="16" spans="1:13" ht="13.5" thickBot="1">
      <c r="A16" s="784"/>
      <c r="B16" s="216" t="s">
        <v>448</v>
      </c>
      <c r="C16" s="223">
        <v>17356</v>
      </c>
      <c r="D16" s="224"/>
      <c r="E16" s="225"/>
      <c r="F16" s="232">
        <v>9</v>
      </c>
      <c r="G16" s="579" t="s">
        <v>13</v>
      </c>
      <c r="H16" s="231" t="s">
        <v>429</v>
      </c>
      <c r="I16" s="779"/>
      <c r="J16" s="215">
        <f>+'11'!J16</f>
        <v>0</v>
      </c>
      <c r="K16" s="240"/>
      <c r="L16" s="240"/>
      <c r="M16" s="118">
        <f>+K16+'11'!M16+L16</f>
        <v>0</v>
      </c>
    </row>
    <row r="17" spans="1:14" ht="13.5" thickBot="1">
      <c r="A17" s="784"/>
      <c r="B17" s="216"/>
      <c r="C17" s="217"/>
      <c r="D17" s="218"/>
      <c r="E17" s="226"/>
      <c r="F17" s="229">
        <f>28-9</f>
        <v>19</v>
      </c>
      <c r="G17" s="579" t="s">
        <v>13</v>
      </c>
      <c r="H17" s="234" t="s">
        <v>427</v>
      </c>
      <c r="I17" s="779"/>
      <c r="J17" s="215">
        <f>+'11'!J17</f>
        <v>0</v>
      </c>
      <c r="K17" s="240"/>
      <c r="L17" s="240"/>
      <c r="M17" s="118">
        <f>+K17+'11'!M17+L17</f>
        <v>0</v>
      </c>
    </row>
    <row r="18" spans="1:14" ht="26.25" thickBot="1">
      <c r="A18" s="784"/>
      <c r="B18" s="216"/>
      <c r="C18" s="217"/>
      <c r="D18" s="218"/>
      <c r="E18" s="226"/>
      <c r="F18" s="229"/>
      <c r="G18" s="238" t="s">
        <v>14</v>
      </c>
      <c r="H18" s="234" t="s">
        <v>573</v>
      </c>
      <c r="I18" s="779"/>
      <c r="J18" s="215">
        <f>+'11'!J18</f>
        <v>0</v>
      </c>
      <c r="K18" s="240"/>
      <c r="L18" s="240"/>
      <c r="M18" s="118">
        <f>+K18+'11'!M18+L18</f>
        <v>0</v>
      </c>
    </row>
    <row r="19" spans="1:14" ht="13.5" thickBot="1">
      <c r="A19" s="784"/>
      <c r="B19" s="216"/>
      <c r="C19" s="217"/>
      <c r="D19" s="218"/>
      <c r="E19" s="226"/>
      <c r="F19" s="236"/>
      <c r="G19" s="233"/>
      <c r="H19" s="234"/>
      <c r="I19" s="779"/>
      <c r="J19" s="215">
        <f>+'11'!J19</f>
        <v>0</v>
      </c>
      <c r="K19" s="240"/>
      <c r="L19" s="240"/>
      <c r="M19" s="118">
        <f>+K19+'11'!M19+L19</f>
        <v>0</v>
      </c>
    </row>
    <row r="20" spans="1:14" ht="13.5" thickBot="1">
      <c r="A20" s="784"/>
      <c r="B20" s="216"/>
      <c r="C20" s="217"/>
      <c r="D20" s="218"/>
      <c r="E20" s="226"/>
      <c r="F20" s="229"/>
      <c r="G20" s="233"/>
      <c r="H20" s="234"/>
      <c r="I20" s="779"/>
      <c r="J20" s="215">
        <f>+'11'!J20</f>
        <v>0</v>
      </c>
      <c r="K20" s="240"/>
      <c r="L20" s="240"/>
      <c r="M20" s="118">
        <f>+K20+'11'!M20+L20</f>
        <v>0</v>
      </c>
    </row>
    <row r="21" spans="1:14" ht="13.5" thickBot="1">
      <c r="A21" s="784"/>
      <c r="B21" s="216"/>
      <c r="C21" s="217"/>
      <c r="D21" s="218"/>
      <c r="E21" s="226"/>
      <c r="F21" s="232"/>
      <c r="G21" s="233"/>
      <c r="H21" s="234"/>
      <c r="I21" s="779"/>
      <c r="J21" s="215">
        <f>+'11'!J21</f>
        <v>0</v>
      </c>
      <c r="K21" s="240"/>
      <c r="L21" s="240"/>
      <c r="M21" s="118">
        <f>+K21+'11'!M21+L21</f>
        <v>0</v>
      </c>
    </row>
    <row r="22" spans="1:14" ht="13.5" thickBot="1">
      <c r="A22" s="784"/>
      <c r="B22" s="216"/>
      <c r="C22" s="217"/>
      <c r="D22" s="218"/>
      <c r="E22" s="226"/>
      <c r="F22" s="237"/>
      <c r="G22" s="233"/>
      <c r="H22" s="234"/>
      <c r="I22" s="780"/>
      <c r="J22" s="215">
        <f>+'11'!J22</f>
        <v>0</v>
      </c>
      <c r="K22" s="240"/>
      <c r="L22" s="240"/>
      <c r="M22" s="118">
        <f>+K22+'11'!M22+L22</f>
        <v>0</v>
      </c>
    </row>
    <row r="23" spans="1:14" ht="13.5" thickBot="1">
      <c r="A23" s="785"/>
      <c r="B23" s="166" t="s">
        <v>3</v>
      </c>
      <c r="C23" s="101">
        <f>SUM(C16:C22)</f>
        <v>17356</v>
      </c>
      <c r="D23" s="112">
        <f>SUM(D16:D22)</f>
        <v>0</v>
      </c>
      <c r="E23" s="113">
        <f>SUM(E18:E22)</f>
        <v>0</v>
      </c>
      <c r="F23" s="103">
        <f>SUM(F15:F22)</f>
        <v>28</v>
      </c>
      <c r="G23" s="160"/>
      <c r="H23" s="167"/>
      <c r="I23" s="170"/>
      <c r="J23" s="215">
        <f>+'11'!J23</f>
        <v>0</v>
      </c>
      <c r="K23" s="240"/>
      <c r="L23" s="240"/>
      <c r="M23" s="118">
        <f>+K23+'11'!M23+L23</f>
        <v>0</v>
      </c>
    </row>
    <row r="24" spans="1:14" ht="13.5" customHeight="1" thickBot="1">
      <c r="A24" s="775" t="s">
        <v>444</v>
      </c>
      <c r="B24" s="171"/>
      <c r="C24" s="114">
        <f>C23/($C$23+$D$23+$E$23)</f>
        <v>1</v>
      </c>
      <c r="D24" s="115">
        <f>D23/($C$23+$D$23+$E$23)</f>
        <v>0</v>
      </c>
      <c r="E24" s="116">
        <f>E23/($C$23+$D$23+$E$23)</f>
        <v>0</v>
      </c>
      <c r="F24" s="229"/>
      <c r="G24" s="230" t="s">
        <v>13</v>
      </c>
      <c r="H24" s="231" t="s">
        <v>390</v>
      </c>
      <c r="I24" s="778" t="s">
        <v>563</v>
      </c>
      <c r="J24" s="215">
        <f>+'11'!J24</f>
        <v>0</v>
      </c>
      <c r="K24" s="240"/>
      <c r="L24" s="240"/>
      <c r="M24" s="118">
        <f>+K24+'11'!M24+L24</f>
        <v>0</v>
      </c>
    </row>
    <row r="25" spans="1:14" ht="13.5" thickBot="1">
      <c r="A25" s="784"/>
      <c r="B25" s="216" t="s">
        <v>448</v>
      </c>
      <c r="C25" s="227">
        <v>17405</v>
      </c>
      <c r="D25" s="218">
        <v>680</v>
      </c>
      <c r="E25" s="226"/>
      <c r="F25" s="232">
        <v>2</v>
      </c>
      <c r="G25" s="579" t="s">
        <v>13</v>
      </c>
      <c r="H25" s="231" t="s">
        <v>490</v>
      </c>
      <c r="I25" s="779"/>
      <c r="J25" s="215">
        <f>+'11'!J25</f>
        <v>0</v>
      </c>
      <c r="K25" s="240"/>
      <c r="L25" s="240"/>
      <c r="M25" s="118">
        <f>+K25+'11'!M25+L25</f>
        <v>0</v>
      </c>
    </row>
    <row r="26" spans="1:14" ht="13.5" thickBot="1">
      <c r="A26" s="784"/>
      <c r="B26" s="216"/>
      <c r="C26" s="227"/>
      <c r="D26" s="218"/>
      <c r="E26" s="228"/>
      <c r="F26" s="229">
        <v>4</v>
      </c>
      <c r="G26" s="579" t="s">
        <v>13</v>
      </c>
      <c r="H26" s="234" t="s">
        <v>423</v>
      </c>
      <c r="I26" s="779"/>
      <c r="J26" s="215">
        <f>+'11'!J26</f>
        <v>0</v>
      </c>
      <c r="K26" s="240"/>
      <c r="L26" s="240"/>
      <c r="M26" s="118">
        <f>+K26+'11'!M26+L26</f>
        <v>0</v>
      </c>
    </row>
    <row r="27" spans="1:14" ht="26.25" thickBot="1">
      <c r="A27" s="784"/>
      <c r="B27" s="216"/>
      <c r="C27" s="217"/>
      <c r="D27" s="218"/>
      <c r="E27" s="226"/>
      <c r="F27" s="229">
        <v>10</v>
      </c>
      <c r="G27" s="238" t="s">
        <v>14</v>
      </c>
      <c r="H27" s="234" t="s">
        <v>559</v>
      </c>
      <c r="I27" s="779"/>
      <c r="J27" s="215">
        <f>+'11'!J27</f>
        <v>0</v>
      </c>
      <c r="K27" s="240"/>
      <c r="L27" s="240"/>
      <c r="M27" s="118">
        <f>+K27+'11'!M27+L27</f>
        <v>0</v>
      </c>
    </row>
    <row r="28" spans="1:14" ht="13.5" thickBot="1">
      <c r="A28" s="784"/>
      <c r="B28" s="216"/>
      <c r="C28" s="217"/>
      <c r="D28" s="218"/>
      <c r="E28" s="226"/>
      <c r="F28" s="232"/>
      <c r="G28" s="233"/>
      <c r="H28" s="234"/>
      <c r="I28" s="779"/>
      <c r="J28" s="215">
        <f>+'11'!J28</f>
        <v>0</v>
      </c>
      <c r="K28" s="240"/>
      <c r="L28" s="240"/>
      <c r="M28" s="118">
        <f>+K28+'11'!M28+L28</f>
        <v>0</v>
      </c>
    </row>
    <row r="29" spans="1:14" ht="13.5" thickBot="1">
      <c r="A29" s="784"/>
      <c r="B29" s="216"/>
      <c r="C29" s="217"/>
      <c r="D29" s="218"/>
      <c r="E29" s="226"/>
      <c r="F29" s="237"/>
      <c r="G29" s="233"/>
      <c r="H29" s="234"/>
      <c r="I29" s="779"/>
      <c r="J29" s="215">
        <f>+'11'!J29</f>
        <v>0</v>
      </c>
      <c r="K29" s="240"/>
      <c r="L29" s="240"/>
      <c r="M29" s="118">
        <f>+K29+'11'!M29+L29</f>
        <v>0</v>
      </c>
    </row>
    <row r="30" spans="1:14" ht="13.5" thickBot="1">
      <c r="A30" s="784"/>
      <c r="B30" s="216"/>
      <c r="C30" s="227"/>
      <c r="D30" s="218"/>
      <c r="E30" s="226"/>
      <c r="F30" s="237"/>
      <c r="G30" s="233"/>
      <c r="H30" s="234"/>
      <c r="I30" s="779"/>
      <c r="J30" s="215">
        <f>+'11'!J30</f>
        <v>0</v>
      </c>
      <c r="K30" s="240"/>
      <c r="L30" s="240"/>
      <c r="M30" s="118">
        <f>+K30+'11'!M30+L30</f>
        <v>0</v>
      </c>
      <c r="N30" s="156"/>
    </row>
    <row r="31" spans="1:14" ht="13.5" thickBot="1">
      <c r="A31" s="784"/>
      <c r="B31" s="216"/>
      <c r="C31" s="227"/>
      <c r="D31" s="218"/>
      <c r="E31" s="226"/>
      <c r="F31" s="237"/>
      <c r="G31" s="238"/>
      <c r="H31" s="235"/>
      <c r="I31" s="780"/>
      <c r="J31" s="215">
        <f>+'11'!J31</f>
        <v>0</v>
      </c>
      <c r="K31" s="240"/>
      <c r="L31" s="240"/>
      <c r="M31" s="118">
        <f>+K31+'11'!M31+L31</f>
        <v>0</v>
      </c>
    </row>
    <row r="32" spans="1:14" ht="13.5" thickBot="1">
      <c r="A32" s="785"/>
      <c r="B32" s="166" t="s">
        <v>3</v>
      </c>
      <c r="C32" s="100">
        <f>SUM(C25:C31)</f>
        <v>17405</v>
      </c>
      <c r="D32" s="101">
        <f>SUM(D25:D31)</f>
        <v>680</v>
      </c>
      <c r="E32" s="102">
        <f>SUM(E25:E31)</f>
        <v>0</v>
      </c>
      <c r="F32" s="103">
        <f>SUM(F24:F31)</f>
        <v>16</v>
      </c>
      <c r="G32" s="172"/>
      <c r="H32" s="173"/>
      <c r="I32" s="170"/>
      <c r="J32" s="215">
        <f>+'1'!J32</f>
        <v>0</v>
      </c>
      <c r="K32" s="242"/>
      <c r="L32" s="244"/>
      <c r="M32" s="118">
        <f>+K32+'11'!M32+L32</f>
        <v>0</v>
      </c>
    </row>
    <row r="33" spans="1:14" ht="13.5" thickBot="1">
      <c r="A33" s="174"/>
      <c r="B33" s="175"/>
      <c r="C33" s="104">
        <f>C32/($C$32+$D$32+$E$32)</f>
        <v>0.96239977882222838</v>
      </c>
      <c r="D33" s="105">
        <f>D32/($C$32+$D$32+$E$32)</f>
        <v>3.7600221177771634E-2</v>
      </c>
      <c r="E33" s="106">
        <f>E32/($C$32+$D$32+$E$32)</f>
        <v>0</v>
      </c>
      <c r="F33" s="107"/>
      <c r="G33" s="176"/>
      <c r="H33" s="177"/>
      <c r="I33" s="178"/>
      <c r="J33" s="122"/>
      <c r="K33" s="123"/>
      <c r="L33" s="214"/>
      <c r="M33" s="120"/>
    </row>
    <row r="34" spans="1:14" ht="13.5" thickBot="1">
      <c r="A34" s="771" t="s">
        <v>70</v>
      </c>
      <c r="B34" s="772"/>
      <c r="C34" s="108">
        <f>C14+C23+C32</f>
        <v>49130</v>
      </c>
      <c r="D34" s="108">
        <f>D14+D23+D32</f>
        <v>680</v>
      </c>
      <c r="E34" s="108">
        <f>E14+E23+E32</f>
        <v>0</v>
      </c>
      <c r="F34" s="109">
        <f>F14+F23+F32</f>
        <v>62</v>
      </c>
      <c r="H34" s="179"/>
      <c r="I34" s="179"/>
      <c r="J34" s="124" t="s">
        <v>29</v>
      </c>
      <c r="K34" s="125">
        <f>SUM(K7:K32)</f>
        <v>49130</v>
      </c>
      <c r="L34" s="213">
        <f>SUM(L7:L32)</f>
        <v>0</v>
      </c>
      <c r="M34" s="121">
        <f>SUM(M7:M32)</f>
        <v>582197</v>
      </c>
      <c r="N34" s="156"/>
    </row>
    <row r="35" spans="1:14" ht="13.5" thickBot="1">
      <c r="A35" s="180"/>
      <c r="B35" s="181"/>
      <c r="C35" s="105">
        <f>C34/($C$34+$D$34+$E$34)</f>
        <v>0.98634812286689422</v>
      </c>
      <c r="D35" s="105">
        <f>D34/($C$34+$D$34+$E$34)</f>
        <v>1.3651877133105802E-2</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(13.5*1440)/1440*G42*2.77*1440/1000000</f>
        <v>53.902648799999994</v>
      </c>
      <c r="J37" s="126">
        <f>+I37+'11'!J37</f>
        <v>625.37581757732914</v>
      </c>
      <c r="K37" s="127" t="s">
        <v>76</v>
      </c>
      <c r="L37" s="421"/>
      <c r="M37" s="422"/>
      <c r="N37" s="544"/>
    </row>
    <row r="38" spans="1:14" ht="17.45" customHeight="1">
      <c r="A38" s="767" t="s">
        <v>13</v>
      </c>
      <c r="B38" s="768"/>
      <c r="C38" s="165">
        <f>SUMIF($G$7:$G$31,"Process",$F$7:$F$31)</f>
        <v>52</v>
      </c>
      <c r="D38" s="119">
        <f>+C38+'11'!D38</f>
        <v>528</v>
      </c>
      <c r="E38" s="144">
        <f t="shared" ref="E38:E51" si="0">D38/60</f>
        <v>8.8000000000000007</v>
      </c>
      <c r="F38" s="361">
        <v>1300</v>
      </c>
      <c r="G38" s="363">
        <v>1001</v>
      </c>
      <c r="H38" s="188" t="s">
        <v>77</v>
      </c>
      <c r="I38" s="543">
        <f>15.351+18.21+17.228</f>
        <v>50.789000000000001</v>
      </c>
      <c r="J38" s="128">
        <f>+I38+'11'!J38</f>
        <v>597.85400000000004</v>
      </c>
      <c r="K38" s="129" t="s">
        <v>76</v>
      </c>
      <c r="L38" s="423"/>
      <c r="M38" s="424"/>
    </row>
    <row r="39" spans="1:14" ht="17.45" customHeight="1">
      <c r="A39" s="763" t="s">
        <v>14</v>
      </c>
      <c r="B39" s="764"/>
      <c r="C39" s="165">
        <f>SUMIF($G$7:$G$31,"Cleaning",$F$7:$F$31)</f>
        <v>10</v>
      </c>
      <c r="D39" s="119">
        <f>+C39+'11'!D39</f>
        <v>166</v>
      </c>
      <c r="E39" s="144">
        <f t="shared" si="0"/>
        <v>2.7666666666666666</v>
      </c>
      <c r="F39" s="361">
        <v>1300</v>
      </c>
      <c r="G39" s="363">
        <v>1001</v>
      </c>
      <c r="H39" s="188" t="s">
        <v>78</v>
      </c>
      <c r="I39" s="143"/>
      <c r="J39" s="130">
        <f>J37/G4</f>
        <v>52.114651464777431</v>
      </c>
      <c r="K39" s="131" t="s">
        <v>76</v>
      </c>
      <c r="L39" s="423"/>
      <c r="M39" s="424"/>
    </row>
    <row r="40" spans="1:14" ht="17.45" customHeight="1">
      <c r="A40" s="763" t="s">
        <v>79</v>
      </c>
      <c r="B40" s="764"/>
      <c r="C40" s="165">
        <f>SUMIF($G$7:$G$31,"Mechanical",$F$7:$F$31)</f>
        <v>0</v>
      </c>
      <c r="D40" s="119">
        <f>+C40+'11'!D40</f>
        <v>0</v>
      </c>
      <c r="E40" s="144">
        <f t="shared" si="0"/>
        <v>0</v>
      </c>
      <c r="F40" s="361">
        <v>1300</v>
      </c>
      <c r="G40" s="363">
        <v>1001</v>
      </c>
      <c r="H40" s="188" t="s">
        <v>80</v>
      </c>
      <c r="I40" s="119">
        <f>(K34+L34)/1000</f>
        <v>49.13</v>
      </c>
      <c r="J40" s="132">
        <f>+I40+'11'!J40</f>
        <v>582.197</v>
      </c>
      <c r="K40" s="131" t="s">
        <v>76</v>
      </c>
      <c r="L40" s="423"/>
      <c r="M40" s="424"/>
    </row>
    <row r="41" spans="1:14" ht="17.45" customHeight="1">
      <c r="A41" s="763" t="s">
        <v>81</v>
      </c>
      <c r="B41" s="764"/>
      <c r="C41" s="165">
        <f>SUMIF($G$7:$G$31,"Electrical",$F$7:$F$31)</f>
        <v>0</v>
      </c>
      <c r="D41" s="119">
        <f>+C41+'11'!D41</f>
        <v>0</v>
      </c>
      <c r="E41" s="144">
        <f t="shared" si="0"/>
        <v>0</v>
      </c>
      <c r="F41" s="361"/>
      <c r="G41" s="361"/>
      <c r="H41" s="188" t="s">
        <v>82</v>
      </c>
      <c r="I41" s="143"/>
      <c r="J41" s="130">
        <f>J40/G4</f>
        <v>48.516416666666665</v>
      </c>
      <c r="K41" s="131" t="s">
        <v>76</v>
      </c>
      <c r="L41" s="423"/>
      <c r="M41" s="424"/>
    </row>
    <row r="42" spans="1:14" ht="17.45" customHeight="1">
      <c r="A42" s="763" t="s">
        <v>17</v>
      </c>
      <c r="B42" s="764"/>
      <c r="C42" s="165">
        <f>SUMIF($G$7:$G$31,"Instrument",$F$7:$F$31)</f>
        <v>0</v>
      </c>
      <c r="D42" s="119">
        <f>+C42+'11'!D42</f>
        <v>0</v>
      </c>
      <c r="E42" s="144">
        <f t="shared" si="0"/>
        <v>0</v>
      </c>
      <c r="F42" s="361">
        <f>+(480*F38+480*F39+480*F40)/1440</f>
        <v>1300</v>
      </c>
      <c r="G42" s="361">
        <f>+(480*G38+480*G39+480*G40)/1440</f>
        <v>1001</v>
      </c>
      <c r="H42" s="188" t="s">
        <v>83</v>
      </c>
      <c r="I42" s="247" t="s">
        <v>563</v>
      </c>
      <c r="J42" s="133"/>
      <c r="K42" s="131" t="s">
        <v>84</v>
      </c>
      <c r="L42" s="423"/>
      <c r="M42" s="424"/>
    </row>
    <row r="43" spans="1:14" ht="17.45" customHeight="1">
      <c r="A43" s="763" t="s">
        <v>85</v>
      </c>
      <c r="B43" s="764"/>
      <c r="C43" s="165">
        <f>SUMIF($G$7:$G$31,"Water",$F$7:$F$31)</f>
        <v>0</v>
      </c>
      <c r="D43" s="119">
        <f>+C43+'11'!D43</f>
        <v>0</v>
      </c>
      <c r="E43" s="144">
        <f t="shared" si="0"/>
        <v>0</v>
      </c>
      <c r="F43" s="361"/>
      <c r="G43" s="362"/>
      <c r="H43" s="189" t="s">
        <v>86</v>
      </c>
      <c r="I43" s="119">
        <f>+Report1!AH20</f>
        <v>71.599999999999994</v>
      </c>
      <c r="J43" s="134">
        <f>+I43+'11'!J43</f>
        <v>790.4</v>
      </c>
      <c r="K43" s="131" t="s">
        <v>76</v>
      </c>
      <c r="L43" s="425">
        <f>+Report1!AN20</f>
        <v>8.6</v>
      </c>
      <c r="M43" s="426">
        <f>+L43+'11'!M43</f>
        <v>116.8</v>
      </c>
    </row>
    <row r="44" spans="1:14" ht="17.45" customHeight="1">
      <c r="A44" s="763" t="s">
        <v>18</v>
      </c>
      <c r="B44" s="764"/>
      <c r="C44" s="165">
        <f>SUMIF($G$7:$G$31,"PLN",$F$7:$F$31)</f>
        <v>0</v>
      </c>
      <c r="D44" s="119">
        <f>+C44+'11'!D44</f>
        <v>0</v>
      </c>
      <c r="E44" s="144">
        <f t="shared" si="0"/>
        <v>0</v>
      </c>
      <c r="F44" s="361"/>
      <c r="G44" s="362"/>
      <c r="H44" s="189" t="s">
        <v>87</v>
      </c>
      <c r="I44" s="119">
        <f>I43/I38</f>
        <v>1.4097540806080056</v>
      </c>
      <c r="J44" s="135">
        <f>J43/J38</f>
        <v>1.322061908091273</v>
      </c>
      <c r="K44" s="131" t="s">
        <v>76</v>
      </c>
      <c r="L44" s="427">
        <f>+L43/I38</f>
        <v>0.16932800409537496</v>
      </c>
      <c r="M44" s="428">
        <f>+M43/J38</f>
        <v>0.19536542366530957</v>
      </c>
    </row>
    <row r="45" spans="1:14" ht="17.45" customHeight="1">
      <c r="A45" s="763" t="s">
        <v>19</v>
      </c>
      <c r="B45" s="764"/>
      <c r="C45" s="165">
        <f>SUMIF($G$7:$G$31,"Boiler",$F$7:$F$31)</f>
        <v>0</v>
      </c>
      <c r="D45" s="119">
        <f>+C45+'11'!D45</f>
        <v>0</v>
      </c>
      <c r="E45" s="144">
        <f t="shared" si="0"/>
        <v>0</v>
      </c>
      <c r="F45" s="361"/>
      <c r="G45" s="364"/>
      <c r="H45" s="189" t="s">
        <v>88</v>
      </c>
      <c r="I45" s="119">
        <f>I43/I40</f>
        <v>1.457358029717077</v>
      </c>
      <c r="J45" s="135">
        <f>J43/J40</f>
        <v>1.3576160646653967</v>
      </c>
      <c r="K45" s="131" t="s">
        <v>76</v>
      </c>
      <c r="L45" s="427">
        <f>+L43/I40</f>
        <v>0.17504579686545896</v>
      </c>
      <c r="M45" s="428">
        <f>+M43/J40</f>
        <v>0.20061937797687038</v>
      </c>
    </row>
    <row r="46" spans="1:14" ht="17.45" customHeight="1">
      <c r="A46" s="763" t="s">
        <v>89</v>
      </c>
      <c r="B46" s="764"/>
      <c r="C46" s="165">
        <f>SUMIF($G$7:$G$31,"Gas",$F$7:$F$31)</f>
        <v>0</v>
      </c>
      <c r="D46" s="119">
        <f>+C46+'11'!D46</f>
        <v>0</v>
      </c>
      <c r="E46" s="144">
        <f t="shared" si="0"/>
        <v>0</v>
      </c>
      <c r="F46" s="361"/>
      <c r="G46" s="362"/>
      <c r="H46" s="189" t="s">
        <v>90</v>
      </c>
      <c r="I46" s="141">
        <f>+SUMIF(Listrik!P19,"&gt;0")</f>
        <v>42773.860000000066</v>
      </c>
      <c r="J46" s="136">
        <f>+I46+'11'!J46</f>
        <v>474908.62000000005</v>
      </c>
      <c r="K46" s="131" t="s">
        <v>91</v>
      </c>
      <c r="L46" s="427">
        <f>+Listrik!AF19</f>
        <v>0</v>
      </c>
      <c r="M46" s="429">
        <f>+L46+'11'!M46</f>
        <v>0</v>
      </c>
    </row>
    <row r="47" spans="1:14" ht="17.45" customHeight="1">
      <c r="A47" s="763" t="s">
        <v>92</v>
      </c>
      <c r="B47" s="764"/>
      <c r="C47" s="165">
        <f>SUMIF($G$7:$G$31,"Gas",$F$7:$F$31)</f>
        <v>0</v>
      </c>
      <c r="D47" s="119">
        <f>+C47+'11'!D47</f>
        <v>0</v>
      </c>
      <c r="E47" s="144">
        <f t="shared" si="0"/>
        <v>0</v>
      </c>
      <c r="F47" s="361"/>
      <c r="G47" s="362"/>
      <c r="H47" s="189" t="s">
        <v>93</v>
      </c>
      <c r="I47" s="119">
        <f>I46/I38</f>
        <v>842.18748154127991</v>
      </c>
      <c r="J47" s="136">
        <f>J46/J38</f>
        <v>794.35551154629729</v>
      </c>
      <c r="K47" s="131" t="s">
        <v>25</v>
      </c>
      <c r="L47" s="427">
        <f>+L46/I38</f>
        <v>0</v>
      </c>
      <c r="M47" s="428">
        <f>+M46/J38</f>
        <v>0</v>
      </c>
    </row>
    <row r="48" spans="1:14" ht="17.45" customHeight="1">
      <c r="A48" s="763" t="s">
        <v>15</v>
      </c>
      <c r="B48" s="764"/>
      <c r="C48" s="165">
        <f>SUMIF($G$7:$G$31,"Start Up",$F$7:$F$31)</f>
        <v>0</v>
      </c>
      <c r="D48" s="119">
        <f>+C48+'11'!D48</f>
        <v>0</v>
      </c>
      <c r="E48" s="144">
        <f t="shared" si="0"/>
        <v>0</v>
      </c>
      <c r="F48" s="361"/>
      <c r="G48" s="362"/>
      <c r="H48" s="189" t="s">
        <v>94</v>
      </c>
      <c r="I48" s="119">
        <f>I46/I40</f>
        <v>870.62609403623173</v>
      </c>
      <c r="J48" s="136">
        <f>J46/J40</f>
        <v>815.71808168025609</v>
      </c>
      <c r="K48" s="131" t="s">
        <v>25</v>
      </c>
      <c r="L48" s="427">
        <f>+L46/I38</f>
        <v>0</v>
      </c>
      <c r="M48" s="428">
        <f>+M46/J40</f>
        <v>0</v>
      </c>
    </row>
    <row r="49" spans="1:13" ht="17.45" customHeight="1">
      <c r="A49" s="763" t="s">
        <v>21</v>
      </c>
      <c r="B49" s="764"/>
      <c r="C49" s="165">
        <f>SUMIF($G$7:$G$31,"Others",$F$7:$F$31)</f>
        <v>0</v>
      </c>
      <c r="D49" s="119">
        <f>+C49+'11'!D49</f>
        <v>0</v>
      </c>
      <c r="E49" s="144">
        <f t="shared" si="0"/>
        <v>0</v>
      </c>
      <c r="F49" s="186"/>
      <c r="H49" s="189" t="s">
        <v>95</v>
      </c>
      <c r="I49" s="119">
        <f>+Report1!AB20</f>
        <v>5202.9032953432006</v>
      </c>
      <c r="J49" s="136">
        <f>+I49+'11'!J49</f>
        <v>59369.10955389763</v>
      </c>
      <c r="K49" s="131" t="s">
        <v>96</v>
      </c>
      <c r="L49" s="423"/>
      <c r="M49" s="424"/>
    </row>
    <row r="50" spans="1:13" ht="17.45" customHeight="1">
      <c r="A50" s="763" t="s">
        <v>20</v>
      </c>
      <c r="B50" s="764"/>
      <c r="C50" s="165">
        <f>SUMIF($G$7:$G$31,"Steam",$F$7:$F$31)</f>
        <v>0</v>
      </c>
      <c r="D50" s="119">
        <f>+C50+'11'!D50</f>
        <v>0</v>
      </c>
      <c r="E50" s="144">
        <f t="shared" si="0"/>
        <v>0</v>
      </c>
      <c r="F50" s="186"/>
      <c r="H50" s="189" t="s">
        <v>97</v>
      </c>
      <c r="I50" s="141">
        <f>I49/I38</f>
        <v>102.44153843043179</v>
      </c>
      <c r="J50" s="134">
        <f>J49/J38</f>
        <v>99.303692128676275</v>
      </c>
      <c r="K50" s="131" t="s">
        <v>96</v>
      </c>
      <c r="L50" s="423"/>
      <c r="M50" s="424"/>
    </row>
    <row r="51" spans="1:13" ht="17.45" customHeight="1" thickBot="1">
      <c r="A51" s="765" t="s">
        <v>98</v>
      </c>
      <c r="B51" s="766"/>
      <c r="C51" s="165">
        <f>SUMIF($G$7:$G$31,"Planned shut",$F$7:$F$31)</f>
        <v>0</v>
      </c>
      <c r="D51" s="119">
        <f>+C51+'11'!D51</f>
        <v>609</v>
      </c>
      <c r="E51" s="144">
        <f t="shared" si="0"/>
        <v>10.15</v>
      </c>
      <c r="F51" s="186"/>
      <c r="H51" s="191" t="s">
        <v>99</v>
      </c>
      <c r="I51" s="142">
        <f>I49/I40</f>
        <v>105.90073876131082</v>
      </c>
      <c r="J51" s="137">
        <f>J49/J40</f>
        <v>101.9742622409556</v>
      </c>
      <c r="K51" s="138" t="s">
        <v>96</v>
      </c>
      <c r="L51" s="423"/>
      <c r="M51" s="424"/>
    </row>
    <row r="52" spans="1:13" ht="13.5" thickBot="1">
      <c r="A52" s="767" t="s">
        <v>29</v>
      </c>
      <c r="B52" s="768"/>
      <c r="C52" s="145">
        <f>SUM(C38:C51)</f>
        <v>62</v>
      </c>
      <c r="D52" s="145">
        <f>SUM(D38:D51)</f>
        <v>1303</v>
      </c>
      <c r="E52" s="146">
        <f>SUM(E38:E51)</f>
        <v>21.716666666666669</v>
      </c>
      <c r="F52" s="186"/>
      <c r="H52" s="192"/>
      <c r="I52" s="193"/>
      <c r="J52" s="139"/>
      <c r="K52" s="140"/>
      <c r="L52" s="430"/>
      <c r="M52" s="431"/>
    </row>
    <row r="53" spans="1:13" ht="13.5" thickBot="1">
      <c r="A53" s="769"/>
      <c r="B53" s="770"/>
      <c r="C53" s="147">
        <f>C52/(24*60)</f>
        <v>4.3055555555555555E-2</v>
      </c>
      <c r="D53" s="147">
        <f>D52/(24*60*G4)</f>
        <v>7.5405092592592593E-2</v>
      </c>
      <c r="E53" s="148">
        <f>E52/(G4*24)</f>
        <v>7.5405092592592593E-2</v>
      </c>
      <c r="F53" s="186"/>
    </row>
    <row r="54" spans="1:13">
      <c r="E54" s="194"/>
      <c r="F54" s="186"/>
    </row>
    <row r="55" spans="1:13">
      <c r="E55" s="194"/>
    </row>
    <row r="56" spans="1:13">
      <c r="A56" s="195" t="s">
        <v>100</v>
      </c>
      <c r="B56" s="196"/>
      <c r="C56" s="197"/>
      <c r="D56" s="197"/>
      <c r="E56" s="197"/>
      <c r="F56" s="198"/>
      <c r="G56" s="197"/>
      <c r="H56" s="199"/>
      <c r="I56" s="200" t="s">
        <v>101</v>
      </c>
      <c r="J56" s="201">
        <f>+D34+'11'!J56</f>
        <v>2476</v>
      </c>
      <c r="K56" s="202">
        <f>J56/(J40+J56/1000)/1000</f>
        <v>4.23484580269655E-3</v>
      </c>
    </row>
    <row r="57" spans="1:13">
      <c r="A57" s="177"/>
      <c r="I57" s="200" t="s">
        <v>102</v>
      </c>
      <c r="J57" s="201">
        <f>+E34+'11'!J57</f>
        <v>0</v>
      </c>
      <c r="K57" s="202">
        <f>J57/(J40+J57/1000)/1000</f>
        <v>0</v>
      </c>
    </row>
    <row r="58" spans="1:13">
      <c r="A58" s="203"/>
      <c r="B58" s="204"/>
      <c r="F58" s="186"/>
      <c r="H58" s="205"/>
      <c r="J58" s="150">
        <v>325</v>
      </c>
    </row>
    <row r="59" spans="1:13">
      <c r="A59" s="206"/>
      <c r="B59" s="177"/>
      <c r="C59" s="177"/>
      <c r="D59" s="177"/>
      <c r="E59" s="177"/>
      <c r="F59" s="190"/>
      <c r="G59" s="177"/>
      <c r="H59" s="205"/>
      <c r="J59" s="156">
        <f>+J56+J58</f>
        <v>2801</v>
      </c>
    </row>
    <row r="60" spans="1:13">
      <c r="H60" s="205"/>
    </row>
    <row r="61" spans="1:13">
      <c r="A61" s="207"/>
      <c r="B61" s="208"/>
      <c r="C61" s="208"/>
      <c r="D61" s="208"/>
      <c r="E61" s="208"/>
      <c r="F61" s="209"/>
      <c r="G61" s="208"/>
      <c r="H61" s="210"/>
    </row>
  </sheetData>
  <mergeCells count="25">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 ref="L35:M35"/>
    <mergeCell ref="A52:B52"/>
    <mergeCell ref="A53:B53"/>
    <mergeCell ref="A48:B48"/>
    <mergeCell ref="A49:B49"/>
    <mergeCell ref="A50:B50"/>
    <mergeCell ref="A51:B51"/>
    <mergeCell ref="A47:B47"/>
    <mergeCell ref="A41:B41"/>
  </mergeCells>
  <phoneticPr fontId="30"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M61"/>
  <sheetViews>
    <sheetView view="pageBreakPreview" zoomScale="80" zoomScaleNormal="7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2.5703125" style="150" customWidth="1"/>
    <col min="11" max="11" width="14" style="150" bestFit="1" customWidth="1"/>
    <col min="12" max="12" width="8.28515625" style="150" customWidth="1"/>
    <col min="13" max="13" width="15.5703125" style="150" bestFit="1" customWidth="1"/>
    <col min="14" max="16384" width="9.140625" style="150"/>
  </cols>
  <sheetData>
    <row r="1" spans="1:13" ht="15.75">
      <c r="A1" s="149"/>
    </row>
    <row r="2" spans="1:13" ht="15.75">
      <c r="A2" s="149" t="s">
        <v>185</v>
      </c>
    </row>
    <row r="3" spans="1:13" ht="15">
      <c r="A3" s="151"/>
    </row>
    <row r="4" spans="1:13" ht="20.25">
      <c r="A4" s="152" t="s">
        <v>5</v>
      </c>
      <c r="B4" s="153"/>
      <c r="F4" s="154" t="s">
        <v>30</v>
      </c>
      <c r="G4" s="155">
        <v>11</v>
      </c>
      <c r="H4" s="155" t="str">
        <f>+'1'!H4</f>
        <v>.11.25</v>
      </c>
      <c r="J4" s="150">
        <f>424.3+411.2+445.2</f>
        <v>1280.7</v>
      </c>
    </row>
    <row r="5" spans="1:13" ht="13.5" thickBot="1">
      <c r="C5" s="156"/>
      <c r="D5" s="156"/>
    </row>
    <row r="6" spans="1:13"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3" ht="13.5" customHeight="1" thickBot="1">
      <c r="A7" s="775" t="s">
        <v>445</v>
      </c>
      <c r="B7" s="216" t="s">
        <v>448</v>
      </c>
      <c r="C7" s="217">
        <v>16508</v>
      </c>
      <c r="D7" s="218"/>
      <c r="E7" s="219"/>
      <c r="F7" s="229"/>
      <c r="G7" s="230" t="s">
        <v>13</v>
      </c>
      <c r="H7" s="231" t="s">
        <v>390</v>
      </c>
      <c r="I7" s="778" t="s">
        <v>562</v>
      </c>
      <c r="J7" s="215" t="str">
        <f>+'10'!J7</f>
        <v>T 13,5 RC HW</v>
      </c>
      <c r="K7" s="239">
        <f>+C34</f>
        <v>50653</v>
      </c>
      <c r="L7" s="243"/>
      <c r="M7" s="118">
        <f>+K7+'10'!M7+L7</f>
        <v>167021</v>
      </c>
    </row>
    <row r="8" spans="1:13" ht="13.5" thickBot="1">
      <c r="A8" s="784"/>
      <c r="B8" s="216"/>
      <c r="C8" s="217"/>
      <c r="D8" s="218"/>
      <c r="E8" s="220"/>
      <c r="F8" s="232">
        <v>6</v>
      </c>
      <c r="G8" s="579" t="s">
        <v>13</v>
      </c>
      <c r="H8" s="231" t="s">
        <v>429</v>
      </c>
      <c r="I8" s="779"/>
      <c r="J8" s="215" t="str">
        <f>+'10'!J8</f>
        <v>T 14 RC HW</v>
      </c>
      <c r="K8" s="240"/>
      <c r="L8" s="240"/>
      <c r="M8" s="118">
        <f>+K8+'10'!M8+L8</f>
        <v>97781</v>
      </c>
    </row>
    <row r="9" spans="1:13" ht="13.5" thickBot="1">
      <c r="A9" s="784"/>
      <c r="B9" s="216"/>
      <c r="C9" s="217"/>
      <c r="D9" s="218"/>
      <c r="E9" s="221"/>
      <c r="F9" s="229">
        <v>10</v>
      </c>
      <c r="G9" s="579" t="s">
        <v>13</v>
      </c>
      <c r="H9" s="234" t="s">
        <v>397</v>
      </c>
      <c r="I9" s="779"/>
      <c r="J9" s="215" t="str">
        <f>+'10'!J9</f>
        <v>T 15 RC HW</v>
      </c>
      <c r="K9" s="240"/>
      <c r="L9" s="240"/>
      <c r="M9" s="118">
        <f>+K9+'10'!M9+L9</f>
        <v>34238</v>
      </c>
    </row>
    <row r="10" spans="1:13" ht="26.25" thickBot="1">
      <c r="A10" s="784"/>
      <c r="B10" s="216"/>
      <c r="C10" s="217"/>
      <c r="D10" s="218"/>
      <c r="E10" s="220"/>
      <c r="F10" s="229"/>
      <c r="G10" s="238" t="s">
        <v>14</v>
      </c>
      <c r="H10" s="234" t="s">
        <v>568</v>
      </c>
      <c r="I10" s="779"/>
      <c r="J10" s="215" t="str">
        <f>+'10'!J10</f>
        <v>TW 29 RC HW</v>
      </c>
      <c r="K10" s="240"/>
      <c r="L10" s="240"/>
      <c r="M10" s="118">
        <f>+K10+'10'!M10+L10</f>
        <v>21998</v>
      </c>
    </row>
    <row r="11" spans="1:13" ht="13.5" thickBot="1">
      <c r="A11" s="784"/>
      <c r="B11" s="216"/>
      <c r="C11" s="217"/>
      <c r="D11" s="218"/>
      <c r="E11" s="220"/>
      <c r="F11" s="229"/>
      <c r="G11" s="233"/>
      <c r="H11" s="234"/>
      <c r="I11" s="779"/>
      <c r="J11" s="215" t="str">
        <f>+'10'!J11</f>
        <v>TW 20 RC HW</v>
      </c>
      <c r="K11" s="240"/>
      <c r="L11" s="240"/>
      <c r="M11" s="118">
        <f>+K11+'10'!M11+L11</f>
        <v>104164</v>
      </c>
    </row>
    <row r="12" spans="1:13" ht="13.5" thickBot="1">
      <c r="A12" s="784"/>
      <c r="B12" s="216"/>
      <c r="C12" s="217"/>
      <c r="D12" s="218"/>
      <c r="E12" s="220"/>
      <c r="F12" s="229"/>
      <c r="G12" s="233"/>
      <c r="H12" s="234"/>
      <c r="I12" s="779"/>
      <c r="J12" s="215" t="str">
        <f>+'10'!J12</f>
        <v>TW 19 RC HW</v>
      </c>
      <c r="K12" s="240"/>
      <c r="L12" s="240"/>
      <c r="M12" s="118">
        <f>+K12+'10'!M12+L12</f>
        <v>18863</v>
      </c>
    </row>
    <row r="13" spans="1:13" ht="13.5" thickBot="1">
      <c r="A13" s="784"/>
      <c r="B13" s="216"/>
      <c r="C13" s="217"/>
      <c r="D13" s="217"/>
      <c r="E13" s="220"/>
      <c r="F13" s="229"/>
      <c r="G13" s="233"/>
      <c r="H13" s="234"/>
      <c r="I13" s="780"/>
      <c r="J13" s="215" t="str">
        <f>+'10'!J13</f>
        <v>TW 17 RC HW</v>
      </c>
      <c r="K13" s="240"/>
      <c r="L13" s="240"/>
      <c r="M13" s="118">
        <f>+K13+'10'!M13+L13</f>
        <v>67816</v>
      </c>
    </row>
    <row r="14" spans="1:13" ht="13.5" thickBot="1">
      <c r="A14" s="785"/>
      <c r="B14" s="166" t="s">
        <v>3</v>
      </c>
      <c r="C14" s="100">
        <f>SUM(C7:C13)</f>
        <v>16508</v>
      </c>
      <c r="D14" s="112">
        <f>SUM(D7:D13)</f>
        <v>0</v>
      </c>
      <c r="E14" s="113">
        <f>SUM(E5:E13)</f>
        <v>0</v>
      </c>
      <c r="F14" s="103">
        <f>SUM(F6:F13)</f>
        <v>16</v>
      </c>
      <c r="G14" s="160"/>
      <c r="H14" s="167"/>
      <c r="I14" s="168"/>
      <c r="J14" s="215" t="str">
        <f>+'10'!J14</f>
        <v>F 14 RC HW</v>
      </c>
      <c r="K14" s="240"/>
      <c r="L14" s="240"/>
      <c r="M14" s="118">
        <f>+K14+'10'!M14+L14</f>
        <v>10232</v>
      </c>
    </row>
    <row r="15" spans="1:13" ht="13.5" customHeight="1" thickBot="1">
      <c r="A15" s="775" t="s">
        <v>460</v>
      </c>
      <c r="B15" s="166"/>
      <c r="C15" s="114">
        <f>C14/($C$23+$D$23+$E$23)</f>
        <v>0.98226823753421399</v>
      </c>
      <c r="D15" s="115">
        <f>D14/($C$23+$D$23+$E$23)</f>
        <v>0</v>
      </c>
      <c r="E15" s="116">
        <f>E14/($C$23+$D$23+$E$23)</f>
        <v>0</v>
      </c>
      <c r="F15" s="229"/>
      <c r="G15" s="230" t="s">
        <v>13</v>
      </c>
      <c r="H15" s="231" t="s">
        <v>390</v>
      </c>
      <c r="I15" s="778" t="s">
        <v>563</v>
      </c>
      <c r="J15" s="215" t="str">
        <f>+'10'!J15</f>
        <v>T 16,5 RC HW</v>
      </c>
      <c r="K15" s="240"/>
      <c r="L15" s="240"/>
      <c r="M15" s="118">
        <f>+K15+'10'!M15+L15</f>
        <v>10954</v>
      </c>
    </row>
    <row r="16" spans="1:13" ht="13.5" thickBot="1">
      <c r="A16" s="784"/>
      <c r="B16" s="216" t="s">
        <v>448</v>
      </c>
      <c r="C16" s="223">
        <v>16806</v>
      </c>
      <c r="D16" s="224"/>
      <c r="E16" s="225"/>
      <c r="F16" s="232">
        <v>4</v>
      </c>
      <c r="G16" s="579" t="s">
        <v>13</v>
      </c>
      <c r="H16" s="231" t="s">
        <v>429</v>
      </c>
      <c r="I16" s="779"/>
      <c r="J16" s="215">
        <f>+'10'!J16</f>
        <v>0</v>
      </c>
      <c r="K16" s="240"/>
      <c r="L16" s="230"/>
      <c r="M16" s="118">
        <f>+K16+'10'!M16+L16</f>
        <v>0</v>
      </c>
    </row>
    <row r="17" spans="1:13" ht="13.5" thickBot="1">
      <c r="A17" s="784"/>
      <c r="B17" s="216"/>
      <c r="C17" s="217"/>
      <c r="D17" s="218"/>
      <c r="E17" s="226"/>
      <c r="F17" s="229">
        <v>8</v>
      </c>
      <c r="G17" s="579" t="s">
        <v>13</v>
      </c>
      <c r="H17" s="234" t="s">
        <v>423</v>
      </c>
      <c r="I17" s="779"/>
      <c r="J17" s="215">
        <f>+'10'!J17</f>
        <v>0</v>
      </c>
      <c r="K17" s="240"/>
      <c r="L17" s="230"/>
      <c r="M17" s="118">
        <f>+K17+'10'!M17+L17</f>
        <v>0</v>
      </c>
    </row>
    <row r="18" spans="1:13" ht="26.25" thickBot="1">
      <c r="A18" s="784"/>
      <c r="B18" s="216"/>
      <c r="C18" s="217"/>
      <c r="D18" s="218"/>
      <c r="E18" s="226"/>
      <c r="F18" s="229">
        <v>8</v>
      </c>
      <c r="G18" s="238" t="s">
        <v>14</v>
      </c>
      <c r="H18" s="234" t="s">
        <v>569</v>
      </c>
      <c r="I18" s="779"/>
      <c r="J18" s="215">
        <f>+'10'!J18</f>
        <v>0</v>
      </c>
      <c r="K18" s="240"/>
      <c r="L18" s="240"/>
      <c r="M18" s="118">
        <f>+K18+'10'!M18+L18</f>
        <v>0</v>
      </c>
    </row>
    <row r="19" spans="1:13" ht="13.5" thickBot="1">
      <c r="A19" s="784"/>
      <c r="B19" s="216"/>
      <c r="C19" s="217"/>
      <c r="D19" s="218"/>
      <c r="E19" s="226"/>
      <c r="F19" s="236"/>
      <c r="G19" s="233"/>
      <c r="H19" s="234"/>
      <c r="I19" s="779"/>
      <c r="J19" s="215">
        <f>+'10'!J19</f>
        <v>0</v>
      </c>
      <c r="K19" s="240"/>
      <c r="L19" s="240"/>
      <c r="M19" s="118">
        <f>+K19+'10'!M19+L19</f>
        <v>0</v>
      </c>
    </row>
    <row r="20" spans="1:13" ht="13.5" thickBot="1">
      <c r="A20" s="784"/>
      <c r="B20" s="216"/>
      <c r="C20" s="217"/>
      <c r="D20" s="218"/>
      <c r="E20" s="226"/>
      <c r="F20" s="229"/>
      <c r="G20" s="233"/>
      <c r="H20" s="234"/>
      <c r="I20" s="779"/>
      <c r="J20" s="215">
        <f>+'10'!J20</f>
        <v>0</v>
      </c>
      <c r="K20" s="240"/>
      <c r="L20" s="241"/>
      <c r="M20" s="118">
        <f>+K20+'10'!M20+L20</f>
        <v>0</v>
      </c>
    </row>
    <row r="21" spans="1:13" ht="13.5" thickBot="1">
      <c r="A21" s="784"/>
      <c r="B21" s="216"/>
      <c r="C21" s="217"/>
      <c r="D21" s="218"/>
      <c r="E21" s="226"/>
      <c r="F21" s="232"/>
      <c r="G21" s="233"/>
      <c r="H21" s="234"/>
      <c r="I21" s="779"/>
      <c r="J21" s="215">
        <f>+'10'!J21</f>
        <v>0</v>
      </c>
      <c r="K21" s="240"/>
      <c r="L21" s="240"/>
      <c r="M21" s="118">
        <f>+K21+'10'!M21+L21</f>
        <v>0</v>
      </c>
    </row>
    <row r="22" spans="1:13" ht="13.5" thickBot="1">
      <c r="A22" s="784"/>
      <c r="B22" s="216"/>
      <c r="C22" s="217"/>
      <c r="D22" s="218"/>
      <c r="E22" s="226"/>
      <c r="F22" s="237"/>
      <c r="G22" s="233"/>
      <c r="H22" s="234"/>
      <c r="I22" s="780"/>
      <c r="J22" s="215">
        <f>+'10'!J22</f>
        <v>0</v>
      </c>
      <c r="K22" s="240"/>
      <c r="L22" s="240"/>
      <c r="M22" s="118">
        <f>+K22+'10'!M22+L22</f>
        <v>0</v>
      </c>
    </row>
    <row r="23" spans="1:13" ht="13.5" thickBot="1">
      <c r="A23" s="785"/>
      <c r="B23" s="166" t="s">
        <v>3</v>
      </c>
      <c r="C23" s="101">
        <f>SUM(C16:C22)</f>
        <v>16806</v>
      </c>
      <c r="D23" s="112">
        <f>SUM(D16:D22)</f>
        <v>0</v>
      </c>
      <c r="E23" s="113">
        <f>SUM(E18:E22)</f>
        <v>0</v>
      </c>
      <c r="F23" s="103">
        <f>SUM(F15:F22)</f>
        <v>20</v>
      </c>
      <c r="G23" s="160"/>
      <c r="H23" s="167"/>
      <c r="I23" s="170"/>
      <c r="J23" s="215">
        <f>+'10'!J23</f>
        <v>0</v>
      </c>
      <c r="K23" s="240"/>
      <c r="L23" s="240"/>
      <c r="M23" s="118">
        <f>+K23+'10'!M23+L23</f>
        <v>0</v>
      </c>
    </row>
    <row r="24" spans="1:13" ht="13.5" customHeight="1" thickBot="1">
      <c r="A24" s="775" t="s">
        <v>444</v>
      </c>
      <c r="B24" s="171"/>
      <c r="C24" s="114">
        <f>C23/($C$23+$D$23+$E$23)</f>
        <v>1</v>
      </c>
      <c r="D24" s="115">
        <f>D23/($C$23+$D$23+$E$23)</f>
        <v>0</v>
      </c>
      <c r="E24" s="116">
        <f>E23/($C$23+$D$23+$E$23)</f>
        <v>0</v>
      </c>
      <c r="F24" s="229"/>
      <c r="G24" s="230" t="s">
        <v>13</v>
      </c>
      <c r="H24" s="231" t="s">
        <v>390</v>
      </c>
      <c r="I24" s="778" t="s">
        <v>563</v>
      </c>
      <c r="J24" s="215">
        <f>+'10'!J24</f>
        <v>0</v>
      </c>
      <c r="K24" s="240"/>
      <c r="L24" s="240"/>
      <c r="M24" s="118">
        <f>+K24+'10'!M24+L24</f>
        <v>0</v>
      </c>
    </row>
    <row r="25" spans="1:13" ht="13.5" customHeight="1" thickBot="1">
      <c r="A25" s="784"/>
      <c r="B25" s="216" t="s">
        <v>448</v>
      </c>
      <c r="C25" s="227">
        <v>17339</v>
      </c>
      <c r="D25" s="218"/>
      <c r="E25" s="226"/>
      <c r="F25" s="232">
        <v>2</v>
      </c>
      <c r="G25" s="579" t="s">
        <v>13</v>
      </c>
      <c r="H25" s="231" t="s">
        <v>429</v>
      </c>
      <c r="I25" s="779"/>
      <c r="J25" s="215">
        <f>+'10'!J25</f>
        <v>0</v>
      </c>
      <c r="K25" s="240"/>
      <c r="L25" s="240"/>
      <c r="M25" s="118">
        <f>+K25+'10'!M25+L25</f>
        <v>0</v>
      </c>
    </row>
    <row r="26" spans="1:13" ht="13.5" customHeight="1" thickBot="1">
      <c r="A26" s="784"/>
      <c r="B26" s="216"/>
      <c r="C26" s="227"/>
      <c r="D26" s="218"/>
      <c r="E26" s="228"/>
      <c r="F26" s="229">
        <v>4</v>
      </c>
      <c r="G26" s="579" t="s">
        <v>13</v>
      </c>
      <c r="H26" s="234" t="s">
        <v>423</v>
      </c>
      <c r="I26" s="779"/>
      <c r="J26" s="215">
        <f>+'10'!J26</f>
        <v>0</v>
      </c>
      <c r="K26" s="230"/>
      <c r="L26" s="230"/>
      <c r="M26" s="118">
        <f>+K26+'10'!M26+L26</f>
        <v>0</v>
      </c>
    </row>
    <row r="27" spans="1:13" ht="26.25" thickBot="1">
      <c r="A27" s="784"/>
      <c r="B27" s="216"/>
      <c r="C27" s="217"/>
      <c r="D27" s="218"/>
      <c r="E27" s="226"/>
      <c r="F27" s="229">
        <v>10</v>
      </c>
      <c r="G27" s="238" t="s">
        <v>14</v>
      </c>
      <c r="H27" s="234" t="s">
        <v>567</v>
      </c>
      <c r="I27" s="779"/>
      <c r="J27" s="215">
        <f>+'10'!J27</f>
        <v>0</v>
      </c>
      <c r="K27" s="230"/>
      <c r="L27" s="230"/>
      <c r="M27" s="118">
        <f>+K27+'10'!M27+L27</f>
        <v>0</v>
      </c>
    </row>
    <row r="28" spans="1:13" ht="13.5" customHeight="1" thickBot="1">
      <c r="A28" s="784"/>
      <c r="B28" s="216"/>
      <c r="C28" s="217"/>
      <c r="D28" s="218"/>
      <c r="E28" s="226"/>
      <c r="F28" s="232"/>
      <c r="G28" s="233"/>
      <c r="H28" s="234"/>
      <c r="I28" s="779"/>
      <c r="J28" s="215">
        <f>+'10'!J28</f>
        <v>0</v>
      </c>
      <c r="K28" s="240"/>
      <c r="L28" s="240"/>
      <c r="M28" s="118">
        <f>+K28+'10'!M28+L28</f>
        <v>0</v>
      </c>
    </row>
    <row r="29" spans="1:13" ht="13.5" customHeight="1" thickBot="1">
      <c r="A29" s="784"/>
      <c r="B29" s="216"/>
      <c r="C29" s="217"/>
      <c r="D29" s="218"/>
      <c r="E29" s="226"/>
      <c r="F29" s="237"/>
      <c r="G29" s="233"/>
      <c r="H29" s="234"/>
      <c r="I29" s="779"/>
      <c r="J29" s="215">
        <f>+'10'!J29</f>
        <v>0</v>
      </c>
      <c r="K29" s="240"/>
      <c r="L29" s="240"/>
      <c r="M29" s="118">
        <f>+K29+'10'!M29+L29</f>
        <v>0</v>
      </c>
    </row>
    <row r="30" spans="1:13" ht="13.5" customHeight="1" thickBot="1">
      <c r="A30" s="784"/>
      <c r="B30" s="216"/>
      <c r="C30" s="227"/>
      <c r="D30" s="218"/>
      <c r="E30" s="226"/>
      <c r="F30" s="237"/>
      <c r="G30" s="233"/>
      <c r="H30" s="234"/>
      <c r="I30" s="779"/>
      <c r="J30" s="215">
        <f>+'10'!J30</f>
        <v>0</v>
      </c>
      <c r="K30" s="241"/>
      <c r="L30" s="241"/>
      <c r="M30" s="118">
        <f>+K30+'10'!M30+L30</f>
        <v>0</v>
      </c>
    </row>
    <row r="31" spans="1:13" ht="13.5" customHeight="1" thickBot="1">
      <c r="A31" s="784"/>
      <c r="B31" s="216"/>
      <c r="C31" s="227"/>
      <c r="D31" s="218"/>
      <c r="E31" s="226"/>
      <c r="F31" s="237"/>
      <c r="G31" s="238"/>
      <c r="H31" s="235"/>
      <c r="I31" s="780"/>
      <c r="J31" s="215">
        <f>+'10'!J31</f>
        <v>0</v>
      </c>
      <c r="K31" s="240"/>
      <c r="L31" s="240"/>
      <c r="M31" s="118">
        <f>+K31+'10'!M31+L31</f>
        <v>0</v>
      </c>
    </row>
    <row r="32" spans="1:13" ht="13.5" customHeight="1" thickBot="1">
      <c r="A32" s="785"/>
      <c r="B32" s="166" t="s">
        <v>3</v>
      </c>
      <c r="C32" s="100">
        <f>SUM(C25:C31)</f>
        <v>17339</v>
      </c>
      <c r="D32" s="101">
        <f>SUM(D25:D31)</f>
        <v>0</v>
      </c>
      <c r="E32" s="102">
        <f>SUM(E25:E31)</f>
        <v>0</v>
      </c>
      <c r="F32" s="103">
        <f>SUM(F24:F31)</f>
        <v>16</v>
      </c>
      <c r="G32" s="172"/>
      <c r="H32" s="173"/>
      <c r="I32" s="170"/>
      <c r="J32" s="215">
        <f>+'10'!J32</f>
        <v>0</v>
      </c>
      <c r="K32" s="240"/>
      <c r="L32" s="240"/>
      <c r="M32" s="118">
        <f>+K32+'10'!M32+L32</f>
        <v>0</v>
      </c>
    </row>
    <row r="33" spans="1:13" ht="13.5" thickBot="1">
      <c r="A33" s="174"/>
      <c r="B33" s="175"/>
      <c r="C33" s="104">
        <f>C32/($C$32+$D$32+$E$32)</f>
        <v>1</v>
      </c>
      <c r="D33" s="105">
        <f>D32/($C$32+$D$32+$E$32)</f>
        <v>0</v>
      </c>
      <c r="E33" s="106">
        <f>E32/($C$32+$D$32+$E$32)</f>
        <v>0</v>
      </c>
      <c r="F33" s="107"/>
      <c r="G33" s="176"/>
      <c r="H33" s="177"/>
      <c r="I33" s="178"/>
      <c r="J33" s="122"/>
      <c r="K33" s="123"/>
      <c r="L33" s="214"/>
      <c r="M33" s="120"/>
    </row>
    <row r="34" spans="1:13" ht="13.5" thickBot="1">
      <c r="A34" s="771" t="s">
        <v>70</v>
      </c>
      <c r="B34" s="772"/>
      <c r="C34" s="108">
        <f>C14+C23+C32</f>
        <v>50653</v>
      </c>
      <c r="D34" s="108">
        <f>D14+D23+D32</f>
        <v>0</v>
      </c>
      <c r="E34" s="108">
        <f>E14+E23+E32</f>
        <v>0</v>
      </c>
      <c r="F34" s="109">
        <f>F14+F23+F32</f>
        <v>52</v>
      </c>
      <c r="H34" s="179"/>
      <c r="I34" s="179"/>
      <c r="J34" s="124" t="s">
        <v>29</v>
      </c>
      <c r="K34" s="125">
        <f>SUM(K7:K32)</f>
        <v>50653</v>
      </c>
      <c r="L34" s="213">
        <f>SUM(L7:L32)</f>
        <v>0</v>
      </c>
      <c r="M34" s="121">
        <f>SUM(M7:M32)</f>
        <v>533067</v>
      </c>
    </row>
    <row r="35" spans="1:13" ht="13.5" thickBot="1">
      <c r="A35" s="180"/>
      <c r="B35" s="181"/>
      <c r="C35" s="105">
        <f>C34/($C$34+$D$34+$E$34)</f>
        <v>1</v>
      </c>
      <c r="D35" s="105">
        <f>D34/($C$34+$D$34+$E$34)</f>
        <v>0</v>
      </c>
      <c r="E35" s="110">
        <f>E34/($C$34+$D$34+$E$34)</f>
        <v>0</v>
      </c>
      <c r="K35" s="156"/>
      <c r="L35" s="762" t="s">
        <v>187</v>
      </c>
      <c r="M35" s="762"/>
    </row>
    <row r="36" spans="1:13" ht="13.5" thickBot="1">
      <c r="A36" s="179"/>
      <c r="B36" s="179"/>
      <c r="C36" s="156"/>
      <c r="D36" s="156"/>
      <c r="E36" s="156"/>
      <c r="G36" s="156"/>
      <c r="H36" s="182"/>
      <c r="I36" s="163" t="s">
        <v>41</v>
      </c>
      <c r="J36" s="163" t="s">
        <v>42</v>
      </c>
      <c r="K36" s="183"/>
      <c r="L36" s="163" t="s">
        <v>41</v>
      </c>
      <c r="M36" s="163" t="s">
        <v>42</v>
      </c>
    </row>
    <row r="37" spans="1:13" ht="17.45" customHeight="1" thickBot="1">
      <c r="A37" s="773" t="s">
        <v>71</v>
      </c>
      <c r="B37" s="774"/>
      <c r="C37" s="163" t="s">
        <v>72</v>
      </c>
      <c r="D37" s="184" t="s">
        <v>73</v>
      </c>
      <c r="E37" s="185" t="s">
        <v>74</v>
      </c>
      <c r="F37" s="361"/>
      <c r="G37" s="363"/>
      <c r="H37" s="187" t="s">
        <v>75</v>
      </c>
      <c r="I37" s="245">
        <f>(13.5*1440)/1440*G42*2.77*1440/1000000</f>
        <v>54.040860720000005</v>
      </c>
      <c r="J37" s="126">
        <f>+I37+'10'!J37</f>
        <v>571.47316877732919</v>
      </c>
      <c r="K37" s="127" t="s">
        <v>76</v>
      </c>
      <c r="L37" s="421"/>
      <c r="M37" s="422"/>
    </row>
    <row r="38" spans="1:13" ht="17.45" customHeight="1">
      <c r="A38" s="767" t="s">
        <v>13</v>
      </c>
      <c r="B38" s="768"/>
      <c r="C38" s="165">
        <f>SUMIF($G$7:$G$31,"Process",$F$7:$F$31)</f>
        <v>34</v>
      </c>
      <c r="D38" s="119">
        <f>+C38+'10'!D38</f>
        <v>476</v>
      </c>
      <c r="E38" s="144">
        <f t="shared" ref="E38:E51" si="0">D38/60</f>
        <v>7.9333333333333336</v>
      </c>
      <c r="F38" s="361">
        <v>1310</v>
      </c>
      <c r="G38" s="363">
        <v>1008.7</v>
      </c>
      <c r="H38" s="188" t="s">
        <v>77</v>
      </c>
      <c r="I38" s="543">
        <f>17.533+18.712+16.313</f>
        <v>52.558000000000007</v>
      </c>
      <c r="J38" s="128">
        <f>+I38+'10'!J38</f>
        <v>547.06500000000005</v>
      </c>
      <c r="K38" s="129" t="s">
        <v>76</v>
      </c>
      <c r="L38" s="423"/>
      <c r="M38" s="424"/>
    </row>
    <row r="39" spans="1:13" ht="17.45" customHeight="1">
      <c r="A39" s="763" t="s">
        <v>14</v>
      </c>
      <c r="B39" s="764"/>
      <c r="C39" s="165">
        <f>SUMIF($G$7:$G$31,"Cleaning",$F$7:$F$31)</f>
        <v>18</v>
      </c>
      <c r="D39" s="119">
        <f>+C39+'10'!D39</f>
        <v>156</v>
      </c>
      <c r="E39" s="144">
        <f t="shared" si="0"/>
        <v>2.6</v>
      </c>
      <c r="F39" s="361">
        <v>1300</v>
      </c>
      <c r="G39" s="363">
        <v>1001</v>
      </c>
      <c r="H39" s="188" t="s">
        <v>78</v>
      </c>
      <c r="I39" s="143"/>
      <c r="J39" s="130">
        <f>J37/G4</f>
        <v>51.952106252484469</v>
      </c>
      <c r="K39" s="131" t="s">
        <v>76</v>
      </c>
      <c r="L39" s="423"/>
      <c r="M39" s="424"/>
    </row>
    <row r="40" spans="1:13" ht="17.45" customHeight="1">
      <c r="A40" s="763" t="s">
        <v>79</v>
      </c>
      <c r="B40" s="764"/>
      <c r="C40" s="165">
        <f>SUMIF($G$7:$G$31,"Mechanical",$F$7:$F$31)</f>
        <v>0</v>
      </c>
      <c r="D40" s="119">
        <f>+C40+'10'!D40</f>
        <v>0</v>
      </c>
      <c r="E40" s="144">
        <f t="shared" si="0"/>
        <v>0</v>
      </c>
      <c r="F40" s="361">
        <v>1300</v>
      </c>
      <c r="G40" s="363">
        <v>1001</v>
      </c>
      <c r="H40" s="188" t="s">
        <v>80</v>
      </c>
      <c r="I40" s="119">
        <f>(K34+L34)/1000</f>
        <v>50.652999999999999</v>
      </c>
      <c r="J40" s="132">
        <f>+I40+'10'!J40</f>
        <v>533.06700000000001</v>
      </c>
      <c r="K40" s="131" t="s">
        <v>76</v>
      </c>
      <c r="L40" s="423"/>
      <c r="M40" s="424"/>
    </row>
    <row r="41" spans="1:13" ht="17.45" customHeight="1">
      <c r="A41" s="763" t="s">
        <v>81</v>
      </c>
      <c r="B41" s="764"/>
      <c r="C41" s="165">
        <f>SUMIF($G$7:$G$31,"Electrical",$F$7:$F$31)</f>
        <v>0</v>
      </c>
      <c r="D41" s="119">
        <f>+C41+'10'!D41</f>
        <v>0</v>
      </c>
      <c r="E41" s="144">
        <f t="shared" si="0"/>
        <v>0</v>
      </c>
      <c r="F41" s="361"/>
      <c r="G41" s="361"/>
      <c r="H41" s="188" t="s">
        <v>82</v>
      </c>
      <c r="I41" s="143"/>
      <c r="J41" s="130">
        <f>J40/G4</f>
        <v>48.460636363636361</v>
      </c>
      <c r="K41" s="131" t="s">
        <v>76</v>
      </c>
      <c r="L41" s="423"/>
      <c r="M41" s="424"/>
    </row>
    <row r="42" spans="1:13" ht="17.45" customHeight="1">
      <c r="A42" s="763" t="s">
        <v>17</v>
      </c>
      <c r="B42" s="764"/>
      <c r="C42" s="165">
        <f>SUMIF($G$7:$G$31,"Instrument",$F$7:$F$31)</f>
        <v>0</v>
      </c>
      <c r="D42" s="119">
        <f>+C42+'10'!D42</f>
        <v>0</v>
      </c>
      <c r="E42" s="144">
        <f t="shared" si="0"/>
        <v>0</v>
      </c>
      <c r="F42" s="361">
        <f>+(480*F38+480*F39+480*F40)/1440</f>
        <v>1303.3333333333333</v>
      </c>
      <c r="G42" s="361">
        <f>+(480*G38+480*G39+480*G40)/1440</f>
        <v>1003.5666666666667</v>
      </c>
      <c r="H42" s="188" t="s">
        <v>83</v>
      </c>
      <c r="I42" s="247" t="s">
        <v>564</v>
      </c>
      <c r="J42" s="133"/>
      <c r="K42" s="131" t="s">
        <v>84</v>
      </c>
      <c r="L42" s="423"/>
      <c r="M42" s="424"/>
    </row>
    <row r="43" spans="1:13" ht="17.45" customHeight="1">
      <c r="A43" s="763" t="s">
        <v>202</v>
      </c>
      <c r="B43" s="764"/>
      <c r="C43" s="165">
        <f>SUMIF($G$7:$G$31,"Change Grade",$F$7:$F$31)</f>
        <v>0</v>
      </c>
      <c r="D43" s="119">
        <f>+C43+'10'!D43</f>
        <v>0</v>
      </c>
      <c r="E43" s="144">
        <f t="shared" si="0"/>
        <v>0</v>
      </c>
      <c r="F43" s="361"/>
      <c r="G43" s="362"/>
      <c r="H43" s="189" t="s">
        <v>86</v>
      </c>
      <c r="I43" s="119">
        <f>+Report1!AH19</f>
        <v>69.900000000000006</v>
      </c>
      <c r="J43" s="134">
        <f>+I43+'10'!J43</f>
        <v>718.8</v>
      </c>
      <c r="K43" s="131" t="s">
        <v>76</v>
      </c>
      <c r="L43" s="425">
        <f>+Report1!AN19</f>
        <v>9.8000000000000007</v>
      </c>
      <c r="M43" s="426">
        <f>+L43+'10'!M43</f>
        <v>108.2</v>
      </c>
    </row>
    <row r="44" spans="1:13" ht="17.45" customHeight="1">
      <c r="A44" s="763" t="s">
        <v>18</v>
      </c>
      <c r="B44" s="764"/>
      <c r="C44" s="165">
        <f>SUMIF($G$7:$G$31,"PLN",$F$7:$F$31)</f>
        <v>0</v>
      </c>
      <c r="D44" s="119">
        <f>+C44+'10'!D44</f>
        <v>0</v>
      </c>
      <c r="E44" s="144">
        <f t="shared" si="0"/>
        <v>0</v>
      </c>
      <c r="F44" s="361"/>
      <c r="G44" s="362"/>
      <c r="H44" s="189" t="s">
        <v>87</v>
      </c>
      <c r="I44" s="119">
        <f>I43/I38</f>
        <v>1.3299592830777427</v>
      </c>
      <c r="J44" s="135">
        <f>J43/J38</f>
        <v>1.3139206492829918</v>
      </c>
      <c r="K44" s="131" t="s">
        <v>76</v>
      </c>
      <c r="L44" s="427">
        <f>+L43/I38</f>
        <v>0.18646067201948321</v>
      </c>
      <c r="M44" s="428">
        <f>+M43/J38</f>
        <v>0.19778271320592616</v>
      </c>
    </row>
    <row r="45" spans="1:13" ht="17.45" customHeight="1">
      <c r="A45" s="763" t="s">
        <v>19</v>
      </c>
      <c r="B45" s="764"/>
      <c r="C45" s="165">
        <f>SUMIF($G$7:$G$31,"Boiler",$F$7:$F$31)</f>
        <v>0</v>
      </c>
      <c r="D45" s="119">
        <f>+C45+'10'!D45</f>
        <v>0</v>
      </c>
      <c r="E45" s="144">
        <f t="shared" si="0"/>
        <v>0</v>
      </c>
      <c r="F45" s="361"/>
      <c r="G45" s="364"/>
      <c r="H45" s="189" t="s">
        <v>88</v>
      </c>
      <c r="I45" s="119">
        <f>I43/I40</f>
        <v>1.3799774939292837</v>
      </c>
      <c r="J45" s="135">
        <f>J43/J40</f>
        <v>1.3484233689198541</v>
      </c>
      <c r="K45" s="131" t="s">
        <v>76</v>
      </c>
      <c r="L45" s="427">
        <f>+L43/I40</f>
        <v>0.19347323949223147</v>
      </c>
      <c r="M45" s="428">
        <f>+M43/J40</f>
        <v>0.2029763613204344</v>
      </c>
    </row>
    <row r="46" spans="1:13" ht="17.45" customHeight="1">
      <c r="A46" s="763" t="s">
        <v>89</v>
      </c>
      <c r="B46" s="764"/>
      <c r="C46" s="165">
        <f>SUMIF($G$7:$G$31,"Gas",$F$7:$F$31)</f>
        <v>0</v>
      </c>
      <c r="D46" s="119">
        <f>+C46+'10'!D46</f>
        <v>0</v>
      </c>
      <c r="E46" s="144">
        <f t="shared" si="0"/>
        <v>0</v>
      </c>
      <c r="F46" s="361"/>
      <c r="G46" s="362"/>
      <c r="H46" s="189" t="s">
        <v>90</v>
      </c>
      <c r="I46" s="141">
        <f>+SUMIF(Listrik!P18,"&gt;0")</f>
        <v>44245.74000000002</v>
      </c>
      <c r="J46" s="136">
        <f>+I46+'10'!J46</f>
        <v>432134.76</v>
      </c>
      <c r="K46" s="131" t="s">
        <v>91</v>
      </c>
      <c r="L46" s="427">
        <f>+Listrik!AF18</f>
        <v>0</v>
      </c>
      <c r="M46" s="429">
        <f>+L46+'10'!M46</f>
        <v>0</v>
      </c>
    </row>
    <row r="47" spans="1:13" ht="17.45" customHeight="1">
      <c r="A47" s="763" t="s">
        <v>92</v>
      </c>
      <c r="B47" s="764"/>
      <c r="C47" s="165">
        <f>SUMIF($G$7:$G$31,"Gas",$F$7:$F$31)</f>
        <v>0</v>
      </c>
      <c r="D47" s="119">
        <f>+C47+'10'!D47</f>
        <v>0</v>
      </c>
      <c r="E47" s="144">
        <f t="shared" si="0"/>
        <v>0</v>
      </c>
      <c r="F47" s="361"/>
      <c r="G47" s="362"/>
      <c r="H47" s="189" t="s">
        <v>93</v>
      </c>
      <c r="I47" s="119">
        <f>I46/I38</f>
        <v>841.8459606529932</v>
      </c>
      <c r="J47" s="136">
        <f>J46/J38</f>
        <v>789.91483644539494</v>
      </c>
      <c r="K47" s="131" t="s">
        <v>25</v>
      </c>
      <c r="L47" s="427">
        <f>+L46/I38</f>
        <v>0</v>
      </c>
      <c r="M47" s="428">
        <f>+M46/J38</f>
        <v>0</v>
      </c>
    </row>
    <row r="48" spans="1:13" ht="17.45" customHeight="1">
      <c r="A48" s="763" t="s">
        <v>15</v>
      </c>
      <c r="B48" s="764"/>
      <c r="C48" s="165">
        <f>SUMIF($G$7:$G$31,"Start Up",$F$7:$F$31)</f>
        <v>0</v>
      </c>
      <c r="D48" s="119">
        <f>+C48+'10'!D48</f>
        <v>0</v>
      </c>
      <c r="E48" s="144">
        <f t="shared" si="0"/>
        <v>0</v>
      </c>
      <c r="F48" s="361"/>
      <c r="G48" s="362"/>
      <c r="H48" s="189" t="s">
        <v>94</v>
      </c>
      <c r="I48" s="119">
        <f>I46/I40</f>
        <v>873.50680117663353</v>
      </c>
      <c r="J48" s="136">
        <f>J46/J40</f>
        <v>810.65749708760814</v>
      </c>
      <c r="K48" s="131" t="s">
        <v>25</v>
      </c>
      <c r="L48" s="427">
        <f>+L46/I38</f>
        <v>0</v>
      </c>
      <c r="M48" s="428">
        <f>+M46/J40</f>
        <v>0</v>
      </c>
    </row>
    <row r="49" spans="1:13" ht="17.45" customHeight="1">
      <c r="A49" s="763" t="s">
        <v>21</v>
      </c>
      <c r="B49" s="764"/>
      <c r="C49" s="165">
        <f>SUMIF($G$7:$G$31,"Others",$F$7:$F$31)</f>
        <v>0</v>
      </c>
      <c r="D49" s="119">
        <f>+C49+'10'!D49</f>
        <v>0</v>
      </c>
      <c r="E49" s="144">
        <f t="shared" si="0"/>
        <v>0</v>
      </c>
      <c r="F49" s="186"/>
      <c r="H49" s="189" t="s">
        <v>182</v>
      </c>
      <c r="I49" s="119">
        <f>+Report1!AB19</f>
        <v>5520.4515244876302</v>
      </c>
      <c r="J49" s="136">
        <f>+I49+'10'!J49</f>
        <v>54166.206258554426</v>
      </c>
      <c r="K49" s="131" t="s">
        <v>96</v>
      </c>
      <c r="L49" s="423"/>
      <c r="M49" s="424"/>
    </row>
    <row r="50" spans="1:13" ht="17.45" customHeight="1">
      <c r="A50" s="763" t="s">
        <v>20</v>
      </c>
      <c r="B50" s="764"/>
      <c r="C50" s="165">
        <f>SUMIF($G$7:$G$31,"Steam",$F$7:$F$31)</f>
        <v>0</v>
      </c>
      <c r="D50" s="119">
        <f>+C50+'10'!D50</f>
        <v>0</v>
      </c>
      <c r="E50" s="144">
        <f t="shared" si="0"/>
        <v>0</v>
      </c>
      <c r="F50" s="186"/>
      <c r="H50" s="189" t="s">
        <v>97</v>
      </c>
      <c r="I50" s="141">
        <f>I49/I38</f>
        <v>105.03541848030042</v>
      </c>
      <c r="J50" s="134">
        <f>J49/J38</f>
        <v>99.012377429655388</v>
      </c>
      <c r="K50" s="131" t="s">
        <v>96</v>
      </c>
      <c r="L50" s="423"/>
      <c r="M50" s="424"/>
    </row>
    <row r="51" spans="1:13" ht="17.45" customHeight="1" thickBot="1">
      <c r="A51" s="765" t="s">
        <v>98</v>
      </c>
      <c r="B51" s="766"/>
      <c r="C51" s="165">
        <f>SUMIF($G$7:$G$31,"Planned shut",$F$7:$F$31)</f>
        <v>0</v>
      </c>
      <c r="D51" s="119">
        <f>+C51+'10'!D51</f>
        <v>609</v>
      </c>
      <c r="E51" s="144">
        <f t="shared" si="0"/>
        <v>10.15</v>
      </c>
      <c r="F51" s="186"/>
      <c r="H51" s="191" t="s">
        <v>99</v>
      </c>
      <c r="I51" s="142">
        <f>I49/I40</f>
        <v>108.98567754106628</v>
      </c>
      <c r="J51" s="137">
        <f>J49/J40</f>
        <v>101.61237941676079</v>
      </c>
      <c r="K51" s="138" t="s">
        <v>96</v>
      </c>
      <c r="L51" s="423"/>
      <c r="M51" s="424"/>
    </row>
    <row r="52" spans="1:13" ht="13.5" thickBot="1">
      <c r="A52" s="767" t="s">
        <v>29</v>
      </c>
      <c r="B52" s="768"/>
      <c r="C52" s="145">
        <f>SUM(C38:C51)</f>
        <v>52</v>
      </c>
      <c r="D52" s="145">
        <f>SUM(D38:D51)</f>
        <v>1241</v>
      </c>
      <c r="E52" s="146">
        <f>SUM(E38:E51)</f>
        <v>20.683333333333334</v>
      </c>
      <c r="F52" s="186"/>
      <c r="H52" s="192"/>
      <c r="I52" s="193"/>
      <c r="J52" s="139"/>
      <c r="K52" s="140"/>
      <c r="L52" s="430"/>
      <c r="M52" s="431"/>
    </row>
    <row r="53" spans="1:13" ht="13.5" thickBot="1">
      <c r="A53" s="769"/>
      <c r="B53" s="770"/>
      <c r="C53" s="147">
        <f>C52/(24*60)</f>
        <v>3.6111111111111108E-2</v>
      </c>
      <c r="D53" s="147">
        <f>D52/(24*60*G4)</f>
        <v>7.8345959595959594E-2</v>
      </c>
      <c r="E53" s="148">
        <f>E52/(G4*24)</f>
        <v>7.8345959595959594E-2</v>
      </c>
      <c r="F53" s="186"/>
    </row>
    <row r="54" spans="1:13">
      <c r="E54" s="194"/>
      <c r="F54" s="186"/>
    </row>
    <row r="55" spans="1:13">
      <c r="E55" s="194"/>
    </row>
    <row r="56" spans="1:13">
      <c r="A56" s="195" t="s">
        <v>100</v>
      </c>
      <c r="B56" s="196"/>
      <c r="C56" s="197"/>
      <c r="D56" s="197"/>
      <c r="E56" s="197"/>
      <c r="F56" s="198"/>
      <c r="G56" s="197"/>
      <c r="H56" s="199"/>
      <c r="I56" s="200" t="s">
        <v>101</v>
      </c>
      <c r="J56" s="201">
        <f>+D34+'10'!J56</f>
        <v>1796</v>
      </c>
      <c r="K56" s="202">
        <f>J56/(J40+J56/1000)/1000</f>
        <v>3.3578692113681442E-3</v>
      </c>
    </row>
    <row r="57" spans="1:13">
      <c r="A57" s="177"/>
      <c r="I57" s="200" t="s">
        <v>102</v>
      </c>
      <c r="J57" s="201">
        <f>+E34+'10'!J57</f>
        <v>0</v>
      </c>
      <c r="K57" s="202">
        <f>J57/(J40+J57/1000)/1000</f>
        <v>0</v>
      </c>
    </row>
    <row r="58" spans="1:13">
      <c r="A58" s="203"/>
      <c r="B58" s="204"/>
      <c r="F58" s="186"/>
      <c r="H58" s="205"/>
      <c r="J58" s="150">
        <v>325</v>
      </c>
    </row>
    <row r="59" spans="1:13">
      <c r="A59" s="206"/>
      <c r="B59" s="177"/>
      <c r="C59" s="177"/>
      <c r="D59" s="177"/>
      <c r="E59" s="177"/>
      <c r="F59" s="190"/>
      <c r="G59" s="177"/>
      <c r="H59" s="205"/>
      <c r="J59" s="156">
        <f>+J56+J58</f>
        <v>2121</v>
      </c>
    </row>
    <row r="60" spans="1:13">
      <c r="H60" s="205"/>
    </row>
    <row r="61" spans="1:13">
      <c r="A61" s="207"/>
      <c r="B61" s="208"/>
      <c r="C61" s="208"/>
      <c r="D61" s="208"/>
      <c r="E61" s="208"/>
      <c r="F61" s="209"/>
      <c r="G61" s="208"/>
      <c r="H61" s="210"/>
    </row>
  </sheetData>
  <mergeCells count="25">
    <mergeCell ref="A53:B53"/>
    <mergeCell ref="A52:B52"/>
    <mergeCell ref="A46:B46"/>
    <mergeCell ref="A51:B51"/>
    <mergeCell ref="A50:B50"/>
    <mergeCell ref="A49:B49"/>
    <mergeCell ref="A47:B47"/>
    <mergeCell ref="A48:B48"/>
    <mergeCell ref="A45:B45"/>
    <mergeCell ref="A42:B42"/>
    <mergeCell ref="I24:I31"/>
    <mergeCell ref="A37:B37"/>
    <mergeCell ref="A44:B44"/>
    <mergeCell ref="A24:A32"/>
    <mergeCell ref="A43:B43"/>
    <mergeCell ref="L35:M35"/>
    <mergeCell ref="A41:B41"/>
    <mergeCell ref="A7:A14"/>
    <mergeCell ref="A40:B40"/>
    <mergeCell ref="A34:B34"/>
    <mergeCell ref="A38:B38"/>
    <mergeCell ref="A39:B39"/>
    <mergeCell ref="I7:I13"/>
    <mergeCell ref="A15:A23"/>
    <mergeCell ref="I15:I22"/>
  </mergeCells>
  <phoneticPr fontId="30" type="noConversion"/>
  <pageMargins left="0.17" right="0.16" top="0.17" bottom="0.16" header="0" footer="0"/>
  <pageSetup paperSize="9" scale="62"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61"/>
  <sheetViews>
    <sheetView view="pageBreakPreview" topLeftCell="B1" zoomScale="80" zoomScaleNormal="75" zoomScaleSheetLayoutView="80" workbookViewId="0">
      <selection activeCell="H19" sqref="H19"/>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140625" style="150"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10</v>
      </c>
      <c r="H4" s="155" t="str">
        <f>+'1'!H4</f>
        <v>.11.25</v>
      </c>
      <c r="J4" s="150">
        <f>488.3+482.3+542.8</f>
        <v>1513.4</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1310</v>
      </c>
      <c r="P6" s="150">
        <f>+O6-O6*0.23</f>
        <v>1008.7</v>
      </c>
      <c r="Q6" s="150">
        <v>480</v>
      </c>
      <c r="R6" s="150">
        <f>+O6*Q6</f>
        <v>628800</v>
      </c>
      <c r="S6" s="150">
        <f>+P6*Q6</f>
        <v>484176</v>
      </c>
    </row>
    <row r="7" spans="1:19" ht="13.5" customHeight="1" thickBot="1">
      <c r="A7" s="775" t="s">
        <v>445</v>
      </c>
      <c r="B7" s="216" t="s">
        <v>448</v>
      </c>
      <c r="C7" s="217">
        <v>17009</v>
      </c>
      <c r="D7" s="218"/>
      <c r="E7" s="219"/>
      <c r="F7" s="229"/>
      <c r="G7" s="230" t="s">
        <v>13</v>
      </c>
      <c r="H7" s="231" t="s">
        <v>390</v>
      </c>
      <c r="I7" s="778" t="s">
        <v>562</v>
      </c>
      <c r="J7" s="215" t="str">
        <f>+'9'!J7</f>
        <v>T 13,5 RC HW</v>
      </c>
      <c r="K7" s="239">
        <f>+C34</f>
        <v>51182</v>
      </c>
      <c r="L7" s="243"/>
      <c r="M7" s="118">
        <f>+K7+'9'!M7+L7</f>
        <v>116368</v>
      </c>
      <c r="P7" s="150">
        <f>+O7-O7*0.15</f>
        <v>0</v>
      </c>
      <c r="Q7" s="150">
        <f>480-Q6</f>
        <v>0</v>
      </c>
      <c r="R7" s="150">
        <f t="shared" ref="R7:R10" si="0">+O7*Q7</f>
        <v>0</v>
      </c>
      <c r="S7" s="150">
        <f t="shared" ref="S7:S10" si="1">+P7*Q7</f>
        <v>0</v>
      </c>
    </row>
    <row r="8" spans="1:19" ht="13.5" thickBot="1">
      <c r="A8" s="784"/>
      <c r="B8" s="216"/>
      <c r="C8" s="217"/>
      <c r="D8" s="218"/>
      <c r="E8" s="220"/>
      <c r="F8" s="232">
        <v>7</v>
      </c>
      <c r="G8" s="579" t="s">
        <v>13</v>
      </c>
      <c r="H8" s="231" t="s">
        <v>426</v>
      </c>
      <c r="I8" s="779"/>
      <c r="J8" s="215" t="str">
        <f>+'9'!J8</f>
        <v>T 14 RC HW</v>
      </c>
      <c r="K8" s="240"/>
      <c r="L8" s="240"/>
      <c r="M8" s="118">
        <f>+K8+'9'!M8+L8</f>
        <v>97781</v>
      </c>
      <c r="R8" s="150">
        <f t="shared" si="0"/>
        <v>0</v>
      </c>
      <c r="S8" s="150">
        <f t="shared" si="1"/>
        <v>0</v>
      </c>
    </row>
    <row r="9" spans="1:19" ht="13.5" thickBot="1">
      <c r="A9" s="784"/>
      <c r="B9" s="216"/>
      <c r="C9" s="217"/>
      <c r="D9" s="218"/>
      <c r="E9" s="221"/>
      <c r="F9" s="229">
        <v>10</v>
      </c>
      <c r="G9" s="579" t="s">
        <v>13</v>
      </c>
      <c r="H9" s="234" t="s">
        <v>423</v>
      </c>
      <c r="I9" s="779"/>
      <c r="J9" s="215" t="str">
        <f>+'9'!J9</f>
        <v>T 15 RC HW</v>
      </c>
      <c r="K9" s="240"/>
      <c r="L9" s="240"/>
      <c r="M9" s="118">
        <f>+K9+'9'!M9+L9</f>
        <v>34238</v>
      </c>
      <c r="R9" s="150">
        <f t="shared" si="0"/>
        <v>0</v>
      </c>
      <c r="S9" s="150">
        <f t="shared" si="1"/>
        <v>0</v>
      </c>
    </row>
    <row r="10" spans="1:19" ht="26.25" thickBot="1">
      <c r="A10" s="784"/>
      <c r="B10" s="216"/>
      <c r="C10" s="217"/>
      <c r="D10" s="218"/>
      <c r="E10" s="220"/>
      <c r="F10" s="229"/>
      <c r="G10" s="238" t="s">
        <v>14</v>
      </c>
      <c r="H10" s="234" t="s">
        <v>561</v>
      </c>
      <c r="I10" s="779"/>
      <c r="J10" s="215" t="str">
        <f>+'9'!J10</f>
        <v>TW 29 RC HW</v>
      </c>
      <c r="K10" s="240"/>
      <c r="L10" s="240"/>
      <c r="M10" s="118">
        <f>+K10+'9'!M10+L10</f>
        <v>21998</v>
      </c>
      <c r="R10" s="150">
        <f t="shared" si="0"/>
        <v>0</v>
      </c>
      <c r="S10" s="150">
        <f t="shared" si="1"/>
        <v>0</v>
      </c>
    </row>
    <row r="11" spans="1:19" ht="13.5" thickBot="1">
      <c r="A11" s="784"/>
      <c r="B11" s="216"/>
      <c r="C11" s="217"/>
      <c r="D11" s="218"/>
      <c r="E11" s="220"/>
      <c r="F11" s="229"/>
      <c r="G11" s="233"/>
      <c r="H11" s="234"/>
      <c r="I11" s="779"/>
      <c r="J11" s="215" t="str">
        <f>+'9'!J11</f>
        <v>TW 20 RC HW</v>
      </c>
      <c r="K11" s="240"/>
      <c r="L11" s="240"/>
      <c r="M11" s="118">
        <f>+K11+'9'!M11+L11</f>
        <v>104164</v>
      </c>
    </row>
    <row r="12" spans="1:19" ht="13.5" thickBot="1">
      <c r="A12" s="784"/>
      <c r="B12" s="216"/>
      <c r="C12" s="217"/>
      <c r="D12" s="218"/>
      <c r="E12" s="220"/>
      <c r="F12" s="229"/>
      <c r="G12" s="233"/>
      <c r="H12" s="234"/>
      <c r="I12" s="779"/>
      <c r="J12" s="215" t="str">
        <f>+'9'!J12</f>
        <v>TW 19 RC HW</v>
      </c>
      <c r="K12" s="240"/>
      <c r="L12" s="240"/>
      <c r="M12" s="118">
        <f>+K12+'9'!M12+L12</f>
        <v>18863</v>
      </c>
      <c r="Q12" s="150">
        <f>SUM(Q6:Q10)</f>
        <v>480</v>
      </c>
      <c r="R12" s="150">
        <f>SUM(R6:R10)</f>
        <v>628800</v>
      </c>
      <c r="S12" s="150">
        <f>SUM(S6:S10)</f>
        <v>484176</v>
      </c>
    </row>
    <row r="13" spans="1:19" ht="13.5" thickBot="1">
      <c r="A13" s="784"/>
      <c r="B13" s="216"/>
      <c r="C13" s="217"/>
      <c r="D13" s="217"/>
      <c r="E13" s="220"/>
      <c r="F13" s="229"/>
      <c r="G13" s="233"/>
      <c r="H13" s="234"/>
      <c r="I13" s="780"/>
      <c r="J13" s="215" t="str">
        <f>+'9'!J13</f>
        <v>TW 17 RC HW</v>
      </c>
      <c r="K13" s="240"/>
      <c r="L13" s="240"/>
      <c r="M13" s="118">
        <f>+K13+'9'!M13+L13</f>
        <v>67816</v>
      </c>
      <c r="R13" s="150">
        <f>+R12/Q12</f>
        <v>1310</v>
      </c>
      <c r="S13" s="150">
        <f>+S12/Q12</f>
        <v>1008.7</v>
      </c>
    </row>
    <row r="14" spans="1:19" ht="13.5" thickBot="1">
      <c r="A14" s="785"/>
      <c r="B14" s="166" t="s">
        <v>3</v>
      </c>
      <c r="C14" s="100">
        <f>SUM(C7:C13)</f>
        <v>17009</v>
      </c>
      <c r="D14" s="112">
        <f>SUM(D7:D13)</f>
        <v>0</v>
      </c>
      <c r="E14" s="113">
        <f>SUM(E5:E13)</f>
        <v>0</v>
      </c>
      <c r="F14" s="103">
        <f>SUM(F6:F13)</f>
        <v>17</v>
      </c>
      <c r="G14" s="160"/>
      <c r="H14" s="167"/>
      <c r="I14" s="168"/>
      <c r="J14" s="215" t="str">
        <f>+'9'!J14</f>
        <v>F 14 RC HW</v>
      </c>
      <c r="K14" s="240"/>
      <c r="L14" s="240"/>
      <c r="M14" s="118">
        <f>+K14+'9'!M14+L14</f>
        <v>10232</v>
      </c>
    </row>
    <row r="15" spans="1:19" ht="13.5" customHeight="1" thickBot="1">
      <c r="A15" s="775" t="s">
        <v>446</v>
      </c>
      <c r="B15" s="166"/>
      <c r="C15" s="114">
        <f>C14/($C$23+$D$23+$E$23)</f>
        <v>1.0031849012090828</v>
      </c>
      <c r="D15" s="115">
        <f>D14/($C$23+$D$23+$E$23)</f>
        <v>0</v>
      </c>
      <c r="E15" s="116">
        <f>E14/($C$23+$D$23+$E$23)</f>
        <v>0</v>
      </c>
      <c r="F15" s="229"/>
      <c r="G15" s="230" t="s">
        <v>13</v>
      </c>
      <c r="H15" s="231" t="s">
        <v>390</v>
      </c>
      <c r="I15" s="778" t="s">
        <v>563</v>
      </c>
      <c r="J15" s="215" t="str">
        <f>+'9'!J15</f>
        <v>T 16,5 RC HW</v>
      </c>
      <c r="K15" s="240"/>
      <c r="L15" s="240"/>
      <c r="M15" s="118">
        <f>+K15+'9'!M15+L15</f>
        <v>10954</v>
      </c>
      <c r="N15" s="150" t="s">
        <v>415</v>
      </c>
      <c r="O15" s="150">
        <v>1300</v>
      </c>
      <c r="P15" s="150">
        <f>+O15-O15*0.23</f>
        <v>1001</v>
      </c>
      <c r="Q15" s="150">
        <v>480</v>
      </c>
      <c r="R15" s="150">
        <f>+O15*Q15</f>
        <v>624000</v>
      </c>
      <c r="S15" s="150">
        <f>+P15*Q15</f>
        <v>480480</v>
      </c>
    </row>
    <row r="16" spans="1:19" ht="13.5" thickBot="1">
      <c r="A16" s="784"/>
      <c r="B16" s="216" t="s">
        <v>448</v>
      </c>
      <c r="C16" s="223">
        <v>16955</v>
      </c>
      <c r="D16" s="224"/>
      <c r="E16" s="225"/>
      <c r="F16" s="232">
        <v>2</v>
      </c>
      <c r="G16" s="579" t="s">
        <v>13</v>
      </c>
      <c r="H16" s="231" t="s">
        <v>426</v>
      </c>
      <c r="I16" s="779"/>
      <c r="J16" s="215">
        <f>+'9'!J16</f>
        <v>0</v>
      </c>
      <c r="K16" s="240"/>
      <c r="L16" s="240"/>
      <c r="M16" s="118">
        <f>+K16+'9'!M16+L16</f>
        <v>0</v>
      </c>
      <c r="O16" s="150">
        <v>1300</v>
      </c>
      <c r="P16" s="150">
        <f>+O16-O16*0.23</f>
        <v>1001</v>
      </c>
      <c r="Q16" s="150">
        <v>480</v>
      </c>
      <c r="R16" s="150">
        <f t="shared" ref="R16:R19" si="2">+O16*Q16</f>
        <v>624000</v>
      </c>
      <c r="S16" s="150">
        <f t="shared" ref="S16:S19" si="3">+P16*Q16</f>
        <v>480480</v>
      </c>
    </row>
    <row r="17" spans="1:19" ht="13.5" thickBot="1">
      <c r="A17" s="784"/>
      <c r="B17" s="216"/>
      <c r="C17" s="217"/>
      <c r="D17" s="218"/>
      <c r="E17" s="226"/>
      <c r="F17" s="229">
        <v>5</v>
      </c>
      <c r="G17" s="579" t="s">
        <v>13</v>
      </c>
      <c r="H17" s="234" t="s">
        <v>427</v>
      </c>
      <c r="I17" s="779"/>
      <c r="J17" s="215">
        <f>+'9'!J17</f>
        <v>0</v>
      </c>
      <c r="K17" s="240"/>
      <c r="L17" s="240"/>
      <c r="M17" s="118">
        <f>+K17+'9'!M17+L17</f>
        <v>0</v>
      </c>
      <c r="R17" s="150">
        <f t="shared" si="2"/>
        <v>0</v>
      </c>
      <c r="S17" s="150">
        <f t="shared" si="3"/>
        <v>0</v>
      </c>
    </row>
    <row r="18" spans="1:19" ht="26.25" thickBot="1">
      <c r="A18" s="784"/>
      <c r="B18" s="216"/>
      <c r="C18" s="217"/>
      <c r="D18" s="218"/>
      <c r="E18" s="226"/>
      <c r="F18" s="229"/>
      <c r="G18" s="238" t="s">
        <v>14</v>
      </c>
      <c r="H18" s="234" t="s">
        <v>560</v>
      </c>
      <c r="I18" s="779"/>
      <c r="J18" s="215">
        <f>+'9'!J18</f>
        <v>0</v>
      </c>
      <c r="K18" s="240"/>
      <c r="L18" s="240"/>
      <c r="M18" s="118">
        <f>+K18+'9'!M18+L18</f>
        <v>0</v>
      </c>
      <c r="R18" s="150">
        <f t="shared" si="2"/>
        <v>0</v>
      </c>
      <c r="S18" s="150">
        <f t="shared" si="3"/>
        <v>0</v>
      </c>
    </row>
    <row r="19" spans="1:19" ht="13.5" thickBot="1">
      <c r="A19" s="784"/>
      <c r="B19" s="216"/>
      <c r="C19" s="217"/>
      <c r="D19" s="218"/>
      <c r="E19" s="226"/>
      <c r="F19" s="236"/>
      <c r="G19" s="233"/>
      <c r="H19" s="234"/>
      <c r="I19" s="779"/>
      <c r="J19" s="215">
        <f>+'9'!J19</f>
        <v>0</v>
      </c>
      <c r="K19" s="240"/>
      <c r="L19" s="240"/>
      <c r="M19" s="118">
        <f>+K19+'9'!M19+L19</f>
        <v>0</v>
      </c>
      <c r="R19" s="150">
        <f t="shared" si="2"/>
        <v>0</v>
      </c>
      <c r="S19" s="150">
        <f t="shared" si="3"/>
        <v>0</v>
      </c>
    </row>
    <row r="20" spans="1:19" ht="13.5" thickBot="1">
      <c r="A20" s="784"/>
      <c r="B20" s="216"/>
      <c r="C20" s="217"/>
      <c r="D20" s="218"/>
      <c r="E20" s="226"/>
      <c r="F20" s="229"/>
      <c r="G20" s="233"/>
      <c r="H20" s="234"/>
      <c r="I20" s="779"/>
      <c r="J20" s="215">
        <f>+'9'!J20</f>
        <v>0</v>
      </c>
      <c r="K20" s="240"/>
      <c r="L20" s="240"/>
      <c r="M20" s="118">
        <f>+K20+'9'!M20+L20</f>
        <v>0</v>
      </c>
    </row>
    <row r="21" spans="1:19" ht="13.5" thickBot="1">
      <c r="A21" s="784"/>
      <c r="B21" s="216"/>
      <c r="C21" s="217"/>
      <c r="D21" s="218"/>
      <c r="E21" s="226"/>
      <c r="F21" s="232"/>
      <c r="G21" s="233"/>
      <c r="H21" s="234"/>
      <c r="I21" s="779"/>
      <c r="J21" s="215">
        <f>+'9'!J21</f>
        <v>0</v>
      </c>
      <c r="K21" s="240"/>
      <c r="L21" s="240"/>
      <c r="M21" s="118">
        <f>+K21+'9'!M21+L21</f>
        <v>0</v>
      </c>
      <c r="Q21" s="150">
        <f>SUM(Q15:Q19)</f>
        <v>960</v>
      </c>
      <c r="R21" s="150">
        <f>SUM(R15:R19)</f>
        <v>1248000</v>
      </c>
      <c r="S21" s="150">
        <f>SUM(S15:S19)</f>
        <v>960960</v>
      </c>
    </row>
    <row r="22" spans="1:19" ht="13.5" thickBot="1">
      <c r="A22" s="784"/>
      <c r="B22" s="216"/>
      <c r="C22" s="217"/>
      <c r="D22" s="218"/>
      <c r="E22" s="226"/>
      <c r="F22" s="237"/>
      <c r="G22" s="233"/>
      <c r="H22" s="234"/>
      <c r="I22" s="780"/>
      <c r="J22" s="215">
        <f>+'9'!J22</f>
        <v>0</v>
      </c>
      <c r="K22" s="240"/>
      <c r="L22" s="240"/>
      <c r="M22" s="118">
        <f>+K22+'9'!M22+L22</f>
        <v>0</v>
      </c>
      <c r="R22" s="150">
        <f>+R21/Q21</f>
        <v>1300</v>
      </c>
      <c r="S22" s="150">
        <f>+S21/Q21</f>
        <v>1001</v>
      </c>
    </row>
    <row r="23" spans="1:19" ht="13.5" thickBot="1">
      <c r="A23" s="785"/>
      <c r="B23" s="166" t="s">
        <v>3</v>
      </c>
      <c r="C23" s="101">
        <f>SUM(C16:C22)</f>
        <v>16955</v>
      </c>
      <c r="D23" s="112">
        <f>SUM(D16:D22)</f>
        <v>0</v>
      </c>
      <c r="E23" s="113">
        <f>SUM(E18:E22)</f>
        <v>0</v>
      </c>
      <c r="F23" s="103">
        <f>SUM(F15:F22)</f>
        <v>7</v>
      </c>
      <c r="G23" s="160"/>
      <c r="H23" s="167"/>
      <c r="I23" s="170"/>
      <c r="J23" s="215">
        <f>+'9'!J23</f>
        <v>0</v>
      </c>
      <c r="K23" s="240"/>
      <c r="L23" s="240"/>
      <c r="M23" s="118">
        <f>+K23+'9'!M23+L23</f>
        <v>0</v>
      </c>
    </row>
    <row r="24" spans="1:19" ht="13.5" customHeight="1" thickBot="1">
      <c r="A24" s="775" t="s">
        <v>444</v>
      </c>
      <c r="B24" s="171"/>
      <c r="C24" s="114">
        <f>C23/($C$23+$D$23+$E$23)</f>
        <v>1</v>
      </c>
      <c r="D24" s="115">
        <f>D23/($C$23+$D$23+$E$23)</f>
        <v>0</v>
      </c>
      <c r="E24" s="116">
        <f>E23/($C$23+$D$23+$E$23)</f>
        <v>0</v>
      </c>
      <c r="F24" s="229"/>
      <c r="G24" s="230" t="s">
        <v>13</v>
      </c>
      <c r="H24" s="231" t="s">
        <v>390</v>
      </c>
      <c r="I24" s="778" t="s">
        <v>563</v>
      </c>
      <c r="J24" s="215">
        <f>+'9'!J24</f>
        <v>0</v>
      </c>
      <c r="K24" s="240"/>
      <c r="L24" s="240"/>
      <c r="M24" s="118">
        <f>+K24+'9'!M24+L24</f>
        <v>0</v>
      </c>
    </row>
    <row r="25" spans="1:19" ht="13.5" customHeight="1" thickBot="1">
      <c r="A25" s="784"/>
      <c r="B25" s="216" t="s">
        <v>448</v>
      </c>
      <c r="C25" s="227">
        <v>17218</v>
      </c>
      <c r="D25" s="218"/>
      <c r="E25" s="226"/>
      <c r="F25" s="232">
        <v>2</v>
      </c>
      <c r="G25" s="579" t="s">
        <v>13</v>
      </c>
      <c r="H25" s="231" t="s">
        <v>429</v>
      </c>
      <c r="I25" s="779"/>
      <c r="J25" s="215">
        <f>+'9'!J25</f>
        <v>0</v>
      </c>
      <c r="K25" s="240"/>
      <c r="L25" s="240"/>
      <c r="M25" s="118">
        <f>+K25+'9'!M25+L25</f>
        <v>0</v>
      </c>
    </row>
    <row r="26" spans="1:19" ht="13.5" customHeight="1" thickBot="1">
      <c r="A26" s="784"/>
      <c r="B26" s="216"/>
      <c r="C26" s="227"/>
      <c r="D26" s="218"/>
      <c r="E26" s="228"/>
      <c r="F26" s="229">
        <v>4</v>
      </c>
      <c r="G26" s="579" t="s">
        <v>13</v>
      </c>
      <c r="H26" s="234" t="s">
        <v>423</v>
      </c>
      <c r="I26" s="779"/>
      <c r="J26" s="215">
        <f>+'9'!J26</f>
        <v>0</v>
      </c>
      <c r="K26" s="240"/>
      <c r="L26" s="240"/>
      <c r="M26" s="118">
        <f>+K26+'9'!M26+L26</f>
        <v>0</v>
      </c>
    </row>
    <row r="27" spans="1:19" ht="26.25" thickBot="1">
      <c r="A27" s="784"/>
      <c r="B27" s="216"/>
      <c r="C27" s="217"/>
      <c r="D27" s="218"/>
      <c r="E27" s="226"/>
      <c r="F27" s="229">
        <v>10</v>
      </c>
      <c r="G27" s="238" t="s">
        <v>14</v>
      </c>
      <c r="H27" s="234" t="s">
        <v>559</v>
      </c>
      <c r="I27" s="779"/>
      <c r="J27" s="215">
        <f>+'9'!J27</f>
        <v>0</v>
      </c>
      <c r="K27" s="240"/>
      <c r="L27" s="240"/>
      <c r="M27" s="118">
        <f>+K27+'9'!M27+L27</f>
        <v>0</v>
      </c>
    </row>
    <row r="28" spans="1:19" ht="13.5" thickBot="1">
      <c r="A28" s="784"/>
      <c r="B28" s="216"/>
      <c r="C28" s="217"/>
      <c r="D28" s="218"/>
      <c r="E28" s="226"/>
      <c r="F28" s="232"/>
      <c r="G28" s="233"/>
      <c r="H28" s="234"/>
      <c r="I28" s="779"/>
      <c r="J28" s="215">
        <f>+'9'!J28</f>
        <v>0</v>
      </c>
      <c r="K28" s="240"/>
      <c r="L28" s="240"/>
      <c r="M28" s="118">
        <f>+K28+'9'!M28+L28</f>
        <v>0</v>
      </c>
    </row>
    <row r="29" spans="1:19" ht="13.5" thickBot="1">
      <c r="A29" s="784"/>
      <c r="B29" s="216"/>
      <c r="C29" s="217"/>
      <c r="D29" s="218"/>
      <c r="E29" s="226"/>
      <c r="F29" s="237"/>
      <c r="G29" s="233"/>
      <c r="H29" s="234"/>
      <c r="I29" s="779"/>
      <c r="J29" s="215">
        <f>+'9'!J29</f>
        <v>0</v>
      </c>
      <c r="K29" s="240"/>
      <c r="L29" s="240"/>
      <c r="M29" s="118">
        <f>+K29+'9'!M29+L29</f>
        <v>0</v>
      </c>
    </row>
    <row r="30" spans="1:19" ht="13.5" thickBot="1">
      <c r="A30" s="784"/>
      <c r="B30" s="216"/>
      <c r="C30" s="227"/>
      <c r="D30" s="218"/>
      <c r="E30" s="226"/>
      <c r="F30" s="237"/>
      <c r="G30" s="233"/>
      <c r="H30" s="234"/>
      <c r="I30" s="779"/>
      <c r="J30" s="215">
        <f>+'9'!J30</f>
        <v>0</v>
      </c>
      <c r="K30" s="240"/>
      <c r="L30" s="240"/>
      <c r="M30" s="118">
        <f>+K30+'9'!M30+L30</f>
        <v>0</v>
      </c>
    </row>
    <row r="31" spans="1:19" ht="13.5" customHeight="1" thickBot="1">
      <c r="A31" s="784"/>
      <c r="B31" s="216"/>
      <c r="C31" s="227"/>
      <c r="D31" s="218"/>
      <c r="E31" s="226"/>
      <c r="F31" s="237"/>
      <c r="G31" s="238"/>
      <c r="H31" s="235"/>
      <c r="I31" s="780"/>
      <c r="J31" s="215">
        <f>+'9'!J31</f>
        <v>0</v>
      </c>
      <c r="K31" s="240"/>
      <c r="L31" s="240"/>
      <c r="M31" s="118">
        <f>+K31+'9'!M31+L31</f>
        <v>0</v>
      </c>
    </row>
    <row r="32" spans="1:19" ht="13.5" customHeight="1" thickBot="1">
      <c r="A32" s="785"/>
      <c r="B32" s="166" t="s">
        <v>3</v>
      </c>
      <c r="C32" s="100">
        <f>SUM(C25:C31)</f>
        <v>17218</v>
      </c>
      <c r="D32" s="101">
        <f>SUM(D25:D31)</f>
        <v>0</v>
      </c>
      <c r="E32" s="102">
        <f>SUM(E25:E31)</f>
        <v>0</v>
      </c>
      <c r="F32" s="103">
        <f>SUM(F24:F31)</f>
        <v>16</v>
      </c>
      <c r="G32" s="172"/>
      <c r="H32" s="173"/>
      <c r="I32" s="170"/>
      <c r="J32" s="215">
        <f>+'9'!J32</f>
        <v>0</v>
      </c>
      <c r="K32" s="242"/>
      <c r="L32" s="244"/>
      <c r="M32" s="118">
        <f>+K32+'9'!M32+L32</f>
        <v>0</v>
      </c>
    </row>
    <row r="33" spans="1:13" ht="13.5" thickBot="1">
      <c r="A33" s="174"/>
      <c r="B33" s="175"/>
      <c r="C33" s="104">
        <f>C32/($C$32+$D$32+$E$32)</f>
        <v>1</v>
      </c>
      <c r="D33" s="105">
        <f>D32/($C$32+$D$32+$E$32)</f>
        <v>0</v>
      </c>
      <c r="E33" s="106">
        <f>E32/($C$32+$D$32+$E$32)</f>
        <v>0</v>
      </c>
      <c r="F33" s="107"/>
      <c r="G33" s="176"/>
      <c r="H33" s="177"/>
      <c r="I33" s="178"/>
      <c r="J33" s="122"/>
      <c r="K33" s="123"/>
      <c r="L33" s="214"/>
      <c r="M33" s="120"/>
    </row>
    <row r="34" spans="1:13" ht="13.5" thickBot="1">
      <c r="A34" s="771" t="s">
        <v>70</v>
      </c>
      <c r="B34" s="772"/>
      <c r="C34" s="108">
        <f>C14+C23+C32</f>
        <v>51182</v>
      </c>
      <c r="D34" s="108">
        <f>D14+D23+D32</f>
        <v>0</v>
      </c>
      <c r="E34" s="108">
        <f>E14+E23+E32</f>
        <v>0</v>
      </c>
      <c r="F34" s="109">
        <f>F14+F23+F32</f>
        <v>40</v>
      </c>
      <c r="H34" s="179"/>
      <c r="I34" s="179"/>
      <c r="J34" s="124" t="s">
        <v>29</v>
      </c>
      <c r="K34" s="125">
        <f>SUM(K7:K32)</f>
        <v>51182</v>
      </c>
      <c r="L34" s="213">
        <f>SUM(L7:L32)</f>
        <v>0</v>
      </c>
      <c r="M34" s="121">
        <f>SUM(M7:M32)</f>
        <v>482414</v>
      </c>
    </row>
    <row r="35" spans="1:13" ht="13.5" thickBot="1">
      <c r="A35" s="180"/>
      <c r="B35" s="181"/>
      <c r="C35" s="105">
        <f>C34/($C$34+$D$34+$E$34)</f>
        <v>1</v>
      </c>
      <c r="D35" s="105">
        <f>D34/($C$34+$D$34+$E$34)</f>
        <v>0</v>
      </c>
      <c r="E35" s="110">
        <f>E34/($C$34+$D$34+$E$34)</f>
        <v>0</v>
      </c>
      <c r="K35" s="156"/>
      <c r="L35" s="762" t="s">
        <v>187</v>
      </c>
      <c r="M35" s="762"/>
    </row>
    <row r="36" spans="1:13" ht="13.5" thickBot="1">
      <c r="A36" s="179"/>
      <c r="B36" s="179"/>
      <c r="C36" s="156"/>
      <c r="D36" s="156"/>
      <c r="E36" s="156"/>
      <c r="G36" s="156"/>
      <c r="H36" s="182"/>
      <c r="I36" s="163" t="s">
        <v>41</v>
      </c>
      <c r="J36" s="163" t="s">
        <v>42</v>
      </c>
      <c r="K36" s="183"/>
      <c r="L36" s="163" t="s">
        <v>41</v>
      </c>
      <c r="M36" s="163" t="s">
        <v>42</v>
      </c>
    </row>
    <row r="37" spans="1:13" ht="17.45" customHeight="1" thickBot="1">
      <c r="A37" s="773" t="s">
        <v>71</v>
      </c>
      <c r="B37" s="774"/>
      <c r="C37" s="163" t="s">
        <v>72</v>
      </c>
      <c r="D37" s="184" t="s">
        <v>73</v>
      </c>
      <c r="E37" s="185" t="s">
        <v>74</v>
      </c>
      <c r="F37" s="361"/>
      <c r="G37" s="363"/>
      <c r="H37" s="187" t="s">
        <v>75</v>
      </c>
      <c r="I37" s="245">
        <f>(13.5*1440)/1440*G42*2.77*1440/1000000</f>
        <v>54.040860720000005</v>
      </c>
      <c r="J37" s="375">
        <f>+I37+'9'!J37</f>
        <v>517.43230805732924</v>
      </c>
      <c r="K37" s="127" t="s">
        <v>76</v>
      </c>
      <c r="L37" s="421"/>
      <c r="M37" s="422"/>
    </row>
    <row r="38" spans="1:13" ht="17.45" customHeight="1">
      <c r="A38" s="767" t="s">
        <v>13</v>
      </c>
      <c r="B38" s="768"/>
      <c r="C38" s="165">
        <f>SUMIF($G$7:$G$31,"Process",$F$7:$F$31)</f>
        <v>30</v>
      </c>
      <c r="D38" s="119">
        <f>+C38+'9'!D38</f>
        <v>442</v>
      </c>
      <c r="E38" s="144">
        <f t="shared" ref="E38:E51" si="4">D38/60</f>
        <v>7.3666666666666663</v>
      </c>
      <c r="F38" s="361">
        <v>1310</v>
      </c>
      <c r="G38" s="363">
        <v>1008.7</v>
      </c>
      <c r="H38" s="188" t="s">
        <v>77</v>
      </c>
      <c r="I38" s="543">
        <f>17.089+16.646+17.649</f>
        <v>51.384</v>
      </c>
      <c r="J38" s="376">
        <f>+I38+'9'!J38</f>
        <v>494.50700000000006</v>
      </c>
      <c r="K38" s="129" t="s">
        <v>76</v>
      </c>
      <c r="L38" s="423"/>
      <c r="M38" s="424"/>
    </row>
    <row r="39" spans="1:13" ht="17.45" customHeight="1">
      <c r="A39" s="763" t="s">
        <v>14</v>
      </c>
      <c r="B39" s="764"/>
      <c r="C39" s="165">
        <f>SUMIF($G$7:$G$23,"Cleaning",$F$7:$F$23)</f>
        <v>0</v>
      </c>
      <c r="D39" s="119">
        <f>+C39+'9'!D39</f>
        <v>138</v>
      </c>
      <c r="E39" s="144">
        <f t="shared" si="4"/>
        <v>2.2999999999999998</v>
      </c>
      <c r="F39" s="361">
        <v>1300</v>
      </c>
      <c r="G39" s="363">
        <v>1001</v>
      </c>
      <c r="H39" s="188" t="s">
        <v>78</v>
      </c>
      <c r="I39" s="143"/>
      <c r="J39" s="377">
        <f>J37/G4</f>
        <v>51.743230805732921</v>
      </c>
      <c r="K39" s="131" t="s">
        <v>76</v>
      </c>
      <c r="L39" s="423"/>
      <c r="M39" s="424"/>
    </row>
    <row r="40" spans="1:13" ht="17.45" customHeight="1">
      <c r="A40" s="763" t="s">
        <v>79</v>
      </c>
      <c r="B40" s="764"/>
      <c r="C40" s="165">
        <f>SUMIF($G$7:$G$23,"Mechanical",$F$7:$F$23)</f>
        <v>0</v>
      </c>
      <c r="D40" s="119">
        <f>+C40+'9'!D40</f>
        <v>0</v>
      </c>
      <c r="E40" s="144">
        <f t="shared" si="4"/>
        <v>0</v>
      </c>
      <c r="F40" s="361">
        <v>1300</v>
      </c>
      <c r="G40" s="363">
        <v>1001</v>
      </c>
      <c r="H40" s="188" t="s">
        <v>80</v>
      </c>
      <c r="I40" s="119">
        <f>+(K34+L34)/1000</f>
        <v>51.182000000000002</v>
      </c>
      <c r="J40" s="378">
        <f>+I40+'9'!J40</f>
        <v>482.41400000000004</v>
      </c>
      <c r="K40" s="131" t="s">
        <v>76</v>
      </c>
      <c r="L40" s="423"/>
      <c r="M40" s="424"/>
    </row>
    <row r="41" spans="1:13" ht="17.45" customHeight="1">
      <c r="A41" s="763" t="s">
        <v>81</v>
      </c>
      <c r="B41" s="764"/>
      <c r="C41" s="165">
        <f>SUMIF($G$7:$G$31,"Electrical",$F$7:$F$31)</f>
        <v>0</v>
      </c>
      <c r="D41" s="119">
        <f>+C41+'9'!D41</f>
        <v>0</v>
      </c>
      <c r="E41" s="144">
        <f t="shared" si="4"/>
        <v>0</v>
      </c>
      <c r="F41" s="361"/>
      <c r="G41" s="361"/>
      <c r="H41" s="188" t="s">
        <v>82</v>
      </c>
      <c r="I41" s="143"/>
      <c r="J41" s="377">
        <f>J40/G4</f>
        <v>48.241400000000006</v>
      </c>
      <c r="K41" s="131" t="s">
        <v>76</v>
      </c>
      <c r="L41" s="423"/>
      <c r="M41" s="424"/>
    </row>
    <row r="42" spans="1:13" ht="17.45" customHeight="1">
      <c r="A42" s="763" t="s">
        <v>17</v>
      </c>
      <c r="B42" s="764"/>
      <c r="C42" s="165">
        <f>SUMIF($G$7:$G$23,"Instrument",$F$7:$F$23)</f>
        <v>0</v>
      </c>
      <c r="D42" s="119">
        <f>+C42+'9'!D42</f>
        <v>0</v>
      </c>
      <c r="E42" s="144">
        <f t="shared" si="4"/>
        <v>0</v>
      </c>
      <c r="F42" s="361">
        <f>+(480*F38+480*F39+480*F40)/1440</f>
        <v>1303.3333333333333</v>
      </c>
      <c r="G42" s="361">
        <f>+(480*G38+480*G39+480*G40)/1440</f>
        <v>1003.5666666666667</v>
      </c>
      <c r="H42" s="188" t="s">
        <v>83</v>
      </c>
      <c r="I42" s="247" t="s">
        <v>564</v>
      </c>
      <c r="J42" s="379"/>
      <c r="K42" s="131" t="s">
        <v>84</v>
      </c>
      <c r="L42" s="423"/>
      <c r="M42" s="424"/>
    </row>
    <row r="43" spans="1:13" ht="17.45" customHeight="1">
      <c r="A43" s="763" t="s">
        <v>85</v>
      </c>
      <c r="B43" s="764"/>
      <c r="C43" s="165">
        <f>SUMIF($G$7:$G$23,"Water",$F$7:$F$23)</f>
        <v>0</v>
      </c>
      <c r="D43" s="119">
        <f>+C43+'9'!D43</f>
        <v>0</v>
      </c>
      <c r="E43" s="144">
        <f t="shared" si="4"/>
        <v>0</v>
      </c>
      <c r="F43" s="361"/>
      <c r="G43" s="362"/>
      <c r="H43" s="189" t="s">
        <v>86</v>
      </c>
      <c r="I43" s="119">
        <f>+Report1!AH18</f>
        <v>65.900000000000006</v>
      </c>
      <c r="J43" s="380">
        <f>+I43+'9'!J43</f>
        <v>648.9</v>
      </c>
      <c r="K43" s="131" t="s">
        <v>76</v>
      </c>
      <c r="L43" s="425">
        <f>+Report1!AN18</f>
        <v>9.6</v>
      </c>
      <c r="M43" s="426">
        <f>+L43+'9'!M43</f>
        <v>98.4</v>
      </c>
    </row>
    <row r="44" spans="1:13" ht="17.45" customHeight="1">
      <c r="A44" s="763" t="s">
        <v>18</v>
      </c>
      <c r="B44" s="764"/>
      <c r="C44" s="165">
        <f>SUMIF($G$7:$G$23,"PLN",$F$7:$F$23)</f>
        <v>0</v>
      </c>
      <c r="D44" s="119">
        <f>+C44+'9'!D44</f>
        <v>0</v>
      </c>
      <c r="E44" s="144">
        <f t="shared" si="4"/>
        <v>0</v>
      </c>
      <c r="F44" s="361"/>
      <c r="G44" s="362"/>
      <c r="H44" s="189" t="s">
        <v>87</v>
      </c>
      <c r="I44" s="119">
        <f>I43/I38</f>
        <v>1.2825003892262183</v>
      </c>
      <c r="J44" s="380">
        <f>J43/J38</f>
        <v>1.3122160050312734</v>
      </c>
      <c r="K44" s="131" t="s">
        <v>76</v>
      </c>
      <c r="L44" s="427">
        <f>+L43/I38</f>
        <v>0.18682858477347034</v>
      </c>
      <c r="M44" s="428">
        <f>+M43/J38</f>
        <v>0.19898606086465914</v>
      </c>
    </row>
    <row r="45" spans="1:13" ht="17.45" customHeight="1">
      <c r="A45" s="763" t="s">
        <v>19</v>
      </c>
      <c r="B45" s="764"/>
      <c r="C45" s="165">
        <f>SUMIF($G$7:$G$23,"Boiler",$F$7:$F$23)</f>
        <v>0</v>
      </c>
      <c r="D45" s="119">
        <f>+C45+'9'!D45</f>
        <v>0</v>
      </c>
      <c r="E45" s="144">
        <f t="shared" si="4"/>
        <v>0</v>
      </c>
      <c r="F45" s="361"/>
      <c r="G45" s="364"/>
      <c r="H45" s="189" t="s">
        <v>88</v>
      </c>
      <c r="I45" s="119">
        <f>I43/I40</f>
        <v>1.2875620335274121</v>
      </c>
      <c r="J45" s="380">
        <f>J43/J40</f>
        <v>1.3451102165360043</v>
      </c>
      <c r="K45" s="131" t="s">
        <v>76</v>
      </c>
      <c r="L45" s="427">
        <f>+L43/I40</f>
        <v>0.18756594115118594</v>
      </c>
      <c r="M45" s="428">
        <f>+M43/J40</f>
        <v>0.20397417985381849</v>
      </c>
    </row>
    <row r="46" spans="1:13" ht="17.45" customHeight="1">
      <c r="A46" s="763" t="s">
        <v>89</v>
      </c>
      <c r="B46" s="764"/>
      <c r="C46" s="165">
        <f>SUMIF($G$7:$G$23,"Gas",$F$7:$F$23)</f>
        <v>0</v>
      </c>
      <c r="D46" s="119">
        <f>+C46+'9'!D46</f>
        <v>0</v>
      </c>
      <c r="E46" s="144">
        <f t="shared" si="4"/>
        <v>0</v>
      </c>
      <c r="F46" s="361"/>
      <c r="G46" s="362"/>
      <c r="H46" s="189" t="s">
        <v>90</v>
      </c>
      <c r="I46" s="141">
        <f>+SUMIF(Listrik!P17,"&gt;0")</f>
        <v>42912.239999999969</v>
      </c>
      <c r="J46" s="380">
        <f>+I46+'9'!J46</f>
        <v>387889.01999999996</v>
      </c>
      <c r="K46" s="131" t="s">
        <v>91</v>
      </c>
      <c r="L46" s="427">
        <f>+Listrik!AF17</f>
        <v>0</v>
      </c>
      <c r="M46" s="429">
        <f>+L46+'9'!M46</f>
        <v>0</v>
      </c>
    </row>
    <row r="47" spans="1:13" ht="17.45" customHeight="1">
      <c r="A47" s="763" t="s">
        <v>92</v>
      </c>
      <c r="B47" s="764"/>
      <c r="C47" s="165">
        <f>SUMIF($G$7:$G$23,"Gas",$F$7:$F$23)</f>
        <v>0</v>
      </c>
      <c r="D47" s="119">
        <f>+C47+'9'!D47</f>
        <v>0</v>
      </c>
      <c r="E47" s="144">
        <f t="shared" si="4"/>
        <v>0</v>
      </c>
      <c r="F47" s="361"/>
      <c r="G47" s="362"/>
      <c r="H47" s="189" t="s">
        <v>93</v>
      </c>
      <c r="I47" s="119">
        <f>I46/I38</f>
        <v>835.12844465203113</v>
      </c>
      <c r="J47" s="380">
        <f>J46/J38</f>
        <v>784.39540795175787</v>
      </c>
      <c r="K47" s="131" t="s">
        <v>25</v>
      </c>
      <c r="L47" s="427">
        <f>+L46/I38</f>
        <v>0</v>
      </c>
      <c r="M47" s="428">
        <f>+M46/J38</f>
        <v>0</v>
      </c>
    </row>
    <row r="48" spans="1:13" ht="17.45" customHeight="1">
      <c r="A48" s="763" t="s">
        <v>15</v>
      </c>
      <c r="B48" s="764"/>
      <c r="C48" s="165">
        <f>SUMIF($G$7:$G$23,"Start Up",$F$7:$F$23)</f>
        <v>0</v>
      </c>
      <c r="D48" s="119">
        <f>+C48+'9'!D48</f>
        <v>0</v>
      </c>
      <c r="E48" s="144">
        <f t="shared" si="4"/>
        <v>0</v>
      </c>
      <c r="F48" s="361"/>
      <c r="G48" s="362"/>
      <c r="H48" s="189" t="s">
        <v>94</v>
      </c>
      <c r="I48" s="119">
        <f>I46/I40</f>
        <v>838.42444609432937</v>
      </c>
      <c r="J48" s="380">
        <f>J46/J40</f>
        <v>804.05838139025798</v>
      </c>
      <c r="K48" s="131" t="s">
        <v>25</v>
      </c>
      <c r="L48" s="427">
        <f>+L46/I38</f>
        <v>0</v>
      </c>
      <c r="M48" s="428">
        <f>+M46/J40</f>
        <v>0</v>
      </c>
    </row>
    <row r="49" spans="1:13" ht="17.45" customHeight="1">
      <c r="A49" s="763" t="s">
        <v>21</v>
      </c>
      <c r="B49" s="764"/>
      <c r="C49" s="165">
        <f>SUMIF($G$7:$G$23,"Others",$F$7:$F$23)</f>
        <v>0</v>
      </c>
      <c r="D49" s="119">
        <f>+C49+'9'!D49</f>
        <v>0</v>
      </c>
      <c r="E49" s="144">
        <f t="shared" si="4"/>
        <v>0</v>
      </c>
      <c r="F49" s="186"/>
      <c r="H49" s="189" t="s">
        <v>182</v>
      </c>
      <c r="I49" s="119">
        <f>+Report1!AB18</f>
        <v>6057.2294008671279</v>
      </c>
      <c r="J49" s="380">
        <f>+I49+'9'!J49</f>
        <v>48645.754734066795</v>
      </c>
      <c r="K49" s="131" t="s">
        <v>96</v>
      </c>
      <c r="L49" s="423"/>
      <c r="M49" s="424"/>
    </row>
    <row r="50" spans="1:13" ht="17.45" customHeight="1">
      <c r="A50" s="763" t="s">
        <v>20</v>
      </c>
      <c r="B50" s="764"/>
      <c r="C50" s="165">
        <f>SUMIF($G$7:$G$23,"Steam",$F$7:$F$23)</f>
        <v>0</v>
      </c>
      <c r="D50" s="119">
        <f>+C50+'9'!D50</f>
        <v>0</v>
      </c>
      <c r="E50" s="144">
        <f t="shared" si="4"/>
        <v>0</v>
      </c>
      <c r="F50" s="186"/>
      <c r="H50" s="189" t="s">
        <v>97</v>
      </c>
      <c r="I50" s="141">
        <f>I49/I38</f>
        <v>117.88162464711054</v>
      </c>
      <c r="J50" s="380">
        <f>J49/J38</f>
        <v>98.372226751222513</v>
      </c>
      <c r="K50" s="131" t="s">
        <v>96</v>
      </c>
      <c r="L50" s="423"/>
      <c r="M50" s="424"/>
    </row>
    <row r="51" spans="1:13" ht="17.45" customHeight="1" thickBot="1">
      <c r="A51" s="765" t="s">
        <v>98</v>
      </c>
      <c r="B51" s="766"/>
      <c r="C51" s="165">
        <f>SUMIF($G$7:$G$23,"Planned shut",$F$7:$F$23)</f>
        <v>0</v>
      </c>
      <c r="D51" s="119">
        <f>+C51+'9'!D51</f>
        <v>609</v>
      </c>
      <c r="E51" s="144">
        <f t="shared" si="4"/>
        <v>10.15</v>
      </c>
      <c r="F51" s="186"/>
      <c r="H51" s="191" t="s">
        <v>99</v>
      </c>
      <c r="I51" s="142">
        <f>I49/I40</f>
        <v>118.3468680564872</v>
      </c>
      <c r="J51" s="381">
        <f>J49/J40</f>
        <v>100.83819029726914</v>
      </c>
      <c r="K51" s="138" t="s">
        <v>96</v>
      </c>
      <c r="L51" s="423"/>
      <c r="M51" s="424"/>
    </row>
    <row r="52" spans="1:13" ht="13.5" thickBot="1">
      <c r="A52" s="767" t="s">
        <v>29</v>
      </c>
      <c r="B52" s="768"/>
      <c r="C52" s="145">
        <f>SUM(C38:C51)</f>
        <v>30</v>
      </c>
      <c r="D52" s="145">
        <f>SUM(D38:D51)</f>
        <v>1189</v>
      </c>
      <c r="E52" s="146">
        <f>SUM(E38:E51)</f>
        <v>19.816666666666666</v>
      </c>
      <c r="F52" s="186"/>
      <c r="H52" s="192"/>
      <c r="I52" s="193"/>
      <c r="J52" s="382"/>
      <c r="K52" s="140"/>
      <c r="L52" s="430"/>
      <c r="M52" s="431"/>
    </row>
    <row r="53" spans="1:13" ht="13.5" thickBot="1">
      <c r="A53" s="769"/>
      <c r="B53" s="770"/>
      <c r="C53" s="147">
        <f>C52/(24*60)</f>
        <v>2.0833333333333332E-2</v>
      </c>
      <c r="D53" s="147">
        <f>D52/(24*60*G4)</f>
        <v>8.2569444444444445E-2</v>
      </c>
      <c r="E53" s="148">
        <f>E52/(G4*24)</f>
        <v>8.2569444444444445E-2</v>
      </c>
      <c r="F53" s="186"/>
    </row>
    <row r="54" spans="1:13">
      <c r="E54" s="194"/>
      <c r="F54" s="186"/>
    </row>
    <row r="55" spans="1:13">
      <c r="E55" s="194"/>
    </row>
    <row r="56" spans="1:13">
      <c r="A56" s="195" t="s">
        <v>100</v>
      </c>
      <c r="B56" s="196"/>
      <c r="C56" s="197"/>
      <c r="D56" s="197"/>
      <c r="E56" s="197"/>
      <c r="F56" s="198"/>
      <c r="G56" s="197"/>
      <c r="H56" s="199"/>
      <c r="I56" s="200" t="s">
        <v>101</v>
      </c>
      <c r="J56" s="201">
        <f>+D34+'9'!J56</f>
        <v>1796</v>
      </c>
      <c r="K56" s="202">
        <f>J56/(J40+J56/1000)/1000</f>
        <v>3.7091344664505069E-3</v>
      </c>
    </row>
    <row r="57" spans="1:13">
      <c r="A57" s="177"/>
      <c r="I57" s="200" t="s">
        <v>102</v>
      </c>
      <c r="J57" s="201">
        <f>+E34+'9'!J57</f>
        <v>0</v>
      </c>
      <c r="K57" s="202">
        <f>J57/(J40+J57/1000)/1000</f>
        <v>0</v>
      </c>
    </row>
    <row r="58" spans="1:13">
      <c r="A58" s="203"/>
      <c r="B58" s="204"/>
      <c r="F58" s="186"/>
      <c r="H58" s="205"/>
      <c r="J58" s="150">
        <v>325</v>
      </c>
    </row>
    <row r="59" spans="1:13">
      <c r="A59" s="206"/>
      <c r="B59" s="177"/>
      <c r="C59" s="177"/>
      <c r="D59" s="177"/>
      <c r="E59" s="177"/>
      <c r="F59" s="190"/>
      <c r="G59" s="177"/>
      <c r="H59" s="205"/>
      <c r="J59" s="156">
        <f>+J56+J58</f>
        <v>2121</v>
      </c>
    </row>
    <row r="60" spans="1:13">
      <c r="H60" s="205"/>
    </row>
    <row r="61" spans="1:13">
      <c r="A61" s="207"/>
      <c r="B61" s="208"/>
      <c r="C61" s="208"/>
      <c r="D61" s="208"/>
      <c r="E61" s="208"/>
      <c r="F61" s="209"/>
      <c r="G61" s="208"/>
      <c r="H61" s="210"/>
    </row>
  </sheetData>
  <mergeCells count="25">
    <mergeCell ref="A34:B34"/>
    <mergeCell ref="A53:B53"/>
    <mergeCell ref="A49:B49"/>
    <mergeCell ref="A47:B47"/>
    <mergeCell ref="A48:B48"/>
    <mergeCell ref="A50:B50"/>
    <mergeCell ref="A52:B52"/>
    <mergeCell ref="A51:B51"/>
    <mergeCell ref="A38:B38"/>
    <mergeCell ref="A7:A14"/>
    <mergeCell ref="I7:I13"/>
    <mergeCell ref="A15:A23"/>
    <mergeCell ref="I15:I22"/>
    <mergeCell ref="A24:A32"/>
    <mergeCell ref="I24:I31"/>
    <mergeCell ref="L35:M35"/>
    <mergeCell ref="A39:B39"/>
    <mergeCell ref="A46:B46"/>
    <mergeCell ref="A42:B42"/>
    <mergeCell ref="A43:B43"/>
    <mergeCell ref="A44:B44"/>
    <mergeCell ref="A45:B45"/>
    <mergeCell ref="A41:B41"/>
    <mergeCell ref="A40:B40"/>
    <mergeCell ref="A37:B37"/>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Y61"/>
  <sheetViews>
    <sheetView view="pageBreakPreview" zoomScale="80" zoomScaleNormal="75" zoomScaleSheetLayoutView="80" workbookViewId="0">
      <selection activeCell="A7" sqref="A7:A32"/>
    </sheetView>
  </sheetViews>
  <sheetFormatPr defaultColWidth="9.140625" defaultRowHeight="12.75"/>
  <cols>
    <col min="1" max="1" width="8" style="150" customWidth="1"/>
    <col min="2" max="2" width="12"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42578125" style="150" customWidth="1"/>
    <col min="11" max="11" width="12.5703125" style="150" bestFit="1" customWidth="1"/>
    <col min="12" max="12" width="10.5703125" style="150" bestFit="1" customWidth="1"/>
    <col min="13" max="13" width="12.140625" style="150"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9</v>
      </c>
      <c r="H4" s="155" t="str">
        <f>+'1'!H4</f>
        <v>.11.25</v>
      </c>
      <c r="J4" s="150">
        <f>361.6+386.4+395.3</f>
        <v>1143.3</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539</v>
      </c>
      <c r="O6" s="150">
        <v>950</v>
      </c>
      <c r="P6" s="150">
        <f>+O6-O6*0.15</f>
        <v>807.5</v>
      </c>
      <c r="Q6" s="150">
        <v>480</v>
      </c>
      <c r="R6" s="150">
        <f>+O6*Q6</f>
        <v>456000</v>
      </c>
      <c r="S6" s="150">
        <f>+P6*Q6</f>
        <v>387600</v>
      </c>
    </row>
    <row r="7" spans="1:25" ht="13.5" customHeight="1" thickBot="1">
      <c r="A7" s="775" t="s">
        <v>445</v>
      </c>
      <c r="B7" s="216" t="s">
        <v>556</v>
      </c>
      <c r="C7" s="217">
        <v>18456</v>
      </c>
      <c r="D7" s="218"/>
      <c r="E7" s="219"/>
      <c r="F7" s="229"/>
      <c r="G7" s="230" t="s">
        <v>13</v>
      </c>
      <c r="H7" s="231" t="s">
        <v>390</v>
      </c>
      <c r="I7" s="778" t="s">
        <v>540</v>
      </c>
      <c r="J7" s="215" t="str">
        <f>+'8'!J7</f>
        <v>T 13,5 RC HW</v>
      </c>
      <c r="K7" s="239">
        <f>+C27</f>
        <v>2603</v>
      </c>
      <c r="L7" s="243"/>
      <c r="M7" s="118">
        <f>+K7+'8'!M7+L7</f>
        <v>65186</v>
      </c>
      <c r="P7" s="150">
        <f>+O7-O7*0.15</f>
        <v>0</v>
      </c>
      <c r="Q7" s="150">
        <f>480-Q6</f>
        <v>0</v>
      </c>
      <c r="R7" s="150">
        <f t="shared" ref="R7:R10" si="0">+O7*Q7</f>
        <v>0</v>
      </c>
      <c r="S7" s="150">
        <f t="shared" ref="S7:S10" si="1">+P7*Q7</f>
        <v>0</v>
      </c>
    </row>
    <row r="8" spans="1:25" ht="13.5" thickBot="1">
      <c r="A8" s="784"/>
      <c r="B8" s="216"/>
      <c r="C8" s="217"/>
      <c r="D8" s="218"/>
      <c r="E8" s="220"/>
      <c r="F8" s="232">
        <v>4</v>
      </c>
      <c r="G8" s="579" t="s">
        <v>13</v>
      </c>
      <c r="H8" s="231" t="s">
        <v>429</v>
      </c>
      <c r="I8" s="779"/>
      <c r="J8" s="215" t="str">
        <f>+'8'!J8</f>
        <v>T 14 RC HW</v>
      </c>
      <c r="K8" s="240"/>
      <c r="L8" s="240"/>
      <c r="M8" s="118">
        <f>+K8+'8'!M8+L8</f>
        <v>97781</v>
      </c>
      <c r="R8" s="150">
        <f t="shared" si="0"/>
        <v>0</v>
      </c>
      <c r="S8" s="150">
        <f t="shared" si="1"/>
        <v>0</v>
      </c>
    </row>
    <row r="9" spans="1:25" ht="13.5" thickBot="1">
      <c r="A9" s="784"/>
      <c r="B9" s="216"/>
      <c r="C9" s="217"/>
      <c r="D9" s="218"/>
      <c r="E9" s="221"/>
      <c r="F9" s="229">
        <v>9</v>
      </c>
      <c r="G9" s="579" t="s">
        <v>13</v>
      </c>
      <c r="H9" s="234" t="s">
        <v>427</v>
      </c>
      <c r="I9" s="779"/>
      <c r="J9" s="215" t="str">
        <f>+'8'!J9</f>
        <v>T 15 RC HW</v>
      </c>
      <c r="K9" s="240"/>
      <c r="L9" s="240"/>
      <c r="M9" s="118">
        <f>+K9+'8'!M9+L9</f>
        <v>34238</v>
      </c>
      <c r="R9" s="150">
        <f t="shared" si="0"/>
        <v>0</v>
      </c>
      <c r="S9" s="150">
        <f t="shared" si="1"/>
        <v>0</v>
      </c>
    </row>
    <row r="10" spans="1:25" ht="26.25" thickBot="1">
      <c r="A10" s="784"/>
      <c r="B10" s="216"/>
      <c r="C10" s="217"/>
      <c r="D10" s="218"/>
      <c r="E10" s="220"/>
      <c r="F10" s="229"/>
      <c r="G10" s="238" t="s">
        <v>14</v>
      </c>
      <c r="H10" s="234" t="s">
        <v>533</v>
      </c>
      <c r="I10" s="779"/>
      <c r="J10" s="215" t="str">
        <f>+'8'!J10</f>
        <v>TW 29 RC HW</v>
      </c>
      <c r="K10" s="240"/>
      <c r="L10" s="240"/>
      <c r="M10" s="118">
        <f>+K10+'8'!M10+L10</f>
        <v>21998</v>
      </c>
      <c r="R10" s="150">
        <f t="shared" si="0"/>
        <v>0</v>
      </c>
      <c r="S10" s="150">
        <f t="shared" si="1"/>
        <v>0</v>
      </c>
    </row>
    <row r="11" spans="1:25" ht="13.5" thickBot="1">
      <c r="A11" s="784"/>
      <c r="B11" s="216"/>
      <c r="C11" s="217"/>
      <c r="D11" s="218"/>
      <c r="E11" s="220"/>
      <c r="F11" s="229"/>
      <c r="G11" s="233"/>
      <c r="H11" s="234"/>
      <c r="I11" s="779"/>
      <c r="J11" s="215" t="str">
        <f>+'8'!J11</f>
        <v>TW 20 RC HW</v>
      </c>
      <c r="K11" s="240"/>
      <c r="L11" s="240"/>
      <c r="M11" s="118">
        <f>+K11+'8'!M11+L11</f>
        <v>104164</v>
      </c>
    </row>
    <row r="12" spans="1:25" ht="13.5" thickBot="1">
      <c r="A12" s="784"/>
      <c r="B12" s="216"/>
      <c r="C12" s="217"/>
      <c r="D12" s="218"/>
      <c r="E12" s="220"/>
      <c r="F12" s="229"/>
      <c r="G12" s="233"/>
      <c r="H12" s="234"/>
      <c r="I12" s="779"/>
      <c r="J12" s="215" t="str">
        <f>+'8'!J12</f>
        <v>TW 19 RC HW</v>
      </c>
      <c r="K12" s="240"/>
      <c r="L12" s="240"/>
      <c r="M12" s="118">
        <f>+K12+'8'!M12+L12</f>
        <v>18863</v>
      </c>
      <c r="Q12" s="150">
        <f>SUM(Q6:Q10)</f>
        <v>480</v>
      </c>
      <c r="R12" s="150">
        <f>SUM(R6:R10)</f>
        <v>456000</v>
      </c>
      <c r="S12" s="150">
        <f>SUM(S6:S10)</f>
        <v>387600</v>
      </c>
    </row>
    <row r="13" spans="1:25" ht="13.5" thickBot="1">
      <c r="A13" s="784"/>
      <c r="B13" s="216"/>
      <c r="C13" s="217"/>
      <c r="D13" s="217"/>
      <c r="E13" s="220"/>
      <c r="F13" s="229"/>
      <c r="G13" s="233"/>
      <c r="H13" s="234"/>
      <c r="I13" s="780"/>
      <c r="J13" s="215" t="str">
        <f>+'8'!J13</f>
        <v>TW 17 RC HW</v>
      </c>
      <c r="K13" s="240">
        <f>+C7+C16</f>
        <v>26606</v>
      </c>
      <c r="L13" s="240"/>
      <c r="M13" s="118">
        <f>+K13+'8'!M13+L13</f>
        <v>67816</v>
      </c>
      <c r="R13" s="150">
        <f>+R12/Q12</f>
        <v>950</v>
      </c>
      <c r="S13" s="150">
        <f>+S12/Q12</f>
        <v>807.5</v>
      </c>
    </row>
    <row r="14" spans="1:25" ht="13.5" thickBot="1">
      <c r="A14" s="785"/>
      <c r="B14" s="166"/>
      <c r="C14" s="100">
        <f>SUM(C7:C13)</f>
        <v>18456</v>
      </c>
      <c r="D14" s="112">
        <f>SUM(D7:D13)</f>
        <v>0</v>
      </c>
      <c r="E14" s="113">
        <f>SUM(E5:E13)</f>
        <v>0</v>
      </c>
      <c r="F14" s="103">
        <f>SUM(F6:F13)</f>
        <v>13</v>
      </c>
      <c r="G14" s="160"/>
      <c r="H14" s="167"/>
      <c r="I14" s="168"/>
      <c r="J14" s="215" t="s">
        <v>557</v>
      </c>
      <c r="K14" s="240">
        <f>+C17+C25</f>
        <v>10232</v>
      </c>
      <c r="L14" s="240"/>
      <c r="M14" s="118">
        <f>+K14+'8'!M14+L14</f>
        <v>10232</v>
      </c>
    </row>
    <row r="15" spans="1:25" ht="13.5" customHeight="1" thickBot="1">
      <c r="A15" s="775" t="s">
        <v>446</v>
      </c>
      <c r="B15" s="166"/>
      <c r="C15" s="114">
        <f>C14/($C$23+$D$23+$E$23)</f>
        <v>1.1628024193548387</v>
      </c>
      <c r="D15" s="115">
        <f>D14/($C$23+$D$23+$E$23)</f>
        <v>0</v>
      </c>
      <c r="E15" s="116">
        <f>E14/($C$23+$D$23+$E$23)</f>
        <v>0</v>
      </c>
      <c r="F15" s="229"/>
      <c r="G15" s="230" t="s">
        <v>13</v>
      </c>
      <c r="H15" s="231" t="s">
        <v>390</v>
      </c>
      <c r="I15" s="778" t="s">
        <v>545</v>
      </c>
      <c r="J15" s="215" t="s">
        <v>558</v>
      </c>
      <c r="K15" s="240">
        <f>+C26</f>
        <v>10954</v>
      </c>
      <c r="L15" s="240"/>
      <c r="M15" s="118">
        <f>+K15+'8'!M15+L15</f>
        <v>10954</v>
      </c>
      <c r="N15" s="150" t="s">
        <v>539</v>
      </c>
      <c r="O15" s="150">
        <v>950</v>
      </c>
      <c r="P15" s="150">
        <f>+O15-O15*0.15</f>
        <v>807.5</v>
      </c>
      <c r="Q15" s="150">
        <f>60+59</f>
        <v>119</v>
      </c>
      <c r="R15" s="150">
        <f>+O15*Q15</f>
        <v>113050</v>
      </c>
      <c r="S15" s="150">
        <f>+P15*Q15</f>
        <v>96092.5</v>
      </c>
      <c r="T15" s="150" t="s">
        <v>543</v>
      </c>
      <c r="U15" s="150">
        <v>1180</v>
      </c>
      <c r="V15" s="150">
        <v>920.4</v>
      </c>
      <c r="W15" s="150">
        <v>103</v>
      </c>
      <c r="X15" s="150">
        <f>+U15*W15</f>
        <v>121540</v>
      </c>
      <c r="Y15" s="150">
        <f>+V15*W15</f>
        <v>94801.2</v>
      </c>
    </row>
    <row r="16" spans="1:25" ht="13.5" thickBot="1">
      <c r="A16" s="784"/>
      <c r="B16" s="216" t="s">
        <v>556</v>
      </c>
      <c r="C16" s="223">
        <f>7165+985</f>
        <v>8150</v>
      </c>
      <c r="D16" s="224"/>
      <c r="E16" s="225"/>
      <c r="F16" s="232">
        <v>3</v>
      </c>
      <c r="G16" s="579" t="s">
        <v>13</v>
      </c>
      <c r="H16" s="231" t="s">
        <v>429</v>
      </c>
      <c r="I16" s="779"/>
      <c r="J16" s="215"/>
      <c r="K16" s="240"/>
      <c r="L16" s="230"/>
      <c r="M16" s="118">
        <f>+K16+'8'!M16+L16</f>
        <v>0</v>
      </c>
      <c r="N16" s="150" t="s">
        <v>543</v>
      </c>
      <c r="O16" s="150">
        <v>1180</v>
      </c>
      <c r="P16" s="150">
        <f>+O16-O16*0.22</f>
        <v>920.4</v>
      </c>
      <c r="Q16" s="150">
        <f>60-59+60+42</f>
        <v>103</v>
      </c>
      <c r="R16" s="150">
        <f t="shared" ref="R16:R19" si="2">+O16*Q16</f>
        <v>121540</v>
      </c>
      <c r="S16" s="150">
        <f t="shared" ref="S16:S19" si="3">+P16*Q16</f>
        <v>94801.2</v>
      </c>
      <c r="U16" s="150">
        <v>1190</v>
      </c>
      <c r="V16" s="150">
        <v>928.2</v>
      </c>
      <c r="W16" s="150">
        <v>38</v>
      </c>
      <c r="X16" s="150">
        <f t="shared" ref="X16:X19" si="4">+U16*W16</f>
        <v>45220</v>
      </c>
      <c r="Y16" s="150">
        <f t="shared" ref="Y16:Y19" si="5">+V16*W16</f>
        <v>35271.599999999999</v>
      </c>
    </row>
    <row r="17" spans="1:25" ht="13.5" thickBot="1">
      <c r="A17" s="784"/>
      <c r="B17" s="216" t="s">
        <v>557</v>
      </c>
      <c r="C17" s="217">
        <v>7722</v>
      </c>
      <c r="D17" s="218"/>
      <c r="E17" s="226"/>
      <c r="F17" s="229">
        <v>5</v>
      </c>
      <c r="G17" s="579" t="s">
        <v>13</v>
      </c>
      <c r="H17" s="234" t="s">
        <v>397</v>
      </c>
      <c r="I17" s="779"/>
      <c r="J17" s="215">
        <f>+'8'!J17</f>
        <v>0</v>
      </c>
      <c r="K17" s="240"/>
      <c r="L17" s="230"/>
      <c r="M17" s="118">
        <f>+K17+'8'!M17+L17</f>
        <v>0</v>
      </c>
      <c r="O17" s="150">
        <v>1190</v>
      </c>
      <c r="P17" s="150">
        <f t="shared" ref="P17:P19" si="6">+O17-O17*0.22</f>
        <v>928.2</v>
      </c>
      <c r="Q17" s="150">
        <f>60-42+20</f>
        <v>38</v>
      </c>
      <c r="R17" s="150">
        <f t="shared" si="2"/>
        <v>45220</v>
      </c>
      <c r="S17" s="150">
        <f t="shared" si="3"/>
        <v>35271.599999999999</v>
      </c>
      <c r="U17" s="150">
        <v>1200</v>
      </c>
      <c r="V17" s="150">
        <v>936</v>
      </c>
      <c r="W17" s="150">
        <v>189</v>
      </c>
      <c r="X17" s="150">
        <f t="shared" si="4"/>
        <v>226800</v>
      </c>
      <c r="Y17" s="150">
        <f t="shared" si="5"/>
        <v>176904</v>
      </c>
    </row>
    <row r="18" spans="1:25" ht="26.25" thickBot="1">
      <c r="A18" s="784"/>
      <c r="B18" s="216"/>
      <c r="C18" s="217"/>
      <c r="D18" s="218"/>
      <c r="E18" s="226"/>
      <c r="F18" s="229"/>
      <c r="G18" s="238" t="s">
        <v>14</v>
      </c>
      <c r="H18" s="234" t="s">
        <v>531</v>
      </c>
      <c r="I18" s="779"/>
      <c r="J18" s="215">
        <f>+'8'!J18</f>
        <v>0</v>
      </c>
      <c r="K18" s="240"/>
      <c r="L18" s="240"/>
      <c r="M18" s="118">
        <f>+K18+'8'!M18+L18</f>
        <v>0</v>
      </c>
      <c r="O18" s="150">
        <v>1200</v>
      </c>
      <c r="P18" s="150">
        <f t="shared" si="6"/>
        <v>936</v>
      </c>
      <c r="Q18" s="150">
        <f>60-20+120+29</f>
        <v>189</v>
      </c>
      <c r="R18" s="150">
        <f t="shared" si="2"/>
        <v>226800</v>
      </c>
      <c r="S18" s="150">
        <f t="shared" si="3"/>
        <v>176904</v>
      </c>
      <c r="X18" s="150">
        <f t="shared" si="4"/>
        <v>0</v>
      </c>
      <c r="Y18" s="150">
        <f t="shared" si="5"/>
        <v>0</v>
      </c>
    </row>
    <row r="19" spans="1:25" ht="51.75" thickBot="1">
      <c r="A19" s="784"/>
      <c r="B19" s="216"/>
      <c r="C19" s="217"/>
      <c r="D19" s="218"/>
      <c r="E19" s="226"/>
      <c r="F19" s="236"/>
      <c r="G19" s="233"/>
      <c r="H19" s="234" t="s">
        <v>532</v>
      </c>
      <c r="I19" s="779"/>
      <c r="J19" s="215">
        <f>+'8'!J19</f>
        <v>0</v>
      </c>
      <c r="K19" s="240"/>
      <c r="L19" s="240"/>
      <c r="M19" s="118">
        <f>+K19+'8'!M19+L19</f>
        <v>0</v>
      </c>
      <c r="N19" s="150" t="s">
        <v>544</v>
      </c>
      <c r="O19" s="150">
        <v>1050</v>
      </c>
      <c r="P19" s="150">
        <f t="shared" si="6"/>
        <v>819</v>
      </c>
      <c r="Q19" s="150">
        <f>60-29</f>
        <v>31</v>
      </c>
      <c r="R19" s="150">
        <f t="shared" si="2"/>
        <v>32550</v>
      </c>
      <c r="S19" s="150">
        <f t="shared" si="3"/>
        <v>25389</v>
      </c>
      <c r="X19" s="150">
        <f t="shared" si="4"/>
        <v>0</v>
      </c>
      <c r="Y19" s="150">
        <f t="shared" si="5"/>
        <v>0</v>
      </c>
    </row>
    <row r="20" spans="1:25" ht="13.5" thickBot="1">
      <c r="A20" s="784"/>
      <c r="B20" s="216"/>
      <c r="C20" s="217"/>
      <c r="D20" s="218"/>
      <c r="E20" s="226"/>
      <c r="F20" s="229"/>
      <c r="G20" s="233"/>
      <c r="H20" s="234"/>
      <c r="I20" s="779"/>
      <c r="J20" s="215">
        <f>+'8'!J20</f>
        <v>0</v>
      </c>
      <c r="K20" s="241"/>
      <c r="L20" s="241"/>
      <c r="M20" s="118">
        <f>+K20+'8'!M20+L20</f>
        <v>0</v>
      </c>
    </row>
    <row r="21" spans="1:25" ht="13.5" thickBot="1">
      <c r="A21" s="784"/>
      <c r="B21" s="216"/>
      <c r="C21" s="217"/>
      <c r="D21" s="218"/>
      <c r="E21" s="226"/>
      <c r="F21" s="232"/>
      <c r="G21" s="233"/>
      <c r="H21" s="234"/>
      <c r="I21" s="779"/>
      <c r="J21" s="215">
        <f>+'8'!J21</f>
        <v>0</v>
      </c>
      <c r="K21" s="240"/>
      <c r="L21" s="240"/>
      <c r="M21" s="118">
        <f>+K21+'8'!M21+L21</f>
        <v>0</v>
      </c>
      <c r="Q21" s="150">
        <f>SUM(Q15:Q19)</f>
        <v>480</v>
      </c>
      <c r="R21" s="150">
        <f>SUM(R15:R19)</f>
        <v>539160</v>
      </c>
      <c r="S21" s="150">
        <f>SUM(S15:S19)</f>
        <v>428458.30000000005</v>
      </c>
      <c r="W21" s="150">
        <f>SUM(W15:W19)</f>
        <v>330</v>
      </c>
      <c r="X21" s="150">
        <f>SUM(X15:X19)</f>
        <v>393560</v>
      </c>
      <c r="Y21" s="150">
        <f>SUM(Y15:Y19)</f>
        <v>306976.8</v>
      </c>
    </row>
    <row r="22" spans="1:25" ht="13.5" thickBot="1">
      <c r="A22" s="784"/>
      <c r="B22" s="216"/>
      <c r="C22" s="217"/>
      <c r="D22" s="218"/>
      <c r="E22" s="226"/>
      <c r="F22" s="237"/>
      <c r="G22" s="233"/>
      <c r="H22" s="234"/>
      <c r="I22" s="780"/>
      <c r="J22" s="215">
        <f>+'8'!J22</f>
        <v>0</v>
      </c>
      <c r="K22" s="240"/>
      <c r="L22" s="240"/>
      <c r="M22" s="118">
        <f>+K22+'8'!M22+L22</f>
        <v>0</v>
      </c>
      <c r="R22" s="150">
        <f>+R21/Q21</f>
        <v>1123.25</v>
      </c>
      <c r="S22" s="150">
        <f>+S21/Q21</f>
        <v>892.62145833333341</v>
      </c>
      <c r="X22" s="150">
        <f>+X21/W21</f>
        <v>1192.6060606060605</v>
      </c>
      <c r="Y22" s="150">
        <f>+Y21/W21</f>
        <v>930.23272727272729</v>
      </c>
    </row>
    <row r="23" spans="1:25" ht="13.5" thickBot="1">
      <c r="A23" s="785"/>
      <c r="B23" s="166"/>
      <c r="C23" s="101">
        <f>SUM(C16:C22)</f>
        <v>15872</v>
      </c>
      <c r="D23" s="112">
        <f>SUM(D16:D22)</f>
        <v>0</v>
      </c>
      <c r="E23" s="113">
        <f>SUM(E18:E22)</f>
        <v>0</v>
      </c>
      <c r="F23" s="103">
        <f>SUM(F15:F22)</f>
        <v>8</v>
      </c>
      <c r="G23" s="160"/>
      <c r="H23" s="167"/>
      <c r="I23" s="170"/>
      <c r="J23" s="215">
        <f>+'8'!J23</f>
        <v>0</v>
      </c>
      <c r="K23" s="240"/>
      <c r="L23" s="240"/>
      <c r="M23" s="118">
        <f>+K23+'8'!M23+L23</f>
        <v>0</v>
      </c>
      <c r="N23" s="150" t="s">
        <v>544</v>
      </c>
      <c r="O23" s="150">
        <v>1070</v>
      </c>
      <c r="P23" s="150">
        <f t="shared" ref="P23" si="7">+O23-O23*0.22</f>
        <v>834.6</v>
      </c>
      <c r="Q23" s="150">
        <f>60*4+32</f>
        <v>272</v>
      </c>
      <c r="R23" s="150">
        <f>+O23*Q23</f>
        <v>291040</v>
      </c>
      <c r="S23" s="150">
        <f>+P23*Q23</f>
        <v>227011.20000000001</v>
      </c>
      <c r="T23" s="150" t="s">
        <v>544</v>
      </c>
      <c r="U23" s="150">
        <v>1050</v>
      </c>
      <c r="V23" s="150">
        <v>819</v>
      </c>
      <c r="W23" s="150">
        <v>31</v>
      </c>
      <c r="X23" s="150">
        <f>+U23*W23</f>
        <v>32550</v>
      </c>
      <c r="Y23" s="150">
        <f>+V23*W23</f>
        <v>25389</v>
      </c>
    </row>
    <row r="24" spans="1:25" ht="13.5" customHeight="1" thickBot="1">
      <c r="A24" s="775" t="s">
        <v>444</v>
      </c>
      <c r="B24" s="171"/>
      <c r="C24" s="114">
        <f>C23/($C$23+$D$23+$E$23)</f>
        <v>1</v>
      </c>
      <c r="D24" s="115">
        <f>D23/($C$23+$D$23+$E$23)</f>
        <v>0</v>
      </c>
      <c r="E24" s="116">
        <f>E23/($C$23+$D$23+$E$23)</f>
        <v>0</v>
      </c>
      <c r="F24" s="229"/>
      <c r="G24" s="230" t="s">
        <v>13</v>
      </c>
      <c r="H24" s="231" t="s">
        <v>390</v>
      </c>
      <c r="I24" s="778" t="s">
        <v>546</v>
      </c>
      <c r="J24" s="215">
        <f>+'8'!J24</f>
        <v>0</v>
      </c>
      <c r="K24" s="240"/>
      <c r="L24" s="240"/>
      <c r="M24" s="118">
        <f>+K24+'8'!M24+L24</f>
        <v>0</v>
      </c>
      <c r="N24" s="150" t="s">
        <v>415</v>
      </c>
      <c r="O24" s="150">
        <v>1200</v>
      </c>
      <c r="P24" s="150">
        <f>+O24-O24*0.23</f>
        <v>924</v>
      </c>
      <c r="Q24" s="150">
        <f>480-Q23</f>
        <v>208</v>
      </c>
      <c r="R24" s="150">
        <f t="shared" ref="R24:R27" si="8">+O24*Q24</f>
        <v>249600</v>
      </c>
      <c r="S24" s="150">
        <f t="shared" ref="S24:S27" si="9">+P24*Q24</f>
        <v>192192</v>
      </c>
      <c r="T24" s="150" t="s">
        <v>544</v>
      </c>
      <c r="U24" s="150">
        <v>1070</v>
      </c>
      <c r="V24" s="150">
        <v>834.6</v>
      </c>
      <c r="W24" s="150">
        <v>272</v>
      </c>
      <c r="X24" s="150">
        <f t="shared" ref="X24:X27" si="10">+U24*W24</f>
        <v>291040</v>
      </c>
      <c r="Y24" s="150">
        <f t="shared" ref="Y24:Y27" si="11">+V24*W24</f>
        <v>227011.20000000001</v>
      </c>
    </row>
    <row r="25" spans="1:25" ht="13.5" customHeight="1" thickBot="1">
      <c r="A25" s="784"/>
      <c r="B25" s="216" t="s">
        <v>557</v>
      </c>
      <c r="C25" s="227">
        <v>2510</v>
      </c>
      <c r="D25" s="218"/>
      <c r="E25" s="226"/>
      <c r="F25" s="232">
        <v>2</v>
      </c>
      <c r="G25" s="579" t="s">
        <v>13</v>
      </c>
      <c r="H25" s="231" t="s">
        <v>422</v>
      </c>
      <c r="I25" s="779"/>
      <c r="J25" s="215">
        <f>+'8'!J25</f>
        <v>0</v>
      </c>
      <c r="K25" s="240"/>
      <c r="L25" s="240"/>
      <c r="M25" s="118">
        <f>+K25+'8'!M25+L25</f>
        <v>0</v>
      </c>
      <c r="R25" s="150">
        <f t="shared" si="8"/>
        <v>0</v>
      </c>
      <c r="S25" s="150">
        <f t="shared" si="9"/>
        <v>0</v>
      </c>
      <c r="X25" s="150">
        <f t="shared" si="10"/>
        <v>0</v>
      </c>
      <c r="Y25" s="150">
        <f t="shared" si="11"/>
        <v>0</v>
      </c>
    </row>
    <row r="26" spans="1:25" ht="13.5" customHeight="1" thickBot="1">
      <c r="A26" s="784"/>
      <c r="B26" s="216" t="s">
        <v>558</v>
      </c>
      <c r="C26" s="227">
        <v>10954</v>
      </c>
      <c r="D26" s="218"/>
      <c r="E26" s="228"/>
      <c r="F26" s="229">
        <v>4</v>
      </c>
      <c r="G26" s="579" t="s">
        <v>13</v>
      </c>
      <c r="H26" s="234" t="s">
        <v>423</v>
      </c>
      <c r="I26" s="779"/>
      <c r="J26" s="215">
        <f>+'8'!J26</f>
        <v>0</v>
      </c>
      <c r="K26" s="240"/>
      <c r="L26" s="240"/>
      <c r="M26" s="118">
        <f>+K26+'8'!M26+L26</f>
        <v>0</v>
      </c>
      <c r="R26" s="150">
        <f t="shared" si="8"/>
        <v>0</v>
      </c>
      <c r="S26" s="150">
        <f t="shared" si="9"/>
        <v>0</v>
      </c>
      <c r="X26" s="150">
        <f t="shared" si="10"/>
        <v>0</v>
      </c>
      <c r="Y26" s="150">
        <f t="shared" si="11"/>
        <v>0</v>
      </c>
    </row>
    <row r="27" spans="1:25" ht="26.25" thickBot="1">
      <c r="A27" s="784"/>
      <c r="B27" s="216" t="s">
        <v>448</v>
      </c>
      <c r="C27" s="217">
        <v>2603</v>
      </c>
      <c r="D27" s="218"/>
      <c r="E27" s="226"/>
      <c r="F27" s="229">
        <v>10</v>
      </c>
      <c r="G27" s="238" t="s">
        <v>14</v>
      </c>
      <c r="H27" s="234" t="s">
        <v>529</v>
      </c>
      <c r="I27" s="779"/>
      <c r="J27" s="215">
        <f>+'8'!J27</f>
        <v>0</v>
      </c>
      <c r="K27" s="240"/>
      <c r="L27" s="240"/>
      <c r="M27" s="118">
        <f>+K27+'8'!M27+L27</f>
        <v>0</v>
      </c>
      <c r="R27" s="150">
        <f t="shared" si="8"/>
        <v>0</v>
      </c>
      <c r="S27" s="150">
        <f t="shared" si="9"/>
        <v>0</v>
      </c>
      <c r="X27" s="150">
        <f t="shared" si="10"/>
        <v>0</v>
      </c>
      <c r="Y27" s="150">
        <f t="shared" si="11"/>
        <v>0</v>
      </c>
    </row>
    <row r="28" spans="1:25" ht="13.5" customHeight="1" thickBot="1">
      <c r="A28" s="784"/>
      <c r="B28" s="216"/>
      <c r="C28" s="217"/>
      <c r="D28" s="218"/>
      <c r="E28" s="226"/>
      <c r="F28" s="232"/>
      <c r="G28" s="233"/>
      <c r="H28" s="234" t="s">
        <v>530</v>
      </c>
      <c r="I28" s="779"/>
      <c r="J28" s="215">
        <f>+'8'!J28</f>
        <v>0</v>
      </c>
      <c r="K28" s="240"/>
      <c r="L28" s="240"/>
      <c r="M28" s="118">
        <f>+K28+'8'!M28+L28</f>
        <v>0</v>
      </c>
    </row>
    <row r="29" spans="1:25" ht="13.5" customHeight="1" thickBot="1">
      <c r="A29" s="784"/>
      <c r="B29" s="216"/>
      <c r="C29" s="217"/>
      <c r="D29" s="218"/>
      <c r="E29" s="226"/>
      <c r="F29" s="237"/>
      <c r="G29" s="233"/>
      <c r="H29" s="234"/>
      <c r="I29" s="779"/>
      <c r="J29" s="215">
        <f>+'8'!J29</f>
        <v>0</v>
      </c>
      <c r="K29" s="240"/>
      <c r="L29" s="240"/>
      <c r="M29" s="118">
        <f>+K29+'8'!M29+L29</f>
        <v>0</v>
      </c>
      <c r="Q29" s="150">
        <f>SUM(Q23:Q27)</f>
        <v>480</v>
      </c>
      <c r="R29" s="150">
        <f>SUM(R23:R27)</f>
        <v>540640</v>
      </c>
      <c r="S29" s="150">
        <f>SUM(S23:S27)</f>
        <v>419203.2</v>
      </c>
      <c r="W29" s="150">
        <f>SUM(W23:W27)</f>
        <v>303</v>
      </c>
      <c r="X29" s="150">
        <f>SUM(X23:X27)</f>
        <v>323590</v>
      </c>
      <c r="Y29" s="150">
        <f>SUM(Y23:Y27)</f>
        <v>252400.2</v>
      </c>
    </row>
    <row r="30" spans="1:25" ht="13.5" customHeight="1" thickBot="1">
      <c r="A30" s="784"/>
      <c r="B30" s="216"/>
      <c r="C30" s="227"/>
      <c r="D30" s="218"/>
      <c r="E30" s="226"/>
      <c r="F30" s="237"/>
      <c r="G30" s="233"/>
      <c r="H30" s="234"/>
      <c r="I30" s="779"/>
      <c r="J30" s="215">
        <f>+'8'!J30</f>
        <v>0</v>
      </c>
      <c r="K30" s="240"/>
      <c r="L30" s="240"/>
      <c r="M30" s="118">
        <f>+K30+'8'!M30+L30</f>
        <v>0</v>
      </c>
      <c r="R30" s="150">
        <f>+R29/Q29</f>
        <v>1126.3333333333333</v>
      </c>
      <c r="S30" s="150">
        <f>+S29/Q29</f>
        <v>873.34</v>
      </c>
      <c r="X30" s="150">
        <f>+X29/W29</f>
        <v>1067.953795379538</v>
      </c>
      <c r="Y30" s="150">
        <f>+Y29/W29</f>
        <v>833.00396039603959</v>
      </c>
    </row>
    <row r="31" spans="1:25" ht="13.5" customHeight="1" thickBot="1">
      <c r="A31" s="784"/>
      <c r="B31" s="216"/>
      <c r="C31" s="227"/>
      <c r="D31" s="218"/>
      <c r="E31" s="226"/>
      <c r="F31" s="237"/>
      <c r="G31" s="238"/>
      <c r="H31" s="235"/>
      <c r="I31" s="780"/>
      <c r="J31" s="215">
        <f>+'8'!J31</f>
        <v>0</v>
      </c>
      <c r="K31" s="240"/>
      <c r="L31" s="240"/>
      <c r="M31" s="118">
        <f>+K31+'8'!M31+L31</f>
        <v>0</v>
      </c>
    </row>
    <row r="32" spans="1:25" ht="13.5" customHeight="1" thickBot="1">
      <c r="A32" s="785"/>
      <c r="B32" s="166"/>
      <c r="C32" s="100">
        <f>SUM(C25:C31)</f>
        <v>16067</v>
      </c>
      <c r="D32" s="101">
        <f>SUM(D25:D31)</f>
        <v>0</v>
      </c>
      <c r="E32" s="102">
        <f>SUM(E25:E31)</f>
        <v>0</v>
      </c>
      <c r="F32" s="103">
        <f>SUM(F24:F31)</f>
        <v>16</v>
      </c>
      <c r="G32" s="172"/>
      <c r="H32" s="173"/>
      <c r="I32" s="170"/>
      <c r="J32" s="215">
        <f>+'8'!J32</f>
        <v>0</v>
      </c>
      <c r="K32" s="242"/>
      <c r="L32" s="244"/>
      <c r="M32" s="118">
        <f>+K32+'8'!M32+L32</f>
        <v>0</v>
      </c>
    </row>
    <row r="33" spans="1:17" ht="13.5" thickBot="1">
      <c r="A33" s="174"/>
      <c r="B33" s="175"/>
      <c r="C33" s="104">
        <f>C32/($C$32+$D$32+$E$32)</f>
        <v>1</v>
      </c>
      <c r="D33" s="105">
        <f>D32/($C$32+$D$32+$E$32)</f>
        <v>0</v>
      </c>
      <c r="E33" s="106">
        <f>E32/($C$32+$D$32+$E$32)</f>
        <v>0</v>
      </c>
      <c r="F33" s="107"/>
      <c r="G33" s="176"/>
      <c r="H33" s="177"/>
      <c r="I33" s="178"/>
      <c r="J33" s="122"/>
      <c r="K33" s="123"/>
      <c r="L33" s="214"/>
      <c r="M33" s="120"/>
      <c r="N33" s="150" t="s">
        <v>539</v>
      </c>
      <c r="O33" s="150">
        <v>950</v>
      </c>
      <c r="P33" s="150">
        <v>807.5</v>
      </c>
      <c r="Q33" s="150">
        <f>480+119</f>
        <v>599</v>
      </c>
    </row>
    <row r="34" spans="1:17" ht="13.5" thickBot="1">
      <c r="A34" s="771" t="s">
        <v>70</v>
      </c>
      <c r="B34" s="772"/>
      <c r="C34" s="108">
        <f>C14+C23+C32</f>
        <v>50395</v>
      </c>
      <c r="D34" s="108">
        <f>D14+D23+D32</f>
        <v>0</v>
      </c>
      <c r="E34" s="108">
        <f>E14+E23+E32</f>
        <v>0</v>
      </c>
      <c r="F34" s="109">
        <f>F14+F23+F32</f>
        <v>37</v>
      </c>
      <c r="H34" s="179"/>
      <c r="I34" s="179"/>
      <c r="J34" s="124" t="s">
        <v>29</v>
      </c>
      <c r="K34" s="125">
        <f>SUM(K7:K32)</f>
        <v>50395</v>
      </c>
      <c r="L34" s="213">
        <f>SUM(L7:L32)</f>
        <v>0</v>
      </c>
      <c r="M34" s="121">
        <f>SUM(M7:M32)</f>
        <v>431232</v>
      </c>
      <c r="N34" s="150" t="s">
        <v>543</v>
      </c>
      <c r="O34" s="150">
        <v>1192.6060606060605</v>
      </c>
      <c r="P34" s="150">
        <v>930.23272727272729</v>
      </c>
      <c r="Q34" s="150">
        <v>330</v>
      </c>
    </row>
    <row r="35" spans="1:17" ht="13.5" thickBot="1">
      <c r="A35" s="180"/>
      <c r="B35" s="181"/>
      <c r="C35" s="105">
        <f>C34/($C$34+$D$34+$E$34)</f>
        <v>1</v>
      </c>
      <c r="D35" s="105">
        <f>D34/($C$34+$D$34+$E$34)</f>
        <v>0</v>
      </c>
      <c r="E35" s="110">
        <f>E34/($C$34+$D$34+$E$34)</f>
        <v>0</v>
      </c>
      <c r="K35" s="156"/>
      <c r="L35" s="762" t="s">
        <v>187</v>
      </c>
      <c r="M35" s="762"/>
      <c r="N35" s="150" t="s">
        <v>544</v>
      </c>
      <c r="O35" s="150">
        <v>1067.953795379538</v>
      </c>
      <c r="P35" s="150">
        <v>833.00396039603959</v>
      </c>
      <c r="Q35" s="150">
        <v>303</v>
      </c>
    </row>
    <row r="36" spans="1:17" ht="13.5" thickBot="1">
      <c r="A36" s="179"/>
      <c r="B36" s="179"/>
      <c r="C36" s="156"/>
      <c r="D36" s="156"/>
      <c r="E36" s="156"/>
      <c r="G36" s="156"/>
      <c r="H36" s="182"/>
      <c r="I36" s="163" t="s">
        <v>41</v>
      </c>
      <c r="J36" s="163" t="s">
        <v>42</v>
      </c>
      <c r="K36" s="183"/>
      <c r="L36" s="163" t="s">
        <v>41</v>
      </c>
      <c r="M36" s="163" t="s">
        <v>42</v>
      </c>
      <c r="N36" s="150" t="s">
        <v>415</v>
      </c>
      <c r="O36" s="150">
        <v>1200</v>
      </c>
      <c r="P36" s="150">
        <v>924</v>
      </c>
      <c r="Q36" s="150">
        <v>208</v>
      </c>
    </row>
    <row r="37" spans="1:17" ht="17.45" customHeight="1" thickBot="1">
      <c r="A37" s="773" t="s">
        <v>71</v>
      </c>
      <c r="B37" s="774"/>
      <c r="C37" s="163" t="s">
        <v>72</v>
      </c>
      <c r="D37" s="184" t="s">
        <v>73</v>
      </c>
      <c r="E37" s="185" t="s">
        <v>74</v>
      </c>
      <c r="F37" s="361"/>
      <c r="G37" s="363"/>
      <c r="H37" s="187" t="s">
        <v>75</v>
      </c>
      <c r="I37" s="245">
        <f>(17*599+14*330+16.5*303+13.5*208)/1440*G42*2.77*1440/1000000</f>
        <v>53.726227780366322</v>
      </c>
      <c r="J37" s="126">
        <f>+I37+'8'!J37</f>
        <v>463.39144733732923</v>
      </c>
      <c r="K37" s="127" t="s">
        <v>76</v>
      </c>
      <c r="L37" s="421"/>
      <c r="M37" s="422"/>
      <c r="Q37" s="150">
        <f>+Q33+Q34+Q35+Q36</f>
        <v>1440</v>
      </c>
    </row>
    <row r="38" spans="1:17" ht="17.45" customHeight="1">
      <c r="A38" s="767" t="s">
        <v>13</v>
      </c>
      <c r="B38" s="768"/>
      <c r="C38" s="165">
        <f>SUMIF($G$7:$G$31,"Process",$F$7:$F$31)</f>
        <v>27</v>
      </c>
      <c r="D38" s="119">
        <f>+C38+'8'!D38</f>
        <v>412</v>
      </c>
      <c r="E38" s="144">
        <f t="shared" ref="E38:E51" si="12">D38/60</f>
        <v>6.8666666666666663</v>
      </c>
      <c r="F38" s="361">
        <v>950</v>
      </c>
      <c r="G38" s="361">
        <v>807.5</v>
      </c>
      <c r="H38" s="188" t="s">
        <v>77</v>
      </c>
      <c r="I38" s="543">
        <f>16.798+4.858+11.001+10.899+6.337</f>
        <v>49.893000000000001</v>
      </c>
      <c r="J38" s="128">
        <f>+I38+'8'!J38</f>
        <v>443.12300000000005</v>
      </c>
      <c r="K38" s="129" t="s">
        <v>76</v>
      </c>
      <c r="L38" s="423"/>
      <c r="M38" s="424"/>
    </row>
    <row r="39" spans="1:17" ht="17.45" customHeight="1">
      <c r="A39" s="763" t="s">
        <v>14</v>
      </c>
      <c r="B39" s="764"/>
      <c r="C39" s="165">
        <f>SUMIF($G$7:$G$31,"Cleaning",$F$7:$F$31)</f>
        <v>10</v>
      </c>
      <c r="D39" s="119">
        <f>+C39+'8'!D39</f>
        <v>138</v>
      </c>
      <c r="E39" s="144">
        <f t="shared" si="12"/>
        <v>2.2999999999999998</v>
      </c>
      <c r="F39" s="361">
        <v>1123.25</v>
      </c>
      <c r="G39" s="361">
        <v>892.62145833333341</v>
      </c>
      <c r="H39" s="188" t="s">
        <v>78</v>
      </c>
      <c r="I39" s="143"/>
      <c r="J39" s="130">
        <f>J37/G4</f>
        <v>51.487938593036581</v>
      </c>
      <c r="K39" s="131" t="s">
        <v>76</v>
      </c>
      <c r="L39" s="423"/>
      <c r="M39" s="424"/>
    </row>
    <row r="40" spans="1:17" ht="17.45" customHeight="1">
      <c r="A40" s="763" t="s">
        <v>79</v>
      </c>
      <c r="B40" s="764"/>
      <c r="C40" s="165">
        <f>SUMIF($G$7:$G$31,"Mechanical",$F$7:$F$31)</f>
        <v>0</v>
      </c>
      <c r="D40" s="119">
        <f>+C40+'8'!D40</f>
        <v>0</v>
      </c>
      <c r="E40" s="144">
        <f t="shared" si="12"/>
        <v>0</v>
      </c>
      <c r="F40" s="361">
        <v>1126.3333333333333</v>
      </c>
      <c r="G40" s="361">
        <v>873.34</v>
      </c>
      <c r="H40" s="188" t="s">
        <v>80</v>
      </c>
      <c r="I40" s="119">
        <f>(K34+L34)/1000</f>
        <v>50.395000000000003</v>
      </c>
      <c r="J40" s="132">
        <f>+I40+'8'!J40</f>
        <v>431.23200000000003</v>
      </c>
      <c r="K40" s="131" t="s">
        <v>76</v>
      </c>
      <c r="L40" s="423"/>
      <c r="M40" s="424"/>
    </row>
    <row r="41" spans="1:17" ht="17.45" customHeight="1">
      <c r="A41" s="763" t="s">
        <v>81</v>
      </c>
      <c r="B41" s="764"/>
      <c r="C41" s="165">
        <f>SUMIF($G$7:$G$31,"Electrical",$F$7:$F$31)</f>
        <v>0</v>
      </c>
      <c r="D41" s="119">
        <f>+C41+'8'!D41</f>
        <v>0</v>
      </c>
      <c r="E41" s="144">
        <f t="shared" si="12"/>
        <v>0</v>
      </c>
      <c r="F41" s="361"/>
      <c r="G41" s="361"/>
      <c r="H41" s="188" t="s">
        <v>82</v>
      </c>
      <c r="I41" s="143"/>
      <c r="J41" s="130">
        <f>J40/G4</f>
        <v>47.914666666666669</v>
      </c>
      <c r="K41" s="131" t="s">
        <v>76</v>
      </c>
      <c r="L41" s="423"/>
      <c r="M41" s="424"/>
    </row>
    <row r="42" spans="1:17" ht="17.45" customHeight="1">
      <c r="A42" s="763" t="s">
        <v>17</v>
      </c>
      <c r="B42" s="764"/>
      <c r="C42" s="165">
        <f>SUMIF($G$7:$G$31,"Instrument",$F$7:$F$31)</f>
        <v>0</v>
      </c>
      <c r="D42" s="119">
        <f>+C42+'8'!D42</f>
        <v>0</v>
      </c>
      <c r="E42" s="144">
        <f t="shared" si="12"/>
        <v>0</v>
      </c>
      <c r="F42" s="361">
        <f>+(F38*480+F39*480+F40*480)/1440</f>
        <v>1066.5277777777778</v>
      </c>
      <c r="G42" s="361">
        <f>+(G38*480+G39*480+G40*480)/1440</f>
        <v>857.82048611111111</v>
      </c>
      <c r="H42" s="188" t="s">
        <v>83</v>
      </c>
      <c r="I42" s="247" t="s">
        <v>547</v>
      </c>
      <c r="J42" s="133"/>
      <c r="K42" s="131" t="s">
        <v>84</v>
      </c>
      <c r="L42" s="423"/>
      <c r="M42" s="424"/>
    </row>
    <row r="43" spans="1:17" ht="17.45" customHeight="1">
      <c r="A43" s="763" t="s">
        <v>202</v>
      </c>
      <c r="B43" s="764"/>
      <c r="C43" s="165">
        <f>SUMIF($G$7:$G$31,"Change Grade",$F$7:$F$31)</f>
        <v>0</v>
      </c>
      <c r="D43" s="119">
        <f>+C43+'8'!D43</f>
        <v>0</v>
      </c>
      <c r="E43" s="144">
        <f t="shared" si="12"/>
        <v>0</v>
      </c>
      <c r="F43" s="361"/>
      <c r="G43" s="362"/>
      <c r="H43" s="189" t="s">
        <v>86</v>
      </c>
      <c r="I43" s="119">
        <f>+Report1!AH17</f>
        <v>65.8</v>
      </c>
      <c r="J43" s="134">
        <f>+I43+'8'!J43</f>
        <v>583</v>
      </c>
      <c r="K43" s="131" t="s">
        <v>76</v>
      </c>
      <c r="L43" s="425">
        <f>+Report1!AN17</f>
        <v>10.8</v>
      </c>
      <c r="M43" s="426">
        <f>+L43+'8'!M43</f>
        <v>88.800000000000011</v>
      </c>
    </row>
    <row r="44" spans="1:17" ht="17.45" customHeight="1">
      <c r="A44" s="763" t="s">
        <v>18</v>
      </c>
      <c r="B44" s="764"/>
      <c r="C44" s="165">
        <f>SUMIF($G$7:$G$31,"PLN",$F$7:$F$31)</f>
        <v>0</v>
      </c>
      <c r="D44" s="119">
        <f>+C44+'8'!D44</f>
        <v>0</v>
      </c>
      <c r="E44" s="144">
        <f t="shared" si="12"/>
        <v>0</v>
      </c>
      <c r="F44" s="361"/>
      <c r="G44" s="362"/>
      <c r="H44" s="189" t="s">
        <v>87</v>
      </c>
      <c r="I44" s="119">
        <f>I43/I38</f>
        <v>1.3188222796785118</v>
      </c>
      <c r="J44" s="135">
        <f>J43/J38</f>
        <v>1.3156617914213433</v>
      </c>
      <c r="K44" s="131" t="s">
        <v>76</v>
      </c>
      <c r="L44" s="427">
        <f>+L43/I38</f>
        <v>0.21646323131501413</v>
      </c>
      <c r="M44" s="428">
        <f>+M43/J38</f>
        <v>0.20039582689230756</v>
      </c>
    </row>
    <row r="45" spans="1:17" ht="17.45" customHeight="1">
      <c r="A45" s="763" t="s">
        <v>19</v>
      </c>
      <c r="B45" s="764"/>
      <c r="C45" s="165">
        <f>SUMIF($G$7:$G$31,"Boiler",$F$7:$F$31)</f>
        <v>0</v>
      </c>
      <c r="D45" s="119">
        <f>+C45+'8'!D45</f>
        <v>0</v>
      </c>
      <c r="E45" s="144">
        <f t="shared" si="12"/>
        <v>0</v>
      </c>
      <c r="F45" s="361"/>
      <c r="G45" s="364"/>
      <c r="H45" s="189" t="s">
        <v>88</v>
      </c>
      <c r="I45" s="119">
        <f>I43/I40</f>
        <v>1.3056850878063297</v>
      </c>
      <c r="J45" s="135">
        <f>J43/J40</f>
        <v>1.3519404867913327</v>
      </c>
      <c r="K45" s="131" t="s">
        <v>76</v>
      </c>
      <c r="L45" s="427">
        <f>+L43/I40</f>
        <v>0.21430697489830342</v>
      </c>
      <c r="M45" s="428">
        <f>+M43/J40</f>
        <v>0.20592163846838826</v>
      </c>
    </row>
    <row r="46" spans="1:17" ht="17.45" customHeight="1">
      <c r="A46" s="763" t="s">
        <v>89</v>
      </c>
      <c r="B46" s="764"/>
      <c r="C46" s="165">
        <f>SUMIF($G$7:$G$31,"Gas",$F$7:$F$31)</f>
        <v>0</v>
      </c>
      <c r="D46" s="119">
        <f>+C46+'8'!D46</f>
        <v>0</v>
      </c>
      <c r="E46" s="144">
        <f t="shared" si="12"/>
        <v>0</v>
      </c>
      <c r="F46" s="361"/>
      <c r="G46" s="362"/>
      <c r="H46" s="189" t="s">
        <v>90</v>
      </c>
      <c r="I46" s="141">
        <f>+SUMIF(Listrik!P16,"&gt;0")</f>
        <v>39197.939999999988</v>
      </c>
      <c r="J46" s="136">
        <f>+I46+'8'!J46</f>
        <v>344976.77999999997</v>
      </c>
      <c r="K46" s="131" t="s">
        <v>91</v>
      </c>
      <c r="L46" s="427">
        <f>+Listrik!AF16</f>
        <v>0</v>
      </c>
      <c r="M46" s="429">
        <f>+L46+'8'!M46</f>
        <v>0</v>
      </c>
    </row>
    <row r="47" spans="1:17" ht="17.45" customHeight="1">
      <c r="A47" s="763" t="s">
        <v>92</v>
      </c>
      <c r="B47" s="764"/>
      <c r="C47" s="165">
        <f>SUMIF($G$7:$G$31,"Gas",$F$7:$F$31)</f>
        <v>0</v>
      </c>
      <c r="D47" s="119">
        <f>+C47+'8'!D47</f>
        <v>0</v>
      </c>
      <c r="E47" s="144">
        <f t="shared" si="12"/>
        <v>0</v>
      </c>
      <c r="F47" s="361"/>
      <c r="G47" s="362"/>
      <c r="H47" s="189" t="s">
        <v>93</v>
      </c>
      <c r="I47" s="119">
        <f>I46/I38</f>
        <v>785.64006974926315</v>
      </c>
      <c r="J47" s="136">
        <f>J46/J38</f>
        <v>778.51246719308165</v>
      </c>
      <c r="K47" s="131" t="s">
        <v>25</v>
      </c>
      <c r="L47" s="427">
        <f>+L46/I38</f>
        <v>0</v>
      </c>
      <c r="M47" s="428">
        <f>+M46/J38</f>
        <v>0</v>
      </c>
    </row>
    <row r="48" spans="1:17" ht="17.45" customHeight="1">
      <c r="A48" s="763" t="s">
        <v>15</v>
      </c>
      <c r="B48" s="764"/>
      <c r="C48" s="165">
        <f>SUMIF($G$7:$G$31,"Start Up",$F$7:$F$31)</f>
        <v>0</v>
      </c>
      <c r="D48" s="119">
        <f>+C48+'8'!D48</f>
        <v>0</v>
      </c>
      <c r="E48" s="144">
        <f t="shared" si="12"/>
        <v>0</v>
      </c>
      <c r="F48" s="361"/>
      <c r="G48" s="362"/>
      <c r="H48" s="189" t="s">
        <v>94</v>
      </c>
      <c r="I48" s="119">
        <f>I46/I40</f>
        <v>777.81406885603701</v>
      </c>
      <c r="J48" s="136">
        <f>J46/J40</f>
        <v>799.97954697239527</v>
      </c>
      <c r="K48" s="131" t="s">
        <v>25</v>
      </c>
      <c r="L48" s="427">
        <f>+L46/I38</f>
        <v>0</v>
      </c>
      <c r="M48" s="428">
        <f>+M46/J40</f>
        <v>0</v>
      </c>
    </row>
    <row r="49" spans="1:13" ht="17.45" customHeight="1">
      <c r="A49" s="763" t="s">
        <v>21</v>
      </c>
      <c r="B49" s="764"/>
      <c r="C49" s="165">
        <f>SUMIF($G$7:$G$31,"Others",$F$7:$F$31)</f>
        <v>0</v>
      </c>
      <c r="D49" s="119">
        <f>+C49+'8'!D49</f>
        <v>0</v>
      </c>
      <c r="E49" s="144">
        <f t="shared" si="12"/>
        <v>0</v>
      </c>
      <c r="F49" s="186"/>
      <c r="H49" s="189" t="s">
        <v>182</v>
      </c>
      <c r="I49" s="119">
        <f>+Report1!AB17</f>
        <v>5178.5088135416127</v>
      </c>
      <c r="J49" s="136">
        <f>+I49+'8'!J49</f>
        <v>42588.525333199665</v>
      </c>
      <c r="K49" s="131" t="s">
        <v>96</v>
      </c>
      <c r="L49" s="423"/>
      <c r="M49" s="424"/>
    </row>
    <row r="50" spans="1:13" ht="17.45" customHeight="1">
      <c r="A50" s="763" t="s">
        <v>20</v>
      </c>
      <c r="B50" s="764"/>
      <c r="C50" s="165">
        <f>SUMIF($G$7:$G$31,"Steam",$F$7:$F$31)</f>
        <v>0</v>
      </c>
      <c r="D50" s="119">
        <f>+C50+'8'!D50</f>
        <v>0</v>
      </c>
      <c r="E50" s="144">
        <f t="shared" si="12"/>
        <v>0</v>
      </c>
      <c r="F50" s="186"/>
      <c r="H50" s="189" t="s">
        <v>97</v>
      </c>
      <c r="I50" s="141">
        <f>I49/I38</f>
        <v>103.79229177523125</v>
      </c>
      <c r="J50" s="134">
        <f>J49/J38</f>
        <v>96.109940881424933</v>
      </c>
      <c r="K50" s="131" t="s">
        <v>96</v>
      </c>
      <c r="L50" s="423"/>
      <c r="M50" s="424"/>
    </row>
    <row r="51" spans="1:13" ht="17.45" customHeight="1" thickBot="1">
      <c r="A51" s="765" t="s">
        <v>98</v>
      </c>
      <c r="B51" s="766"/>
      <c r="C51" s="165">
        <f>SUMIF($G$7:$G$31,"Planned shut",$F$7:$F$31)</f>
        <v>0</v>
      </c>
      <c r="D51" s="119">
        <f>+C51+'8'!D51</f>
        <v>609</v>
      </c>
      <c r="E51" s="144">
        <f t="shared" si="12"/>
        <v>10.15</v>
      </c>
      <c r="F51" s="186"/>
      <c r="H51" s="191" t="s">
        <v>99</v>
      </c>
      <c r="I51" s="142">
        <f>I49/I40</f>
        <v>102.75838502910234</v>
      </c>
      <c r="J51" s="137">
        <f>J49/J40</f>
        <v>98.760122934289811</v>
      </c>
      <c r="K51" s="138" t="s">
        <v>96</v>
      </c>
      <c r="L51" s="423"/>
      <c r="M51" s="424"/>
    </row>
    <row r="52" spans="1:13" ht="13.5" thickBot="1">
      <c r="A52" s="767" t="s">
        <v>29</v>
      </c>
      <c r="B52" s="768"/>
      <c r="C52" s="145">
        <f>SUM(C38:C51)</f>
        <v>37</v>
      </c>
      <c r="D52" s="145">
        <f>SUM(D38:D51)</f>
        <v>1159</v>
      </c>
      <c r="E52" s="146">
        <f>SUM(E38:E51)</f>
        <v>19.316666666666666</v>
      </c>
      <c r="F52" s="186"/>
      <c r="H52" s="192"/>
      <c r="I52" s="193"/>
      <c r="J52" s="139"/>
      <c r="K52" s="140"/>
      <c r="L52" s="430"/>
      <c r="M52" s="431"/>
    </row>
    <row r="53" spans="1:13" ht="13.5" thickBot="1">
      <c r="A53" s="769"/>
      <c r="B53" s="770"/>
      <c r="C53" s="147">
        <f>C52/(24*60)</f>
        <v>2.5694444444444443E-2</v>
      </c>
      <c r="D53" s="147">
        <f>D52/(24*60*G4)</f>
        <v>8.9429012345679015E-2</v>
      </c>
      <c r="E53" s="148">
        <f>E52/(G4*24)</f>
        <v>8.9429012345679015E-2</v>
      </c>
      <c r="F53" s="186"/>
    </row>
    <row r="54" spans="1:13">
      <c r="E54" s="194"/>
      <c r="F54" s="186"/>
    </row>
    <row r="55" spans="1:13">
      <c r="E55" s="194"/>
    </row>
    <row r="56" spans="1:13">
      <c r="A56" s="195" t="s">
        <v>100</v>
      </c>
      <c r="B56" s="196"/>
      <c r="C56" s="197"/>
      <c r="D56" s="197"/>
      <c r="E56" s="197"/>
      <c r="F56" s="198"/>
      <c r="G56" s="197"/>
      <c r="H56" s="199"/>
      <c r="I56" s="200" t="s">
        <v>101</v>
      </c>
      <c r="J56" s="201">
        <f>+D34+'8'!J56</f>
        <v>1796</v>
      </c>
      <c r="K56" s="202">
        <f>J56/(J40+J56/1000)/1000</f>
        <v>4.1475378035600464E-3</v>
      </c>
    </row>
    <row r="57" spans="1:13">
      <c r="A57" s="177"/>
      <c r="I57" s="200" t="s">
        <v>102</v>
      </c>
      <c r="J57" s="201">
        <f>+E34+'8'!J57</f>
        <v>0</v>
      </c>
      <c r="K57" s="202">
        <f>J57/(J40+J57/1000)/1000</f>
        <v>0</v>
      </c>
    </row>
    <row r="58" spans="1:13">
      <c r="A58" s="203"/>
      <c r="B58" s="204"/>
      <c r="F58" s="186"/>
      <c r="H58" s="205"/>
      <c r="J58" s="156">
        <f>+J56+325</f>
        <v>2121</v>
      </c>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L35:M35"/>
    <mergeCell ref="A38:B38"/>
    <mergeCell ref="A24:A32"/>
    <mergeCell ref="A7:A14"/>
    <mergeCell ref="I7:I13"/>
    <mergeCell ref="A15:A23"/>
    <mergeCell ref="I15:I22"/>
    <mergeCell ref="I24:I31"/>
    <mergeCell ref="A37:B37"/>
    <mergeCell ref="A34:B34"/>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S61"/>
  <sheetViews>
    <sheetView view="pageBreakPreview" zoomScale="80" zoomScaleNormal="75" zoomScaleSheetLayoutView="80" workbookViewId="0">
      <selection activeCell="H28" sqref="H28"/>
    </sheetView>
  </sheetViews>
  <sheetFormatPr defaultColWidth="9.140625" defaultRowHeight="12.75"/>
  <cols>
    <col min="1" max="1" width="8" style="150" customWidth="1"/>
    <col min="2" max="2" width="7" style="150" bestFit="1" customWidth="1"/>
    <col min="3" max="3" width="14.85546875" style="150" bestFit="1" customWidth="1"/>
    <col min="4" max="4" width="1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4" style="150" bestFit="1" customWidth="1"/>
    <col min="12" max="12" width="13.7109375" style="150" bestFit="1" customWidth="1"/>
    <col min="13" max="13" width="15" style="150" bestFit="1" customWidth="1"/>
    <col min="14" max="16384" width="9.140625" style="150"/>
  </cols>
  <sheetData>
    <row r="1" spans="1:19" ht="15.75">
      <c r="A1" s="149"/>
    </row>
    <row r="2" spans="1:19" ht="15.75">
      <c r="A2" s="149" t="s">
        <v>185</v>
      </c>
      <c r="N2" s="150" t="s">
        <v>522</v>
      </c>
      <c r="O2" s="150">
        <v>920</v>
      </c>
      <c r="P2" s="150">
        <f>+O2-O2*0.15</f>
        <v>782</v>
      </c>
      <c r="Q2" s="150">
        <f>60*2+40</f>
        <v>160</v>
      </c>
      <c r="R2" s="150">
        <f>+O2*Q2</f>
        <v>147200</v>
      </c>
      <c r="S2" s="150">
        <f>+P2*Q2</f>
        <v>125120</v>
      </c>
    </row>
    <row r="3" spans="1:19" ht="15">
      <c r="A3" s="151"/>
      <c r="N3" s="150" t="s">
        <v>539</v>
      </c>
      <c r="O3" s="150">
        <v>950</v>
      </c>
      <c r="P3" s="150">
        <f>+O3-O3*0.15</f>
        <v>807.5</v>
      </c>
      <c r="Q3" s="150">
        <f>480-Q2</f>
        <v>320</v>
      </c>
      <c r="R3" s="150">
        <f t="shared" ref="R3:R6" si="0">+O3*Q3</f>
        <v>304000</v>
      </c>
      <c r="S3" s="150">
        <f t="shared" ref="S3:S6" si="1">+P3*Q3</f>
        <v>258400</v>
      </c>
    </row>
    <row r="4" spans="1:19" ht="20.25">
      <c r="A4" s="152" t="s">
        <v>5</v>
      </c>
      <c r="B4" s="153"/>
      <c r="F4" s="154" t="s">
        <v>30</v>
      </c>
      <c r="G4" s="155">
        <v>8</v>
      </c>
      <c r="H4" s="155" t="str">
        <f>+'1'!H4</f>
        <v>.11.25</v>
      </c>
      <c r="J4" s="150">
        <f>402.7+386.9+395.3</f>
        <v>1184.8999999999999</v>
      </c>
      <c r="R4" s="150">
        <f t="shared" si="0"/>
        <v>0</v>
      </c>
      <c r="S4" s="150">
        <f t="shared" si="1"/>
        <v>0</v>
      </c>
    </row>
    <row r="5" spans="1:19" ht="13.5" thickBot="1">
      <c r="C5" s="156"/>
      <c r="D5" s="156"/>
      <c r="R5" s="150">
        <f t="shared" si="0"/>
        <v>0</v>
      </c>
      <c r="S5" s="150">
        <f t="shared" si="1"/>
        <v>0</v>
      </c>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R6" s="150">
        <f t="shared" si="0"/>
        <v>0</v>
      </c>
      <c r="S6" s="150">
        <f t="shared" si="1"/>
        <v>0</v>
      </c>
    </row>
    <row r="7" spans="1:19" ht="13.5" customHeight="1" thickBot="1">
      <c r="A7" s="775" t="s">
        <v>445</v>
      </c>
      <c r="B7" s="216" t="s">
        <v>528</v>
      </c>
      <c r="C7" s="217">
        <f>677+9561</f>
        <v>10238</v>
      </c>
      <c r="D7" s="218"/>
      <c r="E7" s="219"/>
      <c r="F7" s="229"/>
      <c r="G7" s="230" t="s">
        <v>13</v>
      </c>
      <c r="H7" s="231" t="s">
        <v>390</v>
      </c>
      <c r="I7" s="778" t="s">
        <v>541</v>
      </c>
      <c r="J7" s="215" t="str">
        <f>+'7'!J7</f>
        <v>T 13,5 RC HW</v>
      </c>
      <c r="K7" s="239"/>
      <c r="L7" s="243"/>
      <c r="M7" s="118">
        <f>+K7+'7'!M7+L7</f>
        <v>62583</v>
      </c>
    </row>
    <row r="8" spans="1:19" ht="13.5" thickBot="1">
      <c r="A8" s="776"/>
      <c r="B8" s="216" t="s">
        <v>556</v>
      </c>
      <c r="C8" s="217">
        <f>2700+3859</f>
        <v>6559</v>
      </c>
      <c r="D8" s="218"/>
      <c r="E8" s="220"/>
      <c r="F8" s="232">
        <v>4</v>
      </c>
      <c r="G8" s="579" t="s">
        <v>13</v>
      </c>
      <c r="H8" s="231" t="s">
        <v>424</v>
      </c>
      <c r="I8" s="779"/>
      <c r="J8" s="215" t="str">
        <f>+'7'!J8</f>
        <v>T 14 RC HW</v>
      </c>
      <c r="K8" s="240"/>
      <c r="L8" s="240"/>
      <c r="M8" s="118">
        <f>+K8+'7'!M8+L8</f>
        <v>97781</v>
      </c>
      <c r="Q8" s="150">
        <f>SUM(Q2:Q6)</f>
        <v>480</v>
      </c>
      <c r="R8" s="150">
        <f>SUM(R2:R6)</f>
        <v>451200</v>
      </c>
      <c r="S8" s="150">
        <f>SUM(S2:S6)</f>
        <v>383520</v>
      </c>
    </row>
    <row r="9" spans="1:19" ht="13.5" thickBot="1">
      <c r="A9" s="776"/>
      <c r="B9" s="216"/>
      <c r="C9" s="217"/>
      <c r="D9" s="218"/>
      <c r="E9" s="221"/>
      <c r="F9" s="229">
        <v>14</v>
      </c>
      <c r="G9" s="579" t="s">
        <v>13</v>
      </c>
      <c r="H9" s="234" t="s">
        <v>397</v>
      </c>
      <c r="I9" s="779"/>
      <c r="J9" s="215" t="str">
        <f>+'7'!J9</f>
        <v>T 15 RC HW</v>
      </c>
      <c r="K9" s="240"/>
      <c r="L9" s="240"/>
      <c r="M9" s="118">
        <f>+K9+'7'!M9+L9</f>
        <v>34238</v>
      </c>
      <c r="R9" s="150">
        <f>+R8/Q8</f>
        <v>940</v>
      </c>
      <c r="S9" s="150">
        <f>+S8/Q8</f>
        <v>799</v>
      </c>
    </row>
    <row r="10" spans="1:19" ht="26.25" thickBot="1">
      <c r="A10" s="776"/>
      <c r="B10" s="216"/>
      <c r="C10" s="217"/>
      <c r="D10" s="218"/>
      <c r="E10" s="220"/>
      <c r="F10" s="229"/>
      <c r="G10" s="238" t="s">
        <v>14</v>
      </c>
      <c r="H10" s="234" t="s">
        <v>537</v>
      </c>
      <c r="I10" s="779"/>
      <c r="J10" s="215" t="str">
        <f>+'7'!J10</f>
        <v>TW 29 RC HW</v>
      </c>
      <c r="K10" s="240"/>
      <c r="L10" s="240"/>
      <c r="M10" s="118">
        <f>+K10+'7'!M10+L10</f>
        <v>21998</v>
      </c>
      <c r="N10" s="150" t="s">
        <v>539</v>
      </c>
      <c r="O10" s="150">
        <v>950</v>
      </c>
      <c r="P10" s="150">
        <f>+O10-O10*0.15</f>
        <v>807.5</v>
      </c>
      <c r="Q10" s="150">
        <v>480</v>
      </c>
      <c r="R10" s="150">
        <f>+O10*Q10</f>
        <v>456000</v>
      </c>
      <c r="S10" s="150">
        <f>+P10*Q10</f>
        <v>387600</v>
      </c>
    </row>
    <row r="11" spans="1:19" ht="57.75" customHeight="1" thickBot="1">
      <c r="A11" s="776"/>
      <c r="B11" s="216"/>
      <c r="C11" s="217"/>
      <c r="D11" s="218"/>
      <c r="E11" s="220"/>
      <c r="F11" s="229"/>
      <c r="G11" s="233"/>
      <c r="H11" s="234" t="s">
        <v>538</v>
      </c>
      <c r="I11" s="779"/>
      <c r="J11" s="215" t="str">
        <f>+'7'!J11</f>
        <v>TW 20 RC HW</v>
      </c>
      <c r="K11" s="240"/>
      <c r="L11" s="240"/>
      <c r="M11" s="118">
        <f>+K11+'7'!M11+L11</f>
        <v>104164</v>
      </c>
      <c r="P11" s="150">
        <f>+O11-O11*0.15</f>
        <v>0</v>
      </c>
      <c r="Q11" s="150">
        <f>480-Q10</f>
        <v>0</v>
      </c>
      <c r="R11" s="150">
        <f t="shared" ref="R11:R14" si="2">+O11*Q11</f>
        <v>0</v>
      </c>
      <c r="S11" s="150">
        <f t="shared" ref="S11:S14" si="3">+P11*Q11</f>
        <v>0</v>
      </c>
    </row>
    <row r="12" spans="1:19" ht="13.5" thickBot="1">
      <c r="A12" s="776"/>
      <c r="B12" s="216"/>
      <c r="C12" s="217"/>
      <c r="D12" s="218"/>
      <c r="E12" s="220"/>
      <c r="F12" s="229"/>
      <c r="G12" s="233"/>
      <c r="H12" s="234"/>
      <c r="I12" s="779"/>
      <c r="J12" s="215" t="str">
        <f>+'7'!J12</f>
        <v>TW 19 RC HW</v>
      </c>
      <c r="K12" s="240">
        <f>+C7</f>
        <v>10238</v>
      </c>
      <c r="L12" s="240"/>
      <c r="M12" s="118">
        <f>+K12+'7'!M12+L12</f>
        <v>18863</v>
      </c>
      <c r="R12" s="150">
        <f t="shared" si="2"/>
        <v>0</v>
      </c>
      <c r="S12" s="150">
        <f t="shared" si="3"/>
        <v>0</v>
      </c>
    </row>
    <row r="13" spans="1:19" ht="13.5" thickBot="1">
      <c r="A13" s="776"/>
      <c r="B13" s="216"/>
      <c r="C13" s="217"/>
      <c r="D13" s="217"/>
      <c r="E13" s="220"/>
      <c r="F13" s="229"/>
      <c r="G13" s="233"/>
      <c r="H13" s="234"/>
      <c r="I13" s="780"/>
      <c r="J13" s="215" t="s">
        <v>556</v>
      </c>
      <c r="K13" s="240">
        <f>+C8+C16+C25</f>
        <v>41210</v>
      </c>
      <c r="L13" s="240"/>
      <c r="M13" s="118">
        <f>+K13+'7'!M13+L13</f>
        <v>41210</v>
      </c>
      <c r="R13" s="150">
        <f t="shared" si="2"/>
        <v>0</v>
      </c>
      <c r="S13" s="150">
        <f t="shared" si="3"/>
        <v>0</v>
      </c>
    </row>
    <row r="14" spans="1:19" ht="13.5" thickBot="1">
      <c r="A14" s="777"/>
      <c r="B14" s="166"/>
      <c r="C14" s="100">
        <f>SUM(C7:C13)</f>
        <v>16797</v>
      </c>
      <c r="D14" s="112">
        <f>SUM(D7:D13)</f>
        <v>0</v>
      </c>
      <c r="E14" s="113">
        <f>SUM(E5:E13)</f>
        <v>0</v>
      </c>
      <c r="F14" s="103">
        <f>SUM(F6:F13)</f>
        <v>18</v>
      </c>
      <c r="G14" s="160"/>
      <c r="H14" s="167"/>
      <c r="I14" s="168"/>
      <c r="J14" s="215">
        <f>+'7'!J14</f>
        <v>0</v>
      </c>
      <c r="K14" s="240"/>
      <c r="L14" s="240"/>
      <c r="M14" s="118">
        <f>+K14+'7'!M14+L14</f>
        <v>0</v>
      </c>
      <c r="R14" s="150">
        <f t="shared" si="2"/>
        <v>0</v>
      </c>
      <c r="S14" s="150">
        <f t="shared" si="3"/>
        <v>0</v>
      </c>
    </row>
    <row r="15" spans="1:19" ht="13.5" customHeight="1" thickBot="1">
      <c r="A15" s="775" t="s">
        <v>446</v>
      </c>
      <c r="B15" s="166"/>
      <c r="C15" s="114">
        <f>C14/($C$23+$D$23+$E$23)</f>
        <v>0.94834010840108396</v>
      </c>
      <c r="D15" s="115">
        <f>D14/($C$23+$D$23+$E$23)</f>
        <v>0</v>
      </c>
      <c r="E15" s="116">
        <f>E14/($C$23+$D$23+$E$23)</f>
        <v>0</v>
      </c>
      <c r="F15" s="229"/>
      <c r="G15" s="230" t="s">
        <v>13</v>
      </c>
      <c r="H15" s="231" t="s">
        <v>390</v>
      </c>
      <c r="I15" s="778" t="s">
        <v>540</v>
      </c>
      <c r="J15" s="215">
        <f>+'7'!J15</f>
        <v>0</v>
      </c>
      <c r="K15" s="240"/>
      <c r="L15" s="240"/>
      <c r="M15" s="118">
        <f>+K15+'7'!M15+L15</f>
        <v>0</v>
      </c>
    </row>
    <row r="16" spans="1:19" ht="13.5" thickBot="1">
      <c r="A16" s="784"/>
      <c r="B16" s="216" t="s">
        <v>556</v>
      </c>
      <c r="C16" s="223">
        <v>17712</v>
      </c>
      <c r="D16" s="224"/>
      <c r="E16" s="225"/>
      <c r="F16" s="232">
        <v>2</v>
      </c>
      <c r="G16" s="579" t="s">
        <v>13</v>
      </c>
      <c r="H16" s="231" t="s">
        <v>424</v>
      </c>
      <c r="I16" s="779"/>
      <c r="J16" s="215">
        <f>+'7'!J16</f>
        <v>0</v>
      </c>
      <c r="K16" s="240"/>
      <c r="L16" s="230"/>
      <c r="M16" s="118">
        <f>+K16+'7'!M16+L16</f>
        <v>0</v>
      </c>
      <c r="Q16" s="150">
        <f>SUM(Q10:Q14)</f>
        <v>480</v>
      </c>
      <c r="R16" s="150">
        <f>SUM(R10:R14)</f>
        <v>456000</v>
      </c>
      <c r="S16" s="150">
        <f>SUM(S10:S14)</f>
        <v>387600</v>
      </c>
    </row>
    <row r="17" spans="1:19" ht="13.5" thickBot="1">
      <c r="A17" s="784"/>
      <c r="B17" s="216"/>
      <c r="C17" s="217"/>
      <c r="D17" s="218"/>
      <c r="E17" s="226"/>
      <c r="F17" s="229">
        <v>4</v>
      </c>
      <c r="G17" s="579" t="s">
        <v>13</v>
      </c>
      <c r="H17" s="234" t="s">
        <v>425</v>
      </c>
      <c r="I17" s="779"/>
      <c r="J17" s="215">
        <f>+'7'!J17</f>
        <v>0</v>
      </c>
      <c r="K17" s="240"/>
      <c r="L17" s="230"/>
      <c r="M17" s="118">
        <f>+K17+'7'!M17+L17</f>
        <v>0</v>
      </c>
      <c r="R17" s="150">
        <f>+R16/Q16</f>
        <v>950</v>
      </c>
      <c r="S17" s="150">
        <f>+S16/Q16</f>
        <v>807.5</v>
      </c>
    </row>
    <row r="18" spans="1:19" ht="26.25" thickBot="1">
      <c r="A18" s="784"/>
      <c r="B18" s="216"/>
      <c r="C18" s="217"/>
      <c r="D18" s="218"/>
      <c r="E18" s="226"/>
      <c r="F18" s="229"/>
      <c r="G18" s="238" t="s">
        <v>14</v>
      </c>
      <c r="H18" s="234" t="s">
        <v>536</v>
      </c>
      <c r="I18" s="779"/>
      <c r="J18" s="215">
        <f>+'7'!J18</f>
        <v>0</v>
      </c>
      <c r="K18" s="240"/>
      <c r="L18" s="240"/>
      <c r="M18" s="118">
        <f>+K18+'7'!M18+L18</f>
        <v>0</v>
      </c>
    </row>
    <row r="19" spans="1:19" ht="13.5" thickBot="1">
      <c r="A19" s="784"/>
      <c r="B19" s="216"/>
      <c r="C19" s="217"/>
      <c r="D19" s="218"/>
      <c r="E19" s="226"/>
      <c r="F19" s="236"/>
      <c r="G19" s="233"/>
      <c r="H19" s="234"/>
      <c r="I19" s="779"/>
      <c r="J19" s="215">
        <f>+'7'!J19</f>
        <v>0</v>
      </c>
      <c r="K19" s="240"/>
      <c r="L19" s="240"/>
      <c r="M19" s="118">
        <f>+K19+'7'!M19+L19</f>
        <v>0</v>
      </c>
      <c r="N19" s="150" t="s">
        <v>539</v>
      </c>
      <c r="O19" s="150">
        <v>950</v>
      </c>
      <c r="P19" s="150">
        <f>+O19-O19*0.15</f>
        <v>807.5</v>
      </c>
      <c r="Q19" s="150">
        <v>480</v>
      </c>
      <c r="R19" s="150">
        <f>+O19*Q19</f>
        <v>456000</v>
      </c>
      <c r="S19" s="150">
        <f>+P19*Q19</f>
        <v>387600</v>
      </c>
    </row>
    <row r="20" spans="1:19" ht="13.5" thickBot="1">
      <c r="A20" s="784"/>
      <c r="B20" s="216"/>
      <c r="C20" s="217"/>
      <c r="D20" s="218"/>
      <c r="E20" s="226"/>
      <c r="F20" s="229"/>
      <c r="G20" s="233"/>
      <c r="H20" s="234"/>
      <c r="I20" s="779"/>
      <c r="J20" s="215">
        <f>+'7'!J20</f>
        <v>0</v>
      </c>
      <c r="K20" s="240"/>
      <c r="L20" s="241"/>
      <c r="M20" s="118">
        <f>+K20+'7'!M20+L20</f>
        <v>0</v>
      </c>
      <c r="P20" s="150">
        <f>+O20-O20*0.15</f>
        <v>0</v>
      </c>
      <c r="Q20" s="150">
        <f>480-Q19</f>
        <v>0</v>
      </c>
      <c r="R20" s="150">
        <f t="shared" ref="R20:R23" si="4">+O20*Q20</f>
        <v>0</v>
      </c>
      <c r="S20" s="150">
        <f t="shared" ref="S20:S23" si="5">+P20*Q20</f>
        <v>0</v>
      </c>
    </row>
    <row r="21" spans="1:19" ht="13.5" thickBot="1">
      <c r="A21" s="784"/>
      <c r="B21" s="216"/>
      <c r="C21" s="217"/>
      <c r="D21" s="218"/>
      <c r="E21" s="226"/>
      <c r="F21" s="232"/>
      <c r="G21" s="233"/>
      <c r="H21" s="234"/>
      <c r="I21" s="779"/>
      <c r="J21" s="215">
        <f>+'7'!J21</f>
        <v>0</v>
      </c>
      <c r="K21" s="240"/>
      <c r="L21" s="240"/>
      <c r="M21" s="118">
        <f>+K21+'7'!M21+L21</f>
        <v>0</v>
      </c>
      <c r="R21" s="150">
        <f t="shared" si="4"/>
        <v>0</v>
      </c>
      <c r="S21" s="150">
        <f t="shared" si="5"/>
        <v>0</v>
      </c>
    </row>
    <row r="22" spans="1:19" ht="13.5" thickBot="1">
      <c r="A22" s="784"/>
      <c r="B22" s="216"/>
      <c r="C22" s="217"/>
      <c r="D22" s="218"/>
      <c r="E22" s="226"/>
      <c r="F22" s="237"/>
      <c r="G22" s="233"/>
      <c r="H22" s="234"/>
      <c r="I22" s="780"/>
      <c r="J22" s="215">
        <f>+'7'!J22</f>
        <v>0</v>
      </c>
      <c r="K22" s="240"/>
      <c r="L22" s="240"/>
      <c r="M22" s="118">
        <f>+K22+'7'!M22+L22</f>
        <v>0</v>
      </c>
      <c r="R22" s="150">
        <f t="shared" si="4"/>
        <v>0</v>
      </c>
      <c r="S22" s="150">
        <f t="shared" si="5"/>
        <v>0</v>
      </c>
    </row>
    <row r="23" spans="1:19" ht="13.5" thickBot="1">
      <c r="A23" s="785"/>
      <c r="B23" s="166"/>
      <c r="C23" s="101">
        <f>SUM(C16:C22)</f>
        <v>17712</v>
      </c>
      <c r="D23" s="112">
        <f>SUM(D16:D22)</f>
        <v>0</v>
      </c>
      <c r="E23" s="113">
        <f>SUM(E18:E22)</f>
        <v>0</v>
      </c>
      <c r="F23" s="103">
        <f>SUM(F15:F22)</f>
        <v>6</v>
      </c>
      <c r="G23" s="160"/>
      <c r="H23" s="167"/>
      <c r="I23" s="170"/>
      <c r="J23" s="215">
        <f>+'7'!J23</f>
        <v>0</v>
      </c>
      <c r="K23" s="240"/>
      <c r="L23" s="240"/>
      <c r="M23" s="118">
        <f>+K23+'7'!M23+L23</f>
        <v>0</v>
      </c>
      <c r="R23" s="150">
        <f t="shared" si="4"/>
        <v>0</v>
      </c>
      <c r="S23" s="150">
        <f t="shared" si="5"/>
        <v>0</v>
      </c>
    </row>
    <row r="24" spans="1:19" ht="13.5" customHeight="1" thickBot="1">
      <c r="A24" s="775" t="s">
        <v>460</v>
      </c>
      <c r="B24" s="171"/>
      <c r="C24" s="114">
        <f>C23/($C$23+$D$23+$E$23)</f>
        <v>1</v>
      </c>
      <c r="D24" s="115">
        <f>D23/($C$23+$D$23+$E$23)</f>
        <v>0</v>
      </c>
      <c r="E24" s="116">
        <f>E23/($C$23+$D$23+$E$23)</f>
        <v>0</v>
      </c>
      <c r="F24" s="229"/>
      <c r="G24" s="230" t="s">
        <v>13</v>
      </c>
      <c r="H24" s="231" t="s">
        <v>390</v>
      </c>
      <c r="I24" s="778" t="s">
        <v>540</v>
      </c>
      <c r="J24" s="215">
        <f>+'7'!J24</f>
        <v>0</v>
      </c>
      <c r="K24" s="240"/>
      <c r="L24" s="240"/>
      <c r="M24" s="118">
        <f>+K24+'7'!M24+L24</f>
        <v>0</v>
      </c>
    </row>
    <row r="25" spans="1:19" ht="13.5" thickBot="1">
      <c r="A25" s="784"/>
      <c r="B25" s="216" t="s">
        <v>556</v>
      </c>
      <c r="C25" s="227">
        <v>16939</v>
      </c>
      <c r="D25" s="218"/>
      <c r="E25" s="226"/>
      <c r="F25" s="232">
        <v>4</v>
      </c>
      <c r="G25" s="579" t="s">
        <v>13</v>
      </c>
      <c r="H25" s="231" t="s">
        <v>429</v>
      </c>
      <c r="I25" s="779"/>
      <c r="J25" s="215">
        <f>+'7'!J25</f>
        <v>0</v>
      </c>
      <c r="K25" s="240"/>
      <c r="L25" s="240"/>
      <c r="M25" s="118">
        <f>+K25+'7'!M25+L25</f>
        <v>0</v>
      </c>
      <c r="Q25" s="150">
        <f>SUM(Q19:Q23)</f>
        <v>480</v>
      </c>
      <c r="R25" s="150">
        <f>SUM(R19:R23)</f>
        <v>456000</v>
      </c>
      <c r="S25" s="150">
        <f>SUM(S19:S23)</f>
        <v>387600</v>
      </c>
    </row>
    <row r="26" spans="1:19" ht="13.5" thickBot="1">
      <c r="A26" s="784"/>
      <c r="B26" s="216"/>
      <c r="C26" s="227"/>
      <c r="D26" s="218"/>
      <c r="E26" s="228"/>
      <c r="F26" s="229">
        <v>7</v>
      </c>
      <c r="G26" s="579" t="s">
        <v>13</v>
      </c>
      <c r="H26" s="234" t="s">
        <v>493</v>
      </c>
      <c r="I26" s="779"/>
      <c r="J26" s="215">
        <f>+'7'!J26</f>
        <v>0</v>
      </c>
      <c r="K26" s="240"/>
      <c r="L26" s="240"/>
      <c r="M26" s="118">
        <f>+K26+'7'!M26+L26</f>
        <v>0</v>
      </c>
      <c r="R26" s="150">
        <f>+R25/Q25</f>
        <v>950</v>
      </c>
      <c r="S26" s="150">
        <f>+S25/Q25</f>
        <v>807.5</v>
      </c>
    </row>
    <row r="27" spans="1:19" ht="26.25" thickBot="1">
      <c r="A27" s="784"/>
      <c r="B27" s="216"/>
      <c r="C27" s="217"/>
      <c r="D27" s="218"/>
      <c r="E27" s="226"/>
      <c r="F27" s="229">
        <v>8</v>
      </c>
      <c r="G27" s="238" t="s">
        <v>14</v>
      </c>
      <c r="H27" s="234" t="s">
        <v>534</v>
      </c>
      <c r="I27" s="779"/>
      <c r="J27" s="215">
        <f>+'7'!J27</f>
        <v>0</v>
      </c>
      <c r="K27" s="240"/>
      <c r="L27" s="240"/>
      <c r="M27" s="118">
        <f>+K27+'7'!M27+L27</f>
        <v>0</v>
      </c>
    </row>
    <row r="28" spans="1:19" ht="13.5" thickBot="1">
      <c r="A28" s="784"/>
      <c r="B28" s="216"/>
      <c r="C28" s="217"/>
      <c r="D28" s="218"/>
      <c r="E28" s="226"/>
      <c r="F28" s="232"/>
      <c r="G28" s="233"/>
      <c r="H28" s="234" t="s">
        <v>535</v>
      </c>
      <c r="I28" s="779"/>
      <c r="J28" s="215">
        <f>+'7'!J28</f>
        <v>0</v>
      </c>
      <c r="K28" s="240"/>
      <c r="L28" s="240"/>
      <c r="M28" s="118">
        <f>+K28+'7'!M28+L28</f>
        <v>0</v>
      </c>
    </row>
    <row r="29" spans="1:19" ht="13.5" thickBot="1">
      <c r="A29" s="784"/>
      <c r="B29" s="216"/>
      <c r="C29" s="217"/>
      <c r="D29" s="218"/>
      <c r="E29" s="226"/>
      <c r="F29" s="237"/>
      <c r="G29" s="233"/>
      <c r="H29" s="234"/>
      <c r="I29" s="779"/>
      <c r="J29" s="215">
        <f>+'7'!J29</f>
        <v>0</v>
      </c>
      <c r="K29" s="240"/>
      <c r="L29" s="240"/>
      <c r="M29" s="118">
        <f>+K29+'7'!M29+L29</f>
        <v>0</v>
      </c>
    </row>
    <row r="30" spans="1:19" ht="13.5" thickBot="1">
      <c r="A30" s="784"/>
      <c r="B30" s="216"/>
      <c r="C30" s="227"/>
      <c r="D30" s="218"/>
      <c r="E30" s="226"/>
      <c r="F30" s="237"/>
      <c r="G30" s="233"/>
      <c r="H30" s="234"/>
      <c r="I30" s="779"/>
      <c r="J30" s="215">
        <f>+'7'!J30</f>
        <v>0</v>
      </c>
      <c r="K30" s="240"/>
      <c r="L30" s="240"/>
      <c r="M30" s="118">
        <f>+K30+'7'!M30+L30</f>
        <v>0</v>
      </c>
      <c r="N30" s="156"/>
    </row>
    <row r="31" spans="1:19" ht="13.5" thickBot="1">
      <c r="A31" s="784"/>
      <c r="B31" s="216"/>
      <c r="C31" s="227"/>
      <c r="D31" s="218"/>
      <c r="E31" s="226"/>
      <c r="F31" s="237"/>
      <c r="G31" s="238"/>
      <c r="H31" s="235"/>
      <c r="I31" s="780"/>
      <c r="J31" s="215">
        <f>+'7'!J31</f>
        <v>0</v>
      </c>
      <c r="K31" s="240"/>
      <c r="L31" s="240"/>
      <c r="M31" s="118">
        <f>+K31+'7'!M31+L31</f>
        <v>0</v>
      </c>
      <c r="N31" s="150" t="s">
        <v>522</v>
      </c>
      <c r="O31" s="150">
        <v>920</v>
      </c>
      <c r="P31" s="150">
        <v>782</v>
      </c>
      <c r="Q31" s="150">
        <v>160</v>
      </c>
    </row>
    <row r="32" spans="1:19" ht="13.5" thickBot="1">
      <c r="A32" s="785"/>
      <c r="B32" s="166"/>
      <c r="C32" s="100">
        <f>SUM(C25:C31)</f>
        <v>16939</v>
      </c>
      <c r="D32" s="101">
        <f>SUM(D25:D31)</f>
        <v>0</v>
      </c>
      <c r="E32" s="102">
        <f>SUM(E25:E31)</f>
        <v>0</v>
      </c>
      <c r="F32" s="103">
        <f>SUM(F24:F31)</f>
        <v>19</v>
      </c>
      <c r="G32" s="172"/>
      <c r="H32" s="173"/>
      <c r="I32" s="170"/>
      <c r="J32" s="215">
        <f>+'7'!J32</f>
        <v>0</v>
      </c>
      <c r="K32" s="242"/>
      <c r="L32" s="244"/>
      <c r="M32" s="118">
        <f>+K32+'7'!M32+L32</f>
        <v>0</v>
      </c>
      <c r="N32" s="150" t="s">
        <v>539</v>
      </c>
      <c r="O32" s="150">
        <v>950</v>
      </c>
      <c r="P32" s="150">
        <v>807.5</v>
      </c>
      <c r="Q32" s="150">
        <f>320+960</f>
        <v>1280</v>
      </c>
    </row>
    <row r="33" spans="1:17" ht="13.5" thickBot="1">
      <c r="A33" s="174"/>
      <c r="B33" s="175"/>
      <c r="C33" s="104">
        <f>C32/($C$32+$D$32+$E$32)</f>
        <v>1</v>
      </c>
      <c r="D33" s="105">
        <f>D32/($C$32+$D$32+$E$32)</f>
        <v>0</v>
      </c>
      <c r="E33" s="106">
        <f>E32/($C$32+$D$32+$E$32)</f>
        <v>0</v>
      </c>
      <c r="F33" s="107"/>
      <c r="G33" s="176"/>
      <c r="H33" s="177"/>
      <c r="I33" s="178"/>
      <c r="J33" s="122"/>
      <c r="K33" s="123"/>
      <c r="L33" s="214"/>
      <c r="M33" s="120"/>
      <c r="Q33" s="150">
        <f>+Q31+Q32</f>
        <v>1440</v>
      </c>
    </row>
    <row r="34" spans="1:17" ht="13.5" thickBot="1">
      <c r="A34" s="771" t="s">
        <v>70</v>
      </c>
      <c r="B34" s="772"/>
      <c r="C34" s="108">
        <f>C14+C23+C32</f>
        <v>51448</v>
      </c>
      <c r="D34" s="108">
        <f>D14+D23+D32</f>
        <v>0</v>
      </c>
      <c r="E34" s="108">
        <f>E14+E23+E32</f>
        <v>0</v>
      </c>
      <c r="F34" s="109">
        <f>F14+F23+F32</f>
        <v>43</v>
      </c>
      <c r="H34" s="179"/>
      <c r="I34" s="179"/>
      <c r="J34" s="124" t="s">
        <v>29</v>
      </c>
      <c r="K34" s="125">
        <f>SUM(K7:K32)</f>
        <v>51448</v>
      </c>
      <c r="L34" s="213">
        <f>SUM(L7:L32)</f>
        <v>0</v>
      </c>
      <c r="M34" s="121">
        <f>SUM(M7:M32)</f>
        <v>380837</v>
      </c>
      <c r="N34" s="156"/>
    </row>
    <row r="35" spans="1:17" ht="13.5" thickBot="1">
      <c r="A35" s="180"/>
      <c r="B35" s="181"/>
      <c r="C35" s="105">
        <f>C34/($C$34+$D$34+$E$34)</f>
        <v>1</v>
      </c>
      <c r="D35" s="105">
        <f>D34/($C$34+$D$34+$E$34)</f>
        <v>0</v>
      </c>
      <c r="E35" s="110">
        <f>E34/($C$34+$D$34+$E$34)</f>
        <v>0</v>
      </c>
      <c r="K35" s="156"/>
      <c r="L35" s="762" t="s">
        <v>187</v>
      </c>
      <c r="M35" s="762"/>
    </row>
    <row r="36" spans="1:17" ht="13.5" thickBot="1">
      <c r="A36" s="179"/>
      <c r="B36" s="179"/>
      <c r="C36" s="156"/>
      <c r="D36" s="156"/>
      <c r="E36" s="156"/>
      <c r="G36" s="156"/>
      <c r="H36" s="182"/>
      <c r="I36" s="163" t="s">
        <v>41</v>
      </c>
      <c r="J36" s="163" t="s">
        <v>42</v>
      </c>
      <c r="K36" s="183"/>
      <c r="L36" s="163" t="s">
        <v>41</v>
      </c>
      <c r="M36" s="163" t="s">
        <v>42</v>
      </c>
    </row>
    <row r="37" spans="1:17" ht="17.45" customHeight="1" thickBot="1">
      <c r="A37" s="773" t="s">
        <v>71</v>
      </c>
      <c r="B37" s="774"/>
      <c r="C37" s="163" t="s">
        <v>72</v>
      </c>
      <c r="D37" s="184" t="s">
        <v>73</v>
      </c>
      <c r="E37" s="185" t="s">
        <v>74</v>
      </c>
      <c r="F37" s="361"/>
      <c r="G37" s="363"/>
      <c r="H37" s="187" t="s">
        <v>75</v>
      </c>
      <c r="I37" s="245">
        <f>(19*160+17*1280)/1440*G42*2.77*1440/1000000</f>
        <v>55.277381333333324</v>
      </c>
      <c r="J37" s="126">
        <f>+I37+'7'!J37</f>
        <v>409.66521955696288</v>
      </c>
      <c r="K37" s="127" t="s">
        <v>76</v>
      </c>
      <c r="L37" s="421"/>
      <c r="M37" s="422"/>
    </row>
    <row r="38" spans="1:17" ht="17.45" customHeight="1">
      <c r="A38" s="767" t="s">
        <v>13</v>
      </c>
      <c r="B38" s="768"/>
      <c r="C38" s="165">
        <f>SUMIF($G$7:$G$31,"Process",$F$7:$F$31)</f>
        <v>35</v>
      </c>
      <c r="D38" s="119">
        <f>+C38+'7'!D38</f>
        <v>385</v>
      </c>
      <c r="E38" s="144">
        <f t="shared" ref="E38:E51" si="6">D38/60</f>
        <v>6.416666666666667</v>
      </c>
      <c r="F38" s="361">
        <v>940</v>
      </c>
      <c r="G38" s="361">
        <v>799</v>
      </c>
      <c r="H38" s="188" t="s">
        <v>77</v>
      </c>
      <c r="I38" s="543">
        <f>7.74+10.835+17.209+17.654</f>
        <v>53.438000000000002</v>
      </c>
      <c r="J38" s="128">
        <f>+I38+'7'!J38</f>
        <v>393.23</v>
      </c>
      <c r="K38" s="129" t="s">
        <v>76</v>
      </c>
      <c r="L38" s="423"/>
      <c r="M38" s="424"/>
      <c r="N38" s="544"/>
    </row>
    <row r="39" spans="1:17" ht="17.45" customHeight="1">
      <c r="A39" s="763" t="s">
        <v>14</v>
      </c>
      <c r="B39" s="764"/>
      <c r="C39" s="165">
        <f>SUMIF($G$7:$G$31,"Cleaning",$F$7:$F$31)</f>
        <v>8</v>
      </c>
      <c r="D39" s="119">
        <f>+C39+'7'!D39</f>
        <v>128</v>
      </c>
      <c r="E39" s="144">
        <f t="shared" si="6"/>
        <v>2.1333333333333333</v>
      </c>
      <c r="F39" s="361">
        <v>950</v>
      </c>
      <c r="G39" s="361">
        <v>807.5</v>
      </c>
      <c r="H39" s="188" t="s">
        <v>78</v>
      </c>
      <c r="I39" s="143"/>
      <c r="J39" s="130">
        <f>J37/G4</f>
        <v>51.20815244462036</v>
      </c>
      <c r="K39" s="131" t="s">
        <v>76</v>
      </c>
      <c r="L39" s="423"/>
      <c r="M39" s="424"/>
    </row>
    <row r="40" spans="1:17" ht="17.45" customHeight="1">
      <c r="A40" s="763" t="s">
        <v>79</v>
      </c>
      <c r="B40" s="764"/>
      <c r="C40" s="165">
        <f>SUMIF($G$7:$G$31,"Mechanical",$F$7:$F$31)</f>
        <v>0</v>
      </c>
      <c r="D40" s="119">
        <f>+C40+'7'!D40</f>
        <v>0</v>
      </c>
      <c r="E40" s="144">
        <f t="shared" si="6"/>
        <v>0</v>
      </c>
      <c r="F40" s="361">
        <v>950</v>
      </c>
      <c r="G40" s="361">
        <v>807.5</v>
      </c>
      <c r="H40" s="188" t="s">
        <v>80</v>
      </c>
      <c r="I40" s="119">
        <f>(K34+L34)/1000</f>
        <v>51.448</v>
      </c>
      <c r="J40" s="132">
        <f>+I40+'7'!J40</f>
        <v>380.83700000000005</v>
      </c>
      <c r="K40" s="131" t="s">
        <v>76</v>
      </c>
      <c r="L40" s="423"/>
      <c r="M40" s="424"/>
    </row>
    <row r="41" spans="1:17" ht="17.45" customHeight="1">
      <c r="A41" s="763" t="s">
        <v>81</v>
      </c>
      <c r="B41" s="764"/>
      <c r="C41" s="165">
        <f>SUMIF($G$7:$G$31,"Electrical",$F$7:$F$31)</f>
        <v>0</v>
      </c>
      <c r="D41" s="119">
        <f>+C41+'7'!D41</f>
        <v>0</v>
      </c>
      <c r="E41" s="144">
        <f t="shared" si="6"/>
        <v>0</v>
      </c>
      <c r="F41" s="361"/>
      <c r="G41" s="361"/>
      <c r="H41" s="188" t="s">
        <v>82</v>
      </c>
      <c r="I41" s="143"/>
      <c r="J41" s="130">
        <f>J40/G4</f>
        <v>47.604625000000006</v>
      </c>
      <c r="K41" s="131" t="s">
        <v>76</v>
      </c>
      <c r="L41" s="423"/>
      <c r="M41" s="424"/>
    </row>
    <row r="42" spans="1:17" ht="17.45" customHeight="1">
      <c r="A42" s="763" t="s">
        <v>17</v>
      </c>
      <c r="B42" s="764"/>
      <c r="C42" s="165">
        <f>SUMIF($G$7:$G$31,"Instrument",$F$7:$F$31)</f>
        <v>0</v>
      </c>
      <c r="D42" s="119">
        <f>+C42+'7'!D42</f>
        <v>0</v>
      </c>
      <c r="E42" s="144">
        <f t="shared" si="6"/>
        <v>0</v>
      </c>
      <c r="F42" s="361">
        <f>+(F38*480+F39*480+F40*480)/1440</f>
        <v>946.66666666666663</v>
      </c>
      <c r="G42" s="361">
        <f>+(G38*480+G39*480+G40*480)/1440</f>
        <v>804.66666666666663</v>
      </c>
      <c r="H42" s="188" t="s">
        <v>83</v>
      </c>
      <c r="I42" s="247" t="s">
        <v>542</v>
      </c>
      <c r="J42" s="133"/>
      <c r="K42" s="131" t="s">
        <v>84</v>
      </c>
      <c r="L42" s="423"/>
      <c r="M42" s="424"/>
    </row>
    <row r="43" spans="1:17" ht="17.45" customHeight="1">
      <c r="A43" s="763" t="s">
        <v>202</v>
      </c>
      <c r="B43" s="764"/>
      <c r="C43" s="165">
        <f>SUMIF($G$7:$G$31,"Change Grade",$F$7:$F$31)</f>
        <v>0</v>
      </c>
      <c r="D43" s="119">
        <f>+C43+'7'!D43</f>
        <v>0</v>
      </c>
      <c r="E43" s="144">
        <f t="shared" si="6"/>
        <v>0</v>
      </c>
      <c r="F43" s="361"/>
      <c r="G43" s="362"/>
      <c r="H43" s="189" t="s">
        <v>86</v>
      </c>
      <c r="I43" s="119">
        <f>+Report1!AH16</f>
        <v>66.599999999999994</v>
      </c>
      <c r="J43" s="134">
        <f>+I43+'7'!J43</f>
        <v>517.20000000000005</v>
      </c>
      <c r="K43" s="131" t="s">
        <v>76</v>
      </c>
      <c r="L43" s="425">
        <f>+Report1!AN16</f>
        <v>10.4</v>
      </c>
      <c r="M43" s="426">
        <f>+L43+'7'!M43</f>
        <v>78.000000000000014</v>
      </c>
    </row>
    <row r="44" spans="1:17" ht="17.45" customHeight="1">
      <c r="A44" s="763" t="s">
        <v>18</v>
      </c>
      <c r="B44" s="764"/>
      <c r="C44" s="165">
        <f>SUMIF($G$7:$G$31,"PLN",$F$7:$F$31)</f>
        <v>0</v>
      </c>
      <c r="D44" s="119">
        <f>+C44+'7'!D44</f>
        <v>0</v>
      </c>
      <c r="E44" s="144">
        <f t="shared" si="6"/>
        <v>0</v>
      </c>
      <c r="F44" s="361"/>
      <c r="G44" s="362"/>
      <c r="H44" s="189" t="s">
        <v>87</v>
      </c>
      <c r="I44" s="119">
        <f>I43/I38</f>
        <v>1.2463041281485083</v>
      </c>
      <c r="J44" s="135">
        <f>J43/J38</f>
        <v>1.3152607888513084</v>
      </c>
      <c r="K44" s="131" t="s">
        <v>76</v>
      </c>
      <c r="L44" s="427">
        <f>+L43/I38</f>
        <v>0.19461806205322055</v>
      </c>
      <c r="M44" s="428">
        <f>+M43/J38</f>
        <v>0.19835719553442008</v>
      </c>
    </row>
    <row r="45" spans="1:17" ht="17.45" customHeight="1">
      <c r="A45" s="763" t="s">
        <v>19</v>
      </c>
      <c r="B45" s="764"/>
      <c r="C45" s="165">
        <f>SUMIF($G$7:$G$31,"Boiler",$F$7:$F$31)</f>
        <v>0</v>
      </c>
      <c r="D45" s="119">
        <f>+C45+'7'!D45</f>
        <v>0</v>
      </c>
      <c r="E45" s="144">
        <f t="shared" si="6"/>
        <v>0</v>
      </c>
      <c r="F45" s="361"/>
      <c r="G45" s="364"/>
      <c r="H45" s="189" t="s">
        <v>88</v>
      </c>
      <c r="I45" s="119">
        <f>I43/I40</f>
        <v>1.2945109625252682</v>
      </c>
      <c r="J45" s="135">
        <f>J43/J40</f>
        <v>1.35806132282315</v>
      </c>
      <c r="K45" s="131" t="s">
        <v>76</v>
      </c>
      <c r="L45" s="427">
        <f>+L43/I40</f>
        <v>0.2021458560099518</v>
      </c>
      <c r="M45" s="428">
        <f>+M43/J40</f>
        <v>0.20481203244432658</v>
      </c>
    </row>
    <row r="46" spans="1:17" ht="17.45" customHeight="1">
      <c r="A46" s="763" t="s">
        <v>89</v>
      </c>
      <c r="B46" s="764"/>
      <c r="C46" s="165">
        <f>SUMIF($G$7:$G$31,"Gas",$F$7:$F$31)</f>
        <v>0</v>
      </c>
      <c r="D46" s="119">
        <f>+C46+'7'!D46</f>
        <v>0</v>
      </c>
      <c r="E46" s="144">
        <f t="shared" si="6"/>
        <v>0</v>
      </c>
      <c r="F46" s="361"/>
      <c r="G46" s="362"/>
      <c r="H46" s="189" t="s">
        <v>90</v>
      </c>
      <c r="I46" s="141">
        <f>+SUMIF(Listrik!P15,"&gt;0")</f>
        <v>41738.500000000015</v>
      </c>
      <c r="J46" s="136">
        <f>+I46+'7'!J46</f>
        <v>305778.83999999997</v>
      </c>
      <c r="K46" s="131" t="s">
        <v>91</v>
      </c>
      <c r="L46" s="427">
        <f>+Listrik!AF15</f>
        <v>0</v>
      </c>
      <c r="M46" s="429">
        <f>+L46+'7'!M46</f>
        <v>0</v>
      </c>
    </row>
    <row r="47" spans="1:17" ht="17.45" customHeight="1">
      <c r="A47" s="763" t="s">
        <v>92</v>
      </c>
      <c r="B47" s="764"/>
      <c r="C47" s="165">
        <f>SUMIF($G$7:$G$31,"Gas",$F$7:$F$31)</f>
        <v>0</v>
      </c>
      <c r="D47" s="119">
        <f>+C47+'7'!D47</f>
        <v>0</v>
      </c>
      <c r="E47" s="144">
        <f t="shared" si="6"/>
        <v>0</v>
      </c>
      <c r="F47" s="361"/>
      <c r="G47" s="362"/>
      <c r="H47" s="189" t="s">
        <v>93</v>
      </c>
      <c r="I47" s="119">
        <f>I46/I38</f>
        <v>781.06403682772577</v>
      </c>
      <c r="J47" s="136">
        <f>J46/J38</f>
        <v>777.60811738677103</v>
      </c>
      <c r="K47" s="131" t="s">
        <v>25</v>
      </c>
      <c r="L47" s="427">
        <f>+L46/I38</f>
        <v>0</v>
      </c>
      <c r="M47" s="428">
        <f>+M46/J38</f>
        <v>0</v>
      </c>
    </row>
    <row r="48" spans="1:17" ht="17.45" customHeight="1">
      <c r="A48" s="763" t="s">
        <v>15</v>
      </c>
      <c r="B48" s="764"/>
      <c r="C48" s="165">
        <f>SUMIF($G$7:$G$31,"Start Up",$F$7:$F$31)</f>
        <v>0</v>
      </c>
      <c r="D48" s="119">
        <f>+C48+'7'!D48</f>
        <v>0</v>
      </c>
      <c r="E48" s="144">
        <f t="shared" si="6"/>
        <v>0</v>
      </c>
      <c r="F48" s="361"/>
      <c r="G48" s="362"/>
      <c r="H48" s="189" t="s">
        <v>94</v>
      </c>
      <c r="I48" s="119">
        <f>I46/I40</f>
        <v>811.27546260301688</v>
      </c>
      <c r="J48" s="136">
        <f>J46/J40</f>
        <v>802.91263716498111</v>
      </c>
      <c r="K48" s="131" t="s">
        <v>25</v>
      </c>
      <c r="L48" s="427">
        <f>+L46/I38</f>
        <v>0</v>
      </c>
      <c r="M48" s="428">
        <f>+M46/J40</f>
        <v>0</v>
      </c>
    </row>
    <row r="49" spans="1:13" ht="17.45" customHeight="1">
      <c r="A49" s="763" t="s">
        <v>21</v>
      </c>
      <c r="B49" s="764"/>
      <c r="C49" s="165">
        <f>SUMIF($G$7:$G$31,"Others",$F$7:$F$31)</f>
        <v>0</v>
      </c>
      <c r="D49" s="119">
        <f>+C49+'7'!D49</f>
        <v>0</v>
      </c>
      <c r="E49" s="144">
        <f t="shared" si="6"/>
        <v>0</v>
      </c>
      <c r="F49" s="186"/>
      <c r="H49" s="189" t="s">
        <v>182</v>
      </c>
      <c r="I49" s="119">
        <f>+Report1!AB16</f>
        <v>5736.9246367015885</v>
      </c>
      <c r="J49" s="136">
        <f>+I49+'7'!J49</f>
        <v>37410.016519658049</v>
      </c>
      <c r="K49" s="131" t="s">
        <v>96</v>
      </c>
      <c r="L49" s="423"/>
      <c r="M49" s="424"/>
    </row>
    <row r="50" spans="1:13" ht="17.45" customHeight="1">
      <c r="A50" s="763" t="s">
        <v>20</v>
      </c>
      <c r="B50" s="764"/>
      <c r="C50" s="165">
        <f>SUMIF($G$7:$G$31,"Steam",$F$7:$F$31)</f>
        <v>0</v>
      </c>
      <c r="D50" s="119">
        <f>+C50+'7'!D50</f>
        <v>0</v>
      </c>
      <c r="E50" s="144">
        <f t="shared" si="6"/>
        <v>0</v>
      </c>
      <c r="F50" s="186"/>
      <c r="H50" s="189" t="s">
        <v>97</v>
      </c>
      <c r="I50" s="141">
        <f>I49/I38</f>
        <v>107.35664951348457</v>
      </c>
      <c r="J50" s="134">
        <f>J49/J38</f>
        <v>95.135204637637131</v>
      </c>
      <c r="K50" s="131" t="s">
        <v>96</v>
      </c>
      <c r="L50" s="423"/>
      <c r="M50" s="424"/>
    </row>
    <row r="51" spans="1:13" ht="17.45" customHeight="1" thickBot="1">
      <c r="A51" s="765" t="s">
        <v>98</v>
      </c>
      <c r="B51" s="766"/>
      <c r="C51" s="165">
        <f>SUMIF($G$7:$G$31,"Planned shut",$F$7:$F$31)</f>
        <v>0</v>
      </c>
      <c r="D51" s="119">
        <f>+C51+'7'!D51</f>
        <v>609</v>
      </c>
      <c r="E51" s="144">
        <f t="shared" si="6"/>
        <v>10.15</v>
      </c>
      <c r="F51" s="186"/>
      <c r="H51" s="191" t="s">
        <v>99</v>
      </c>
      <c r="I51" s="142">
        <f>I49/I40</f>
        <v>111.50918668756003</v>
      </c>
      <c r="J51" s="137">
        <f>J49/J40</f>
        <v>98.231045091884567</v>
      </c>
      <c r="K51" s="138" t="s">
        <v>96</v>
      </c>
      <c r="L51" s="423"/>
      <c r="M51" s="424"/>
    </row>
    <row r="52" spans="1:13" ht="13.5" thickBot="1">
      <c r="A52" s="767" t="s">
        <v>29</v>
      </c>
      <c r="B52" s="768"/>
      <c r="C52" s="145">
        <f>SUM(C38:C51)</f>
        <v>43</v>
      </c>
      <c r="D52" s="145">
        <f>SUM(D38:D51)</f>
        <v>1122</v>
      </c>
      <c r="E52" s="146">
        <f>SUM(E38:E51)</f>
        <v>18.700000000000003</v>
      </c>
      <c r="F52" s="186"/>
      <c r="H52" s="192"/>
      <c r="I52" s="193"/>
      <c r="J52" s="139"/>
      <c r="K52" s="140"/>
      <c r="L52" s="430"/>
      <c r="M52" s="431"/>
    </row>
    <row r="53" spans="1:13" ht="13.5" thickBot="1">
      <c r="A53" s="769"/>
      <c r="B53" s="770"/>
      <c r="C53" s="147">
        <f>C52/(24*60)</f>
        <v>2.9861111111111113E-2</v>
      </c>
      <c r="D53" s="147">
        <f>D52/(24*60*G4)</f>
        <v>9.7395833333333334E-2</v>
      </c>
      <c r="E53" s="148">
        <f>E52/(G4*24)</f>
        <v>9.7395833333333348E-2</v>
      </c>
      <c r="F53" s="186"/>
    </row>
    <row r="54" spans="1:13">
      <c r="E54" s="194"/>
      <c r="F54" s="186"/>
    </row>
    <row r="55" spans="1:13">
      <c r="E55" s="194"/>
    </row>
    <row r="56" spans="1:13">
      <c r="A56" s="195" t="s">
        <v>100</v>
      </c>
      <c r="B56" s="196"/>
      <c r="C56" s="197"/>
      <c r="D56" s="197"/>
      <c r="E56" s="197"/>
      <c r="F56" s="198"/>
      <c r="G56" s="197"/>
      <c r="H56" s="199"/>
      <c r="I56" s="200" t="s">
        <v>101</v>
      </c>
      <c r="J56" s="201">
        <f>+D34+'7'!J56</f>
        <v>1796</v>
      </c>
      <c r="K56" s="202">
        <f>J56/(J40+J56/1000)/1000</f>
        <v>4.6937927465743939E-3</v>
      </c>
    </row>
    <row r="57" spans="1:13">
      <c r="A57" s="177"/>
      <c r="I57" s="200" t="s">
        <v>102</v>
      </c>
      <c r="J57" s="201">
        <f>+E34+'7'!J57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3:B53"/>
    <mergeCell ref="A37:B37"/>
    <mergeCell ref="A48:B48"/>
    <mergeCell ref="A50:B50"/>
    <mergeCell ref="A49:B49"/>
    <mergeCell ref="A52:B52"/>
    <mergeCell ref="A51:B51"/>
    <mergeCell ref="A46:B46"/>
    <mergeCell ref="A47:B47"/>
    <mergeCell ref="A42:B42"/>
    <mergeCell ref="A34:B34"/>
    <mergeCell ref="A38:B38"/>
    <mergeCell ref="A39:B39"/>
    <mergeCell ref="A7:A14"/>
    <mergeCell ref="I7:I13"/>
    <mergeCell ref="A15:A23"/>
    <mergeCell ref="I15:I22"/>
    <mergeCell ref="A24:A32"/>
    <mergeCell ref="I24:I31"/>
    <mergeCell ref="L35:M35"/>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61"/>
  <sheetViews>
    <sheetView view="pageBreakPreview" zoomScale="80" zoomScaleNormal="75"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3.28515625" style="150" bestFit="1" customWidth="1"/>
    <col min="12" max="12" width="12" style="150" bestFit="1" customWidth="1"/>
    <col min="13" max="13" width="15.5703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7</v>
      </c>
      <c r="H4" s="155" t="str">
        <f>+'1'!H4</f>
        <v>.11.25</v>
      </c>
      <c r="J4" s="150">
        <f>346.4+394.8+399.6</f>
        <v>1140.8000000000002</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488</v>
      </c>
      <c r="O6" s="150">
        <v>910</v>
      </c>
      <c r="P6" s="150">
        <f>+O6-O6*0.15</f>
        <v>773.5</v>
      </c>
      <c r="Q6" s="150">
        <v>480</v>
      </c>
      <c r="R6" s="150">
        <f>+O6*Q6</f>
        <v>436800</v>
      </c>
      <c r="S6" s="150">
        <f>+P6*Q6</f>
        <v>371280</v>
      </c>
    </row>
    <row r="7" spans="1:19" ht="13.5" customHeight="1" thickBot="1">
      <c r="A7" s="775" t="s">
        <v>445</v>
      </c>
      <c r="B7" s="216" t="s">
        <v>515</v>
      </c>
      <c r="C7" s="217">
        <v>18143</v>
      </c>
      <c r="D7" s="218"/>
      <c r="E7" s="219"/>
      <c r="F7" s="229"/>
      <c r="G7" s="230" t="s">
        <v>13</v>
      </c>
      <c r="H7" s="231" t="s">
        <v>390</v>
      </c>
      <c r="I7" s="778" t="s">
        <v>520</v>
      </c>
      <c r="J7" s="215" t="str">
        <f>+'6'!J7</f>
        <v>T 13,5 RC HW</v>
      </c>
      <c r="K7" s="239"/>
      <c r="L7" s="243"/>
      <c r="M7" s="118">
        <f>+K7+'6'!M7+L7</f>
        <v>62583</v>
      </c>
      <c r="N7" s="150" t="s">
        <v>488</v>
      </c>
      <c r="O7" s="150">
        <v>910</v>
      </c>
      <c r="P7" s="150">
        <f>+O7-O7*0.15</f>
        <v>773.5</v>
      </c>
      <c r="Q7" s="150">
        <v>480</v>
      </c>
      <c r="R7" s="150">
        <f t="shared" ref="R7:R10" si="0">+O7*Q7</f>
        <v>436800</v>
      </c>
      <c r="S7" s="150">
        <f t="shared" ref="S7:S10" si="1">+P7*Q7</f>
        <v>371280</v>
      </c>
    </row>
    <row r="8" spans="1:19" ht="13.5" thickBot="1">
      <c r="A8" s="776"/>
      <c r="B8" s="216"/>
      <c r="C8" s="217"/>
      <c r="D8" s="218"/>
      <c r="E8" s="220"/>
      <c r="F8" s="232">
        <v>6</v>
      </c>
      <c r="G8" s="579" t="s">
        <v>13</v>
      </c>
      <c r="H8" s="231" t="s">
        <v>429</v>
      </c>
      <c r="I8" s="779"/>
      <c r="J8" s="215" t="str">
        <f>+'6'!J8</f>
        <v>T 14 RC HW</v>
      </c>
      <c r="K8" s="240"/>
      <c r="L8" s="240"/>
      <c r="M8" s="118">
        <f>+K8+'6'!M8+L8</f>
        <v>97781</v>
      </c>
      <c r="R8" s="150">
        <f t="shared" si="0"/>
        <v>0</v>
      </c>
      <c r="S8" s="150">
        <f t="shared" si="1"/>
        <v>0</v>
      </c>
    </row>
    <row r="9" spans="1:19" ht="13.5" thickBot="1">
      <c r="A9" s="776"/>
      <c r="B9" s="216"/>
      <c r="C9" s="217"/>
      <c r="D9" s="218"/>
      <c r="E9" s="221"/>
      <c r="F9" s="229">
        <v>10</v>
      </c>
      <c r="G9" s="579" t="s">
        <v>13</v>
      </c>
      <c r="H9" s="234" t="s">
        <v>493</v>
      </c>
      <c r="I9" s="779"/>
      <c r="J9" s="215" t="str">
        <f>+'6'!J9</f>
        <v>T 15 RC HW</v>
      </c>
      <c r="K9" s="240"/>
      <c r="L9" s="240"/>
      <c r="M9" s="118">
        <f>+K9+'6'!M9+L9</f>
        <v>34238</v>
      </c>
      <c r="R9" s="150">
        <f t="shared" si="0"/>
        <v>0</v>
      </c>
      <c r="S9" s="150">
        <f t="shared" si="1"/>
        <v>0</v>
      </c>
    </row>
    <row r="10" spans="1:19" ht="26.25" thickBot="1">
      <c r="A10" s="776"/>
      <c r="B10" s="216"/>
      <c r="C10" s="217"/>
      <c r="D10" s="218"/>
      <c r="E10" s="220"/>
      <c r="F10" s="229"/>
      <c r="G10" s="238" t="s">
        <v>14</v>
      </c>
      <c r="H10" s="234" t="s">
        <v>519</v>
      </c>
      <c r="I10" s="779"/>
      <c r="J10" s="215" t="str">
        <f>+'6'!J10</f>
        <v>TW 29 RC HW</v>
      </c>
      <c r="K10" s="240"/>
      <c r="L10" s="240"/>
      <c r="M10" s="118">
        <f>+K10+'6'!M10+L10</f>
        <v>21998</v>
      </c>
      <c r="R10" s="150">
        <f t="shared" si="0"/>
        <v>0</v>
      </c>
      <c r="S10" s="150">
        <f t="shared" si="1"/>
        <v>0</v>
      </c>
    </row>
    <row r="11" spans="1:19" ht="13.5" thickBot="1">
      <c r="A11" s="776"/>
      <c r="B11" s="216"/>
      <c r="C11" s="217"/>
      <c r="D11" s="218"/>
      <c r="E11" s="220"/>
      <c r="F11" s="229"/>
      <c r="G11" s="233"/>
      <c r="H11" s="234"/>
      <c r="I11" s="779"/>
      <c r="J11" s="215" t="str">
        <f>+'6'!J11</f>
        <v>TW 20 RC HW</v>
      </c>
      <c r="K11" s="240">
        <f>+C7+C16+C25</f>
        <v>48045</v>
      </c>
      <c r="L11" s="240"/>
      <c r="M11" s="118">
        <f>+K11+'6'!M11+L11</f>
        <v>104164</v>
      </c>
    </row>
    <row r="12" spans="1:19" ht="13.5" thickBot="1">
      <c r="A12" s="776"/>
      <c r="B12" s="216"/>
      <c r="C12" s="217"/>
      <c r="D12" s="218"/>
      <c r="E12" s="220"/>
      <c r="F12" s="229"/>
      <c r="G12" s="233"/>
      <c r="H12" s="234"/>
      <c r="I12" s="779"/>
      <c r="J12" s="215" t="s">
        <v>528</v>
      </c>
      <c r="K12" s="240">
        <f>+C26</f>
        <v>8625</v>
      </c>
      <c r="L12" s="240"/>
      <c r="M12" s="118">
        <f>+K12+'6'!M12+L12</f>
        <v>8625</v>
      </c>
      <c r="Q12" s="150">
        <f>SUM(Q6:Q10)</f>
        <v>960</v>
      </c>
      <c r="R12" s="150">
        <f>SUM(R6:R10)</f>
        <v>873600</v>
      </c>
      <c r="S12" s="150">
        <f>SUM(S6:S10)</f>
        <v>742560</v>
      </c>
    </row>
    <row r="13" spans="1:19" ht="13.5" thickBot="1">
      <c r="A13" s="776"/>
      <c r="B13" s="216"/>
      <c r="C13" s="217"/>
      <c r="D13" s="217"/>
      <c r="E13" s="220"/>
      <c r="F13" s="229"/>
      <c r="G13" s="233"/>
      <c r="H13" s="234"/>
      <c r="I13" s="780"/>
      <c r="J13" s="215">
        <f>+'6'!J13</f>
        <v>0</v>
      </c>
      <c r="K13" s="240"/>
      <c r="L13" s="240"/>
      <c r="M13" s="118">
        <f>+K13+'6'!M13+L13</f>
        <v>0</v>
      </c>
      <c r="R13" s="150">
        <f>+R12/Q12</f>
        <v>910</v>
      </c>
      <c r="S13" s="150">
        <f>+S12/Q12</f>
        <v>773.5</v>
      </c>
    </row>
    <row r="14" spans="1:19" ht="13.5" thickBot="1">
      <c r="A14" s="777"/>
      <c r="B14" s="166"/>
      <c r="C14" s="100">
        <f>SUM(C7:C13)</f>
        <v>18143</v>
      </c>
      <c r="D14" s="112">
        <f>SUM(D7:D13)</f>
        <v>0</v>
      </c>
      <c r="E14" s="113">
        <f>SUM(E5:E13)</f>
        <v>0</v>
      </c>
      <c r="F14" s="103">
        <f>SUM(F6:F13)</f>
        <v>16</v>
      </c>
      <c r="G14" s="160"/>
      <c r="H14" s="167"/>
      <c r="I14" s="168"/>
      <c r="J14" s="215">
        <f>+'6'!J14</f>
        <v>0</v>
      </c>
      <c r="K14" s="240"/>
      <c r="L14" s="240"/>
      <c r="M14" s="118">
        <f>+K14+'6'!M14+L14</f>
        <v>0</v>
      </c>
    </row>
    <row r="15" spans="1:19" ht="13.5" customHeight="1" thickBot="1">
      <c r="A15" s="775" t="s">
        <v>446</v>
      </c>
      <c r="B15" s="166"/>
      <c r="C15" s="114">
        <f>C14/($C$23+$D$23+$E$23)</f>
        <v>0.91391295587346366</v>
      </c>
      <c r="D15" s="115">
        <f>D14/($C$23+$D$23+$E$23)</f>
        <v>0</v>
      </c>
      <c r="E15" s="116">
        <f>E14/($C$23+$D$23+$E$23)</f>
        <v>0</v>
      </c>
      <c r="F15" s="229"/>
      <c r="G15" s="230" t="s">
        <v>13</v>
      </c>
      <c r="H15" s="231" t="s">
        <v>390</v>
      </c>
      <c r="I15" s="778" t="s">
        <v>520</v>
      </c>
      <c r="J15" s="215">
        <f>+'6'!J15</f>
        <v>0</v>
      </c>
      <c r="K15" s="240"/>
      <c r="L15" s="240"/>
      <c r="M15" s="118">
        <f>+K15+'6'!M15+L15</f>
        <v>0</v>
      </c>
    </row>
    <row r="16" spans="1:19" ht="13.5" thickBot="1">
      <c r="A16" s="784"/>
      <c r="B16" s="216" t="s">
        <v>515</v>
      </c>
      <c r="C16" s="223">
        <v>19852</v>
      </c>
      <c r="D16" s="224"/>
      <c r="E16" s="225"/>
      <c r="F16" s="232">
        <v>1</v>
      </c>
      <c r="G16" s="579" t="s">
        <v>13</v>
      </c>
      <c r="H16" s="231" t="s">
        <v>424</v>
      </c>
      <c r="I16" s="779"/>
      <c r="J16" s="215">
        <f>+'6'!J16</f>
        <v>0</v>
      </c>
      <c r="K16" s="240"/>
      <c r="L16" s="240"/>
      <c r="M16" s="118">
        <f>+K16+'6'!M16+L16</f>
        <v>0</v>
      </c>
    </row>
    <row r="17" spans="1:19" ht="13.5" thickBot="1">
      <c r="A17" s="784"/>
      <c r="B17" s="216"/>
      <c r="C17" s="217"/>
      <c r="D17" s="218"/>
      <c r="E17" s="226"/>
      <c r="F17" s="229">
        <v>2</v>
      </c>
      <c r="G17" s="579" t="s">
        <v>13</v>
      </c>
      <c r="H17" s="234" t="s">
        <v>493</v>
      </c>
      <c r="I17" s="779"/>
      <c r="J17" s="215">
        <f>+'6'!J17</f>
        <v>0</v>
      </c>
      <c r="K17" s="240"/>
      <c r="L17" s="230"/>
      <c r="M17" s="118">
        <f>+K17+'6'!M17+L17</f>
        <v>0</v>
      </c>
    </row>
    <row r="18" spans="1:19" ht="26.25" thickBot="1">
      <c r="A18" s="784"/>
      <c r="B18" s="216"/>
      <c r="C18" s="217"/>
      <c r="D18" s="218"/>
      <c r="E18" s="226"/>
      <c r="F18" s="229"/>
      <c r="G18" s="238" t="s">
        <v>14</v>
      </c>
      <c r="H18" s="234" t="s">
        <v>518</v>
      </c>
      <c r="I18" s="779"/>
      <c r="J18" s="215">
        <f>+'6'!J18</f>
        <v>0</v>
      </c>
      <c r="K18" s="240"/>
      <c r="L18" s="240"/>
      <c r="M18" s="118">
        <f>+K18+'6'!M18+L18</f>
        <v>0</v>
      </c>
    </row>
    <row r="19" spans="1:19" ht="13.5" thickBot="1">
      <c r="A19" s="784"/>
      <c r="B19" s="216"/>
      <c r="C19" s="217"/>
      <c r="D19" s="218"/>
      <c r="E19" s="226"/>
      <c r="F19" s="236"/>
      <c r="G19" s="233"/>
      <c r="H19" s="234"/>
      <c r="I19" s="779"/>
      <c r="J19" s="215">
        <f>+'6'!J19</f>
        <v>0</v>
      </c>
      <c r="K19" s="240"/>
      <c r="L19" s="240"/>
      <c r="M19" s="118">
        <f>+K19+'6'!M19+L19</f>
        <v>0</v>
      </c>
    </row>
    <row r="20" spans="1:19" ht="13.5" thickBot="1">
      <c r="A20" s="784"/>
      <c r="B20" s="216"/>
      <c r="C20" s="217"/>
      <c r="D20" s="218"/>
      <c r="E20" s="226"/>
      <c r="F20" s="229"/>
      <c r="G20" s="233"/>
      <c r="H20" s="234"/>
      <c r="I20" s="779"/>
      <c r="J20" s="215">
        <f>+'6'!J20</f>
        <v>0</v>
      </c>
      <c r="K20" s="241"/>
      <c r="L20" s="241"/>
      <c r="M20" s="118">
        <f>+K20+'6'!M20+L20</f>
        <v>0</v>
      </c>
    </row>
    <row r="21" spans="1:19" ht="13.5" thickBot="1">
      <c r="A21" s="784"/>
      <c r="B21" s="216"/>
      <c r="C21" s="217"/>
      <c r="D21" s="218"/>
      <c r="E21" s="226"/>
      <c r="F21" s="232"/>
      <c r="G21" s="233"/>
      <c r="H21" s="234"/>
      <c r="I21" s="779"/>
      <c r="J21" s="215">
        <f>+'6'!J21</f>
        <v>0</v>
      </c>
      <c r="K21" s="240"/>
      <c r="L21" s="240"/>
      <c r="M21" s="118">
        <f>+K21+'6'!M21+L21</f>
        <v>0</v>
      </c>
    </row>
    <row r="22" spans="1:19" ht="13.5" thickBot="1">
      <c r="A22" s="784"/>
      <c r="B22" s="216"/>
      <c r="C22" s="217"/>
      <c r="D22" s="218"/>
      <c r="E22" s="226"/>
      <c r="F22" s="237"/>
      <c r="G22" s="233"/>
      <c r="H22" s="234"/>
      <c r="I22" s="780"/>
      <c r="J22" s="215">
        <f>+'6'!J22</f>
        <v>0</v>
      </c>
      <c r="K22" s="240"/>
      <c r="L22" s="240"/>
      <c r="M22" s="118">
        <f>+K22+'6'!M22+L22</f>
        <v>0</v>
      </c>
    </row>
    <row r="23" spans="1:19" ht="13.5" thickBot="1">
      <c r="A23" s="785"/>
      <c r="B23" s="166"/>
      <c r="C23" s="101">
        <f>SUM(C16:C22)</f>
        <v>19852</v>
      </c>
      <c r="D23" s="112">
        <f>SUM(D16:D22)</f>
        <v>0</v>
      </c>
      <c r="E23" s="113">
        <f>SUM(E18:E22)</f>
        <v>0</v>
      </c>
      <c r="F23" s="103">
        <f>SUM(F15:F22)</f>
        <v>3</v>
      </c>
      <c r="G23" s="160"/>
      <c r="H23" s="167"/>
      <c r="I23" s="170"/>
      <c r="J23" s="215">
        <f>+'6'!J23</f>
        <v>0</v>
      </c>
      <c r="K23" s="240"/>
      <c r="L23" s="240"/>
      <c r="M23" s="118">
        <f>+K23+'6'!M23+L23</f>
        <v>0</v>
      </c>
    </row>
    <row r="24" spans="1:19" ht="13.5" customHeight="1" thickBot="1">
      <c r="A24" s="775" t="s">
        <v>460</v>
      </c>
      <c r="B24" s="171"/>
      <c r="C24" s="114">
        <f>C23/($C$23+$D$23+$E$23)</f>
        <v>1</v>
      </c>
      <c r="D24" s="115">
        <f>D23/($C$23+$D$23+$E$23)</f>
        <v>0</v>
      </c>
      <c r="E24" s="116">
        <f>E23/($C$23+$D$23+$E$23)</f>
        <v>0</v>
      </c>
      <c r="F24" s="229"/>
      <c r="G24" s="230" t="s">
        <v>13</v>
      </c>
      <c r="H24" s="231" t="s">
        <v>390</v>
      </c>
      <c r="I24" s="778" t="s">
        <v>521</v>
      </c>
      <c r="J24" s="215">
        <f>+'6'!J24</f>
        <v>0</v>
      </c>
      <c r="K24" s="240"/>
      <c r="L24" s="240"/>
      <c r="M24" s="118">
        <f>+K24+'6'!M24+L24</f>
        <v>0</v>
      </c>
      <c r="N24" s="150" t="s">
        <v>488</v>
      </c>
      <c r="O24" s="150">
        <v>910</v>
      </c>
      <c r="P24" s="150">
        <f>+O24-O24*0.15</f>
        <v>773.5</v>
      </c>
      <c r="Q24" s="150">
        <f>60*2+7</f>
        <v>127</v>
      </c>
      <c r="R24" s="150">
        <f>+O24*Q24</f>
        <v>115570</v>
      </c>
      <c r="S24" s="150">
        <f>+P24*Q24</f>
        <v>98234.5</v>
      </c>
    </row>
    <row r="25" spans="1:19" ht="13.5" thickBot="1">
      <c r="A25" s="784"/>
      <c r="B25" s="216" t="s">
        <v>515</v>
      </c>
      <c r="C25" s="227">
        <v>10050</v>
      </c>
      <c r="D25" s="218"/>
      <c r="E25" s="226"/>
      <c r="F25" s="232">
        <v>2</v>
      </c>
      <c r="G25" s="579" t="s">
        <v>13</v>
      </c>
      <c r="H25" s="231" t="s">
        <v>424</v>
      </c>
      <c r="I25" s="779"/>
      <c r="J25" s="215">
        <f>+'6'!J25</f>
        <v>0</v>
      </c>
      <c r="K25" s="240"/>
      <c r="L25" s="240"/>
      <c r="M25" s="118">
        <f>+K25+'6'!M25+L25</f>
        <v>0</v>
      </c>
      <c r="N25" s="150" t="s">
        <v>522</v>
      </c>
      <c r="O25" s="150">
        <v>920</v>
      </c>
      <c r="P25" s="150">
        <f>+O25-O25*0.15</f>
        <v>782</v>
      </c>
      <c r="Q25" s="150">
        <f>480-Q24</f>
        <v>353</v>
      </c>
      <c r="R25" s="150">
        <f t="shared" ref="R25:R28" si="2">+O25*Q25</f>
        <v>324760</v>
      </c>
      <c r="S25" s="150">
        <f t="shared" ref="S25:S28" si="3">+P25*Q25</f>
        <v>276046</v>
      </c>
    </row>
    <row r="26" spans="1:19" ht="13.5" thickBot="1">
      <c r="A26" s="784"/>
      <c r="B26" s="216" t="s">
        <v>528</v>
      </c>
      <c r="C26" s="227">
        <f>562+8063</f>
        <v>8625</v>
      </c>
      <c r="D26" s="218">
        <v>938</v>
      </c>
      <c r="E26" s="228"/>
      <c r="F26" s="229">
        <v>7</v>
      </c>
      <c r="G26" s="579" t="s">
        <v>13</v>
      </c>
      <c r="H26" s="234" t="s">
        <v>425</v>
      </c>
      <c r="I26" s="779"/>
      <c r="J26" s="215">
        <f>+'6'!J26</f>
        <v>0</v>
      </c>
      <c r="K26" s="240"/>
      <c r="L26" s="240"/>
      <c r="M26" s="118">
        <f>+K26+'6'!M26+L26</f>
        <v>0</v>
      </c>
      <c r="R26" s="150">
        <f t="shared" si="2"/>
        <v>0</v>
      </c>
      <c r="S26" s="150">
        <f t="shared" si="3"/>
        <v>0</v>
      </c>
    </row>
    <row r="27" spans="1:19" ht="26.25" thickBot="1">
      <c r="A27" s="784"/>
      <c r="B27" s="216"/>
      <c r="C27" s="217"/>
      <c r="D27" s="218"/>
      <c r="E27" s="226"/>
      <c r="F27" s="229">
        <v>8</v>
      </c>
      <c r="G27" s="238" t="s">
        <v>14</v>
      </c>
      <c r="H27" s="234" t="s">
        <v>516</v>
      </c>
      <c r="I27" s="779"/>
      <c r="J27" s="215">
        <f>+'6'!J27</f>
        <v>0</v>
      </c>
      <c r="K27" s="240"/>
      <c r="L27" s="240"/>
      <c r="M27" s="118">
        <f>+K27+'6'!M27+L27</f>
        <v>0</v>
      </c>
      <c r="R27" s="150">
        <f t="shared" si="2"/>
        <v>0</v>
      </c>
      <c r="S27" s="150">
        <f t="shared" si="3"/>
        <v>0</v>
      </c>
    </row>
    <row r="28" spans="1:19" ht="13.5" thickBot="1">
      <c r="A28" s="784"/>
      <c r="B28" s="216"/>
      <c r="C28" s="217"/>
      <c r="D28" s="218"/>
      <c r="E28" s="226"/>
      <c r="F28" s="232"/>
      <c r="G28" s="233"/>
      <c r="H28" s="234" t="s">
        <v>517</v>
      </c>
      <c r="I28" s="779"/>
      <c r="J28" s="215">
        <f>+'6'!J28</f>
        <v>0</v>
      </c>
      <c r="K28" s="240"/>
      <c r="L28" s="240"/>
      <c r="M28" s="118">
        <f>+K28+'6'!M28+L28</f>
        <v>0</v>
      </c>
      <c r="R28" s="150">
        <f t="shared" si="2"/>
        <v>0</v>
      </c>
      <c r="S28" s="150">
        <f t="shared" si="3"/>
        <v>0</v>
      </c>
    </row>
    <row r="29" spans="1:19" ht="13.5" thickBot="1">
      <c r="A29" s="784"/>
      <c r="B29" s="216"/>
      <c r="C29" s="217"/>
      <c r="D29" s="218"/>
      <c r="E29" s="226"/>
      <c r="F29" s="237"/>
      <c r="G29" s="233"/>
      <c r="H29" s="234"/>
      <c r="I29" s="779"/>
      <c r="J29" s="215">
        <f>+'6'!J29</f>
        <v>0</v>
      </c>
      <c r="K29" s="240"/>
      <c r="L29" s="240"/>
      <c r="M29" s="118">
        <f>+K29+'6'!M29+L29</f>
        <v>0</v>
      </c>
    </row>
    <row r="30" spans="1:19" ht="13.5" thickBot="1">
      <c r="A30" s="784"/>
      <c r="B30" s="216"/>
      <c r="C30" s="227"/>
      <c r="D30" s="218"/>
      <c r="E30" s="226"/>
      <c r="F30" s="237"/>
      <c r="G30" s="233"/>
      <c r="H30" s="234"/>
      <c r="I30" s="779"/>
      <c r="J30" s="215">
        <f>+'6'!J30</f>
        <v>0</v>
      </c>
      <c r="K30" s="240"/>
      <c r="L30" s="240"/>
      <c r="M30" s="118">
        <f>+K30+'6'!M30+L30</f>
        <v>0</v>
      </c>
      <c r="Q30" s="150">
        <f>SUM(Q24:Q28)</f>
        <v>480</v>
      </c>
      <c r="R30" s="150">
        <f>SUM(R24:R28)</f>
        <v>440330</v>
      </c>
      <c r="S30" s="150">
        <f>SUM(S24:S28)</f>
        <v>374280.5</v>
      </c>
    </row>
    <row r="31" spans="1:19" ht="13.5" thickBot="1">
      <c r="A31" s="784"/>
      <c r="B31" s="216"/>
      <c r="C31" s="227"/>
      <c r="D31" s="218"/>
      <c r="E31" s="226"/>
      <c r="F31" s="237"/>
      <c r="G31" s="238"/>
      <c r="H31" s="235"/>
      <c r="I31" s="780"/>
      <c r="J31" s="215">
        <f>+'6'!J31</f>
        <v>0</v>
      </c>
      <c r="K31" s="240"/>
      <c r="L31" s="240"/>
      <c r="M31" s="118">
        <f>+K31+'6'!M31+L31</f>
        <v>0</v>
      </c>
      <c r="R31" s="150">
        <f>+R30/Q30</f>
        <v>917.35416666666663</v>
      </c>
      <c r="S31" s="150">
        <f>+S30/Q30</f>
        <v>779.75104166666665</v>
      </c>
    </row>
    <row r="32" spans="1:19" ht="13.5" thickBot="1">
      <c r="A32" s="785"/>
      <c r="B32" s="166"/>
      <c r="C32" s="100">
        <f>SUM(C25:C31)</f>
        <v>18675</v>
      </c>
      <c r="D32" s="101">
        <f>SUM(D25:D31)</f>
        <v>938</v>
      </c>
      <c r="E32" s="102">
        <f>SUM(E25:E31)</f>
        <v>0</v>
      </c>
      <c r="F32" s="103">
        <f>SUM(F24:F31)</f>
        <v>17</v>
      </c>
      <c r="G32" s="172"/>
      <c r="H32" s="173"/>
      <c r="I32" s="170"/>
      <c r="J32" s="215">
        <f>+'6'!J32</f>
        <v>0</v>
      </c>
      <c r="K32" s="242"/>
      <c r="L32" s="244"/>
      <c r="M32" s="118">
        <f>+K32+'6'!M32+L32</f>
        <v>0</v>
      </c>
    </row>
    <row r="33" spans="1:17" ht="13.5" thickBot="1">
      <c r="A33" s="174"/>
      <c r="B33" s="175"/>
      <c r="C33" s="104">
        <f>C32/($C$32+$D$32+$E$32)</f>
        <v>0.9521745780859634</v>
      </c>
      <c r="D33" s="105">
        <f>D32/($C$32+$D$32+$E$32)</f>
        <v>4.782542191403661E-2</v>
      </c>
      <c r="E33" s="106">
        <f>E32/($C$32+$D$32+$E$32)</f>
        <v>0</v>
      </c>
      <c r="F33" s="107"/>
      <c r="G33" s="176"/>
      <c r="H33" s="177"/>
      <c r="I33" s="178"/>
      <c r="J33" s="122"/>
      <c r="K33" s="123"/>
      <c r="L33" s="214"/>
      <c r="M33" s="120"/>
    </row>
    <row r="34" spans="1:17" ht="13.5" thickBot="1">
      <c r="A34" s="771" t="s">
        <v>70</v>
      </c>
      <c r="B34" s="772"/>
      <c r="C34" s="108">
        <f>C14+C23+C32</f>
        <v>56670</v>
      </c>
      <c r="D34" s="108">
        <f>D14+D23+D32</f>
        <v>938</v>
      </c>
      <c r="E34" s="108">
        <f>E14+E23+E32</f>
        <v>0</v>
      </c>
      <c r="F34" s="109">
        <f>F14+F23+F32</f>
        <v>36</v>
      </c>
      <c r="H34" s="179"/>
      <c r="I34" s="179"/>
      <c r="J34" s="124" t="s">
        <v>29</v>
      </c>
      <c r="K34" s="125">
        <f>SUM(K7:K32)</f>
        <v>56670</v>
      </c>
      <c r="L34" s="213">
        <f>SUM(L7:L32)</f>
        <v>0</v>
      </c>
      <c r="M34" s="121">
        <f>SUM(M7:M32)</f>
        <v>329389</v>
      </c>
      <c r="N34" s="156"/>
    </row>
    <row r="35" spans="1:17" ht="13.5" thickBot="1">
      <c r="A35" s="180"/>
      <c r="B35" s="181"/>
      <c r="C35" s="105">
        <f>C34/($C$34+$D$34+$E$34)</f>
        <v>0.98371753923066241</v>
      </c>
      <c r="D35" s="105">
        <f>D34/($C$34+$D$34+$E$34)</f>
        <v>1.6282460769337592E-2</v>
      </c>
      <c r="E35" s="110">
        <f>E34/($C$34+$D$34+$E$34)</f>
        <v>0</v>
      </c>
      <c r="K35" s="156"/>
      <c r="L35" s="762" t="s">
        <v>187</v>
      </c>
      <c r="M35" s="762"/>
    </row>
    <row r="36" spans="1:17" ht="13.5" thickBot="1">
      <c r="A36" s="179"/>
      <c r="B36" s="179"/>
      <c r="C36" s="156"/>
      <c r="D36" s="156"/>
      <c r="E36" s="156"/>
      <c r="G36" s="156"/>
      <c r="H36" s="182"/>
      <c r="I36" s="163" t="s">
        <v>41</v>
      </c>
      <c r="J36" s="163" t="s">
        <v>42</v>
      </c>
      <c r="K36" s="183"/>
      <c r="L36" s="163" t="s">
        <v>41</v>
      </c>
      <c r="M36" s="163" t="s">
        <v>42</v>
      </c>
      <c r="N36" s="150" t="s">
        <v>488</v>
      </c>
      <c r="O36" s="150">
        <v>910</v>
      </c>
      <c r="P36" s="150">
        <v>773.5</v>
      </c>
      <c r="Q36" s="150">
        <f>480+480+127</f>
        <v>1087</v>
      </c>
    </row>
    <row r="37" spans="1:17" ht="17.45" customHeight="1" thickBot="1">
      <c r="A37" s="773" t="s">
        <v>71</v>
      </c>
      <c r="B37" s="774"/>
      <c r="C37" s="163" t="s">
        <v>72</v>
      </c>
      <c r="D37" s="184" t="s">
        <v>73</v>
      </c>
      <c r="E37" s="185" t="s">
        <v>74</v>
      </c>
      <c r="F37" s="361"/>
      <c r="G37" s="363"/>
      <c r="H37" s="187" t="s">
        <v>75</v>
      </c>
      <c r="I37" s="245">
        <f>(20*1087+19*353)/1440*G42*2.77*1440/1000000</f>
        <v>61.114590221315972</v>
      </c>
      <c r="J37" s="126">
        <f>+I37+'6'!J37</f>
        <v>354.38783822362956</v>
      </c>
      <c r="K37" s="127" t="s">
        <v>76</v>
      </c>
      <c r="L37" s="421"/>
      <c r="M37" s="422"/>
      <c r="N37" s="150" t="s">
        <v>522</v>
      </c>
      <c r="O37" s="150">
        <v>920</v>
      </c>
      <c r="P37" s="150">
        <v>782</v>
      </c>
      <c r="Q37" s="150">
        <v>353</v>
      </c>
    </row>
    <row r="38" spans="1:17" ht="17.45" customHeight="1">
      <c r="A38" s="767" t="s">
        <v>13</v>
      </c>
      <c r="B38" s="768"/>
      <c r="C38" s="165">
        <f>SUMIF($G$7:$G$31,"Process",$F$7:$F$31)</f>
        <v>28</v>
      </c>
      <c r="D38" s="119">
        <f>+C38+'6'!D38</f>
        <v>350</v>
      </c>
      <c r="E38" s="144">
        <f t="shared" ref="E38:E51" si="4">D38/60</f>
        <v>5.833333333333333</v>
      </c>
      <c r="F38" s="361">
        <v>910</v>
      </c>
      <c r="G38" s="361">
        <v>773.5</v>
      </c>
      <c r="H38" s="188" t="s">
        <v>77</v>
      </c>
      <c r="I38" s="543">
        <f>17.794+21.034+19.605</f>
        <v>58.433000000000007</v>
      </c>
      <c r="J38" s="128">
        <f>+I38+'6'!J38</f>
        <v>339.79200000000003</v>
      </c>
      <c r="K38" s="129" t="s">
        <v>76</v>
      </c>
      <c r="L38" s="423"/>
      <c r="M38" s="424"/>
      <c r="O38" s="544"/>
      <c r="Q38" s="150">
        <f>+Q36+Q37</f>
        <v>1440</v>
      </c>
    </row>
    <row r="39" spans="1:17" ht="17.45" customHeight="1">
      <c r="A39" s="763" t="s">
        <v>14</v>
      </c>
      <c r="B39" s="764"/>
      <c r="C39" s="165">
        <f>SUMIF($G$7:$G$31,"Cleaning",$F$7:$F$31)</f>
        <v>8</v>
      </c>
      <c r="D39" s="119">
        <f>+C39+'6'!D39</f>
        <v>120</v>
      </c>
      <c r="E39" s="144">
        <f t="shared" si="4"/>
        <v>2</v>
      </c>
      <c r="F39" s="361">
        <v>910</v>
      </c>
      <c r="G39" s="361">
        <v>773.5</v>
      </c>
      <c r="H39" s="188" t="s">
        <v>78</v>
      </c>
      <c r="I39" s="143"/>
      <c r="J39" s="130">
        <f>J37/G4</f>
        <v>50.626834031947077</v>
      </c>
      <c r="K39" s="131" t="s">
        <v>76</v>
      </c>
      <c r="L39" s="423"/>
      <c r="M39" s="424"/>
    </row>
    <row r="40" spans="1:17" ht="17.45" customHeight="1">
      <c r="A40" s="763" t="s">
        <v>79</v>
      </c>
      <c r="B40" s="764"/>
      <c r="C40" s="165">
        <f>SUMIF($G$7:$G$31,"Mechanical",$F$7:$F$31)</f>
        <v>0</v>
      </c>
      <c r="D40" s="119">
        <f>+C40+'6'!D40</f>
        <v>0</v>
      </c>
      <c r="E40" s="144">
        <f t="shared" si="4"/>
        <v>0</v>
      </c>
      <c r="F40" s="361">
        <v>917.35416666666663</v>
      </c>
      <c r="G40" s="361">
        <v>779.75104166666665</v>
      </c>
      <c r="H40" s="188" t="s">
        <v>80</v>
      </c>
      <c r="I40" s="119">
        <f>(K34+L34)/1000</f>
        <v>56.67</v>
      </c>
      <c r="J40" s="132">
        <f>+I40+'6'!J40</f>
        <v>329.38900000000007</v>
      </c>
      <c r="K40" s="131" t="s">
        <v>76</v>
      </c>
      <c r="L40" s="423"/>
      <c r="M40" s="424"/>
    </row>
    <row r="41" spans="1:17" ht="17.45" customHeight="1">
      <c r="A41" s="763" t="s">
        <v>81</v>
      </c>
      <c r="B41" s="764"/>
      <c r="C41" s="165">
        <f>SUMIF($G$7:$G$31,"Electrical",$F$7:$F$31)</f>
        <v>0</v>
      </c>
      <c r="D41" s="119">
        <f>+C41+'6'!D41</f>
        <v>0</v>
      </c>
      <c r="E41" s="144">
        <f t="shared" si="4"/>
        <v>0</v>
      </c>
      <c r="F41" s="361"/>
      <c r="G41" s="361"/>
      <c r="H41" s="188" t="s">
        <v>82</v>
      </c>
      <c r="I41" s="143"/>
      <c r="J41" s="130">
        <f>J40/G4</f>
        <v>47.05557142857144</v>
      </c>
      <c r="K41" s="131" t="s">
        <v>76</v>
      </c>
      <c r="L41" s="423"/>
      <c r="M41" s="424"/>
    </row>
    <row r="42" spans="1:17" ht="17.45" customHeight="1">
      <c r="A42" s="763" t="s">
        <v>17</v>
      </c>
      <c r="B42" s="764"/>
      <c r="C42" s="165">
        <f>SUMIF($G$7:$G$31,"Instrument",$F$7:$F$31)</f>
        <v>0</v>
      </c>
      <c r="D42" s="119">
        <f>+C42+'6'!D42</f>
        <v>0</v>
      </c>
      <c r="E42" s="144">
        <f t="shared" si="4"/>
        <v>0</v>
      </c>
      <c r="F42" s="361">
        <f>+(F38*480+F39*480+F40*480)/1440</f>
        <v>912.45138888888891</v>
      </c>
      <c r="G42" s="361">
        <f>+(G38*480+G39*480+G40*480)/1440</f>
        <v>775.58368055555559</v>
      </c>
      <c r="H42" s="188" t="s">
        <v>83</v>
      </c>
      <c r="I42" s="247" t="s">
        <v>523</v>
      </c>
      <c r="J42" s="133"/>
      <c r="K42" s="131" t="s">
        <v>84</v>
      </c>
      <c r="L42" s="423"/>
      <c r="M42" s="424"/>
    </row>
    <row r="43" spans="1:17" ht="17.45" customHeight="1">
      <c r="A43" s="763" t="s">
        <v>202</v>
      </c>
      <c r="B43" s="764"/>
      <c r="C43" s="165">
        <f>SUMIF($G$7:$G$31,"Change Grade",$F$7:$F$31)</f>
        <v>0</v>
      </c>
      <c r="D43" s="119">
        <f>+C43+'6'!D43</f>
        <v>0</v>
      </c>
      <c r="E43" s="144">
        <f t="shared" si="4"/>
        <v>0</v>
      </c>
      <c r="F43" s="361"/>
      <c r="G43" s="362"/>
      <c r="H43" s="189" t="s">
        <v>86</v>
      </c>
      <c r="I43" s="119">
        <f>+Report1!AH15</f>
        <v>66.099999999999994</v>
      </c>
      <c r="J43" s="134">
        <f>+I43+'6'!J43</f>
        <v>450.6</v>
      </c>
      <c r="K43" s="131" t="s">
        <v>76</v>
      </c>
      <c r="L43" s="425">
        <f>+Report1!AN15</f>
        <v>10.8</v>
      </c>
      <c r="M43" s="426">
        <f>+L43+'6'!M43</f>
        <v>67.600000000000009</v>
      </c>
    </row>
    <row r="44" spans="1:17" ht="17.45" customHeight="1">
      <c r="A44" s="763" t="s">
        <v>18</v>
      </c>
      <c r="B44" s="764"/>
      <c r="C44" s="165">
        <f>SUMIF($G$7:$G$31,"PLN",$F$7:$F$31)</f>
        <v>0</v>
      </c>
      <c r="D44" s="119">
        <f>+C44+'6'!D44</f>
        <v>0</v>
      </c>
      <c r="E44" s="144">
        <f t="shared" si="4"/>
        <v>0</v>
      </c>
      <c r="F44" s="361"/>
      <c r="G44" s="362"/>
      <c r="H44" s="189" t="s">
        <v>87</v>
      </c>
      <c r="I44" s="119">
        <f>I43/I38</f>
        <v>1.1312101038796567</v>
      </c>
      <c r="J44" s="135">
        <f>J43/J38</f>
        <v>1.3261053821161179</v>
      </c>
      <c r="K44" s="131" t="s">
        <v>76</v>
      </c>
      <c r="L44" s="427">
        <f>+L43/I38</f>
        <v>0.18482706689713005</v>
      </c>
      <c r="M44" s="428">
        <f>+M43/J38</f>
        <v>0.19894523708621745</v>
      </c>
    </row>
    <row r="45" spans="1:17" ht="17.45" customHeight="1">
      <c r="A45" s="763" t="s">
        <v>19</v>
      </c>
      <c r="B45" s="764"/>
      <c r="C45" s="165">
        <f>SUMIF($G$7:$G$31,"Boiler",$F$7:$F$31)</f>
        <v>0</v>
      </c>
      <c r="D45" s="119">
        <f>+C45+'6'!D45</f>
        <v>0</v>
      </c>
      <c r="E45" s="144">
        <f t="shared" si="4"/>
        <v>0</v>
      </c>
      <c r="F45" s="361"/>
      <c r="G45" s="364"/>
      <c r="H45" s="189" t="s">
        <v>88</v>
      </c>
      <c r="I45" s="119">
        <f>I43/I40</f>
        <v>1.1664019763543321</v>
      </c>
      <c r="J45" s="135">
        <f>J43/J40</f>
        <v>1.3679873948431791</v>
      </c>
      <c r="K45" s="131" t="s">
        <v>76</v>
      </c>
      <c r="L45" s="427">
        <f>+L43/I40</f>
        <v>0.19057702488088937</v>
      </c>
      <c r="M45" s="428">
        <f>+M43/J40</f>
        <v>0.20522846846737441</v>
      </c>
    </row>
    <row r="46" spans="1:17" ht="17.45" customHeight="1">
      <c r="A46" s="763" t="s">
        <v>89</v>
      </c>
      <c r="B46" s="764"/>
      <c r="C46" s="165">
        <f>SUMIF($G$7:$G$31,"Gas",$F$7:$F$31)</f>
        <v>0</v>
      </c>
      <c r="D46" s="119">
        <f>+C46+'6'!D46</f>
        <v>0</v>
      </c>
      <c r="E46" s="144">
        <f t="shared" si="4"/>
        <v>0</v>
      </c>
      <c r="F46" s="361"/>
      <c r="G46" s="362"/>
      <c r="H46" s="189" t="s">
        <v>90</v>
      </c>
      <c r="I46" s="141">
        <f>+SUMIF(Listrik!P14,"&gt;0")</f>
        <v>37846.100000000028</v>
      </c>
      <c r="J46" s="136">
        <f>+I46+'6'!J46</f>
        <v>264040.33999999997</v>
      </c>
      <c r="K46" s="131" t="s">
        <v>91</v>
      </c>
      <c r="L46" s="427">
        <f>+Listrik!AF14</f>
        <v>0</v>
      </c>
      <c r="M46" s="429">
        <f>+L46+'6'!M46</f>
        <v>0</v>
      </c>
    </row>
    <row r="47" spans="1:17" ht="17.45" customHeight="1">
      <c r="A47" s="763" t="s">
        <v>92</v>
      </c>
      <c r="B47" s="764"/>
      <c r="C47" s="165">
        <f>SUMIF($G$7:$G$31,"Gas",$F$7:$F$31)</f>
        <v>0</v>
      </c>
      <c r="D47" s="119">
        <f>+C47+'6'!D47</f>
        <v>0</v>
      </c>
      <c r="E47" s="144">
        <f t="shared" si="4"/>
        <v>0</v>
      </c>
      <c r="F47" s="361"/>
      <c r="G47" s="362"/>
      <c r="H47" s="189" t="s">
        <v>93</v>
      </c>
      <c r="I47" s="119">
        <f>I46/I38</f>
        <v>647.68367189772937</v>
      </c>
      <c r="J47" s="136">
        <f>J46/J38</f>
        <v>777.06461600037653</v>
      </c>
      <c r="K47" s="131" t="s">
        <v>25</v>
      </c>
      <c r="L47" s="427">
        <f>+L46/I38</f>
        <v>0</v>
      </c>
      <c r="M47" s="428">
        <f>+M46/J38</f>
        <v>0</v>
      </c>
    </row>
    <row r="48" spans="1:17" ht="17.45" customHeight="1">
      <c r="A48" s="763" t="s">
        <v>15</v>
      </c>
      <c r="B48" s="764"/>
      <c r="C48" s="165">
        <f>SUMIF($G$7:$G$31,"Start Up",$F$7:$F$31)</f>
        <v>0</v>
      </c>
      <c r="D48" s="119">
        <f>+C48+'6'!D48</f>
        <v>0</v>
      </c>
      <c r="E48" s="144">
        <f t="shared" si="4"/>
        <v>0</v>
      </c>
      <c r="F48" s="361"/>
      <c r="G48" s="362"/>
      <c r="H48" s="189" t="s">
        <v>94</v>
      </c>
      <c r="I48" s="119">
        <f>I46/I40</f>
        <v>667.83306864302142</v>
      </c>
      <c r="J48" s="136">
        <f>J46/J40</f>
        <v>801.60642887285223</v>
      </c>
      <c r="K48" s="131" t="s">
        <v>25</v>
      </c>
      <c r="L48" s="427">
        <f>+L46/I38</f>
        <v>0</v>
      </c>
      <c r="M48" s="428">
        <f>+M46/J40</f>
        <v>0</v>
      </c>
    </row>
    <row r="49" spans="1:13" ht="17.45" customHeight="1">
      <c r="A49" s="763" t="s">
        <v>21</v>
      </c>
      <c r="B49" s="764"/>
      <c r="C49" s="165">
        <f>SUMIF($G$7:$G$31,"Others",$F$7:$F$31)</f>
        <v>0</v>
      </c>
      <c r="D49" s="119">
        <f>+C49+'6'!D49</f>
        <v>0</v>
      </c>
      <c r="E49" s="144">
        <f t="shared" si="4"/>
        <v>0</v>
      </c>
      <c r="F49" s="186"/>
      <c r="H49" s="189" t="s">
        <v>182</v>
      </c>
      <c r="I49" s="119">
        <f>+Report1!AB15</f>
        <v>5630.8734756244048</v>
      </c>
      <c r="J49" s="136">
        <f>+I49+'6'!J49</f>
        <v>31673.091882956458</v>
      </c>
      <c r="K49" s="131" t="s">
        <v>96</v>
      </c>
      <c r="L49" s="423"/>
      <c r="M49" s="424"/>
    </row>
    <row r="50" spans="1:13" ht="17.45" customHeight="1">
      <c r="A50" s="763" t="s">
        <v>20</v>
      </c>
      <c r="B50" s="764"/>
      <c r="C50" s="165">
        <f>SUMIF($G$7:$G$31,"Steam",$F$7:$F$31)</f>
        <v>0</v>
      </c>
      <c r="D50" s="119">
        <f>+C50+'6'!D50</f>
        <v>0</v>
      </c>
      <c r="E50" s="144">
        <f t="shared" si="4"/>
        <v>0</v>
      </c>
      <c r="F50" s="186"/>
      <c r="H50" s="189" t="s">
        <v>97</v>
      </c>
      <c r="I50" s="141">
        <f>I49/I38</f>
        <v>96.364613756343232</v>
      </c>
      <c r="J50" s="134">
        <f>J49/J38</f>
        <v>93.213177128821329</v>
      </c>
      <c r="K50" s="131" t="s">
        <v>96</v>
      </c>
      <c r="L50" s="423"/>
      <c r="M50" s="424"/>
    </row>
    <row r="51" spans="1:13" ht="17.45" customHeight="1" thickBot="1">
      <c r="A51" s="765" t="s">
        <v>98</v>
      </c>
      <c r="B51" s="766"/>
      <c r="C51" s="165">
        <f>SUMIF($G$7:$G$31,"Planned shut",$F$7:$F$31)</f>
        <v>0</v>
      </c>
      <c r="D51" s="119">
        <f>+C51+'6'!D51</f>
        <v>609</v>
      </c>
      <c r="E51" s="144">
        <f t="shared" si="4"/>
        <v>10.15</v>
      </c>
      <c r="F51" s="186"/>
      <c r="H51" s="191" t="s">
        <v>99</v>
      </c>
      <c r="I51" s="142">
        <f>I49/I40</f>
        <v>99.362510598630749</v>
      </c>
      <c r="J51" s="137">
        <f>J49/J40</f>
        <v>96.157102644461261</v>
      </c>
      <c r="K51" s="138" t="s">
        <v>96</v>
      </c>
      <c r="L51" s="423"/>
      <c r="M51" s="424"/>
    </row>
    <row r="52" spans="1:13" ht="13.5" thickBot="1">
      <c r="A52" s="767" t="s">
        <v>29</v>
      </c>
      <c r="B52" s="768"/>
      <c r="C52" s="145">
        <f>SUM(C38:C51)</f>
        <v>36</v>
      </c>
      <c r="D52" s="145">
        <f>SUM(D38:D51)</f>
        <v>1079</v>
      </c>
      <c r="E52" s="146">
        <f>SUM(E38:E51)</f>
        <v>17.983333333333334</v>
      </c>
      <c r="F52" s="186"/>
      <c r="H52" s="192"/>
      <c r="I52" s="193"/>
      <c r="J52" s="139"/>
      <c r="K52" s="140"/>
      <c r="L52" s="430"/>
      <c r="M52" s="431"/>
    </row>
    <row r="53" spans="1:13" ht="13.5" thickBot="1">
      <c r="A53" s="769"/>
      <c r="B53" s="770"/>
      <c r="C53" s="147">
        <f>C52/(24*60)</f>
        <v>2.5000000000000001E-2</v>
      </c>
      <c r="D53" s="147">
        <f>D52/(24*60*G4)</f>
        <v>0.10704365079365079</v>
      </c>
      <c r="E53" s="148">
        <f>E52/(G4*24)</f>
        <v>0.1070436507936508</v>
      </c>
      <c r="F53" s="186"/>
    </row>
    <row r="54" spans="1:13">
      <c r="E54" s="194"/>
      <c r="F54" s="186"/>
    </row>
    <row r="55" spans="1:13">
      <c r="E55" s="194"/>
    </row>
    <row r="56" spans="1:13">
      <c r="A56" s="195" t="s">
        <v>100</v>
      </c>
      <c r="B56" s="196"/>
      <c r="C56" s="197"/>
      <c r="D56" s="197"/>
      <c r="E56" s="197"/>
      <c r="F56" s="198"/>
      <c r="G56" s="197"/>
      <c r="H56" s="199"/>
      <c r="I56" s="200" t="s">
        <v>101</v>
      </c>
      <c r="J56" s="201">
        <f>+D34+'6'!J56</f>
        <v>1796</v>
      </c>
      <c r="K56" s="202">
        <f>J56/(J40+J56/1000)/1000</f>
        <v>5.4229509186708331E-3</v>
      </c>
    </row>
    <row r="57" spans="1:13">
      <c r="A57" s="177"/>
      <c r="I57" s="200" t="s">
        <v>102</v>
      </c>
      <c r="J57" s="201">
        <f>+E34+'6'!J57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S61"/>
  <sheetViews>
    <sheetView view="pageBreakPreview" zoomScale="80" zoomScaleNormal="75"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2.85546875" style="150" bestFit="1" customWidth="1"/>
    <col min="12" max="12" width="8.28515625" style="150" customWidth="1"/>
    <col min="13" max="13" width="14.5703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6</v>
      </c>
      <c r="H4" s="155" t="str">
        <f>+'1'!H4</f>
        <v>.11.25</v>
      </c>
      <c r="J4" s="150">
        <f>336.9+330.3+419.1</f>
        <v>1086.3000000000002</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488</v>
      </c>
      <c r="O6" s="150">
        <v>850</v>
      </c>
      <c r="P6" s="150">
        <f>+O6-O6*0.15</f>
        <v>722.5</v>
      </c>
      <c r="Q6" s="150">
        <v>240</v>
      </c>
      <c r="R6" s="150">
        <f>+O6*Q6</f>
        <v>204000</v>
      </c>
      <c r="S6" s="150">
        <f>+P6*Q6</f>
        <v>173400</v>
      </c>
    </row>
    <row r="7" spans="1:19" ht="13.5" customHeight="1" thickBot="1">
      <c r="A7" s="775" t="s">
        <v>444</v>
      </c>
      <c r="B7" s="216" t="s">
        <v>515</v>
      </c>
      <c r="C7" s="217">
        <v>17646</v>
      </c>
      <c r="D7" s="218"/>
      <c r="E7" s="219"/>
      <c r="F7" s="229"/>
      <c r="G7" s="230" t="s">
        <v>13</v>
      </c>
      <c r="H7" s="231" t="s">
        <v>390</v>
      </c>
      <c r="I7" s="778" t="s">
        <v>510</v>
      </c>
      <c r="J7" s="215" t="str">
        <f>+'5'!J7</f>
        <v>T 13,5 RC HW</v>
      </c>
      <c r="K7" s="239"/>
      <c r="L7" s="243"/>
      <c r="M7" s="118">
        <f>+K7+'5'!M7+L7</f>
        <v>62583</v>
      </c>
      <c r="O7" s="150">
        <v>890</v>
      </c>
      <c r="P7" s="150">
        <f>+O7-O7*0.15</f>
        <v>756.5</v>
      </c>
      <c r="Q7" s="150">
        <v>240</v>
      </c>
      <c r="R7" s="150">
        <f t="shared" ref="R7:R10" si="0">+O7*Q7</f>
        <v>213600</v>
      </c>
      <c r="S7" s="150">
        <f t="shared" ref="S7:S10" si="1">+P7*Q7</f>
        <v>181560</v>
      </c>
    </row>
    <row r="8" spans="1:19" ht="13.5" thickBot="1">
      <c r="A8" s="776"/>
      <c r="B8" s="216"/>
      <c r="C8" s="217"/>
      <c r="D8" s="218"/>
      <c r="E8" s="220"/>
      <c r="F8" s="232">
        <v>2</v>
      </c>
      <c r="G8" s="579" t="s">
        <v>13</v>
      </c>
      <c r="H8" s="231" t="s">
        <v>424</v>
      </c>
      <c r="I8" s="779"/>
      <c r="J8" s="215" t="str">
        <f>+'5'!J8</f>
        <v>T 14 RC HW</v>
      </c>
      <c r="K8" s="240"/>
      <c r="L8" s="240"/>
      <c r="M8" s="118">
        <f>+K8+'5'!M8+L8</f>
        <v>97781</v>
      </c>
      <c r="R8" s="150">
        <f t="shared" si="0"/>
        <v>0</v>
      </c>
      <c r="S8" s="150">
        <f t="shared" si="1"/>
        <v>0</v>
      </c>
    </row>
    <row r="9" spans="1:19" ht="13.5" thickBot="1">
      <c r="A9" s="776"/>
      <c r="B9" s="216"/>
      <c r="C9" s="217"/>
      <c r="D9" s="218"/>
      <c r="E9" s="221"/>
      <c r="F9" s="229">
        <v>4</v>
      </c>
      <c r="G9" s="579" t="s">
        <v>13</v>
      </c>
      <c r="H9" s="234" t="s">
        <v>427</v>
      </c>
      <c r="I9" s="779"/>
      <c r="J9" s="215" t="str">
        <f>+'5'!J9</f>
        <v>T 15 RC HW</v>
      </c>
      <c r="K9" s="240"/>
      <c r="L9" s="240"/>
      <c r="M9" s="118">
        <f>+K9+'5'!M9+L9</f>
        <v>34238</v>
      </c>
      <c r="R9" s="150">
        <f t="shared" si="0"/>
        <v>0</v>
      </c>
      <c r="S9" s="150">
        <f t="shared" si="1"/>
        <v>0</v>
      </c>
    </row>
    <row r="10" spans="1:19" ht="26.25" thickBot="1">
      <c r="A10" s="776"/>
      <c r="B10" s="216"/>
      <c r="C10" s="217"/>
      <c r="D10" s="218"/>
      <c r="E10" s="220"/>
      <c r="F10" s="229">
        <v>10</v>
      </c>
      <c r="G10" s="238" t="s">
        <v>14</v>
      </c>
      <c r="H10" s="234" t="s">
        <v>505</v>
      </c>
      <c r="I10" s="779"/>
      <c r="J10" s="215" t="str">
        <f>+'5'!J10</f>
        <v>TW 29 RC HW</v>
      </c>
      <c r="K10" s="240"/>
      <c r="L10" s="240"/>
      <c r="M10" s="118">
        <f>+K10+'5'!M10+L10</f>
        <v>21998</v>
      </c>
      <c r="R10" s="150">
        <f t="shared" si="0"/>
        <v>0</v>
      </c>
      <c r="S10" s="150">
        <f t="shared" si="1"/>
        <v>0</v>
      </c>
    </row>
    <row r="11" spans="1:19" ht="13.5" thickBot="1">
      <c r="A11" s="776"/>
      <c r="B11" s="216"/>
      <c r="C11" s="217"/>
      <c r="D11" s="218"/>
      <c r="E11" s="220"/>
      <c r="F11" s="229"/>
      <c r="G11" s="233"/>
      <c r="H11" s="234" t="s">
        <v>506</v>
      </c>
      <c r="I11" s="779"/>
      <c r="J11" s="215" t="s">
        <v>515</v>
      </c>
      <c r="K11" s="240">
        <f>+C34</f>
        <v>56119</v>
      </c>
      <c r="L11" s="240"/>
      <c r="M11" s="118">
        <f>+K11+'5'!M11+L11</f>
        <v>56119</v>
      </c>
    </row>
    <row r="12" spans="1:19" ht="13.5" thickBot="1">
      <c r="A12" s="776"/>
      <c r="B12" s="216"/>
      <c r="C12" s="217"/>
      <c r="D12" s="218"/>
      <c r="E12" s="220"/>
      <c r="F12" s="229"/>
      <c r="G12" s="233"/>
      <c r="H12" s="234"/>
      <c r="I12" s="779"/>
      <c r="J12" s="215">
        <f>+'5'!J12</f>
        <v>0</v>
      </c>
      <c r="K12" s="240"/>
      <c r="L12" s="240"/>
      <c r="M12" s="118">
        <f>+K12+'5'!M12+L12</f>
        <v>0</v>
      </c>
      <c r="Q12" s="150">
        <f>SUM(Q6:Q10)</f>
        <v>480</v>
      </c>
      <c r="R12" s="150">
        <f>SUM(R6:R10)</f>
        <v>417600</v>
      </c>
      <c r="S12" s="150">
        <f>SUM(S6:S10)</f>
        <v>354960</v>
      </c>
    </row>
    <row r="13" spans="1:19" ht="13.5" thickBot="1">
      <c r="A13" s="776"/>
      <c r="B13" s="216"/>
      <c r="C13" s="217"/>
      <c r="D13" s="217"/>
      <c r="E13" s="220"/>
      <c r="F13" s="229"/>
      <c r="G13" s="579"/>
      <c r="H13" s="234"/>
      <c r="I13" s="780"/>
      <c r="J13" s="215">
        <f>+'5'!J13</f>
        <v>0</v>
      </c>
      <c r="K13" s="240"/>
      <c r="L13" s="240"/>
      <c r="M13" s="118">
        <f>+K13+'5'!M13+L13</f>
        <v>0</v>
      </c>
      <c r="R13" s="150">
        <f>+R12/Q12</f>
        <v>870</v>
      </c>
      <c r="S13" s="150">
        <f>+S12/Q12</f>
        <v>739.5</v>
      </c>
    </row>
    <row r="14" spans="1:19" ht="13.5" thickBot="1">
      <c r="A14" s="777"/>
      <c r="B14" s="166"/>
      <c r="C14" s="100">
        <f>SUM(C7:C13)</f>
        <v>17646</v>
      </c>
      <c r="D14" s="112">
        <f>SUM(D7:D13)</f>
        <v>0</v>
      </c>
      <c r="E14" s="113">
        <f>SUM(E5:E13)</f>
        <v>0</v>
      </c>
      <c r="F14" s="103">
        <f>SUM(F6:F13)</f>
        <v>16</v>
      </c>
      <c r="G14" s="160"/>
      <c r="H14" s="167"/>
      <c r="I14" s="168"/>
      <c r="J14" s="215">
        <f>+'5'!J14</f>
        <v>0</v>
      </c>
      <c r="K14" s="240"/>
      <c r="L14" s="240"/>
      <c r="M14" s="118">
        <f>+K14+'5'!M14+L14</f>
        <v>0</v>
      </c>
    </row>
    <row r="15" spans="1:19" ht="13.5" customHeight="1" thickBot="1">
      <c r="A15" s="775" t="s">
        <v>446</v>
      </c>
      <c r="B15" s="166"/>
      <c r="C15" s="114">
        <f>C14/($C$23+$D$23+$E$23)</f>
        <v>0.93577981651376152</v>
      </c>
      <c r="D15" s="115">
        <f>D14/($C$23+$D$23+$E$23)</f>
        <v>0</v>
      </c>
      <c r="E15" s="116">
        <f>E14/($C$23+$D$23+$E$23)</f>
        <v>0</v>
      </c>
      <c r="F15" s="229"/>
      <c r="G15" s="230" t="s">
        <v>13</v>
      </c>
      <c r="H15" s="231" t="s">
        <v>390</v>
      </c>
      <c r="I15" s="778" t="s">
        <v>509</v>
      </c>
      <c r="J15" s="215">
        <f>+'5'!J15</f>
        <v>0</v>
      </c>
      <c r="K15" s="240"/>
      <c r="L15" s="240"/>
      <c r="M15" s="118">
        <f>+K15+'5'!M15+L15</f>
        <v>0</v>
      </c>
      <c r="N15" s="150" t="s">
        <v>488</v>
      </c>
      <c r="O15" s="150">
        <v>850</v>
      </c>
      <c r="P15" s="150">
        <f>+O15-O15*0.15</f>
        <v>722.5</v>
      </c>
      <c r="Q15" s="150">
        <v>480</v>
      </c>
      <c r="R15" s="150">
        <f>+O15*Q15</f>
        <v>408000</v>
      </c>
      <c r="S15" s="150">
        <f>+P15*Q15</f>
        <v>346800</v>
      </c>
    </row>
    <row r="16" spans="1:19" ht="13.5" thickBot="1">
      <c r="A16" s="784"/>
      <c r="B16" s="216" t="s">
        <v>515</v>
      </c>
      <c r="C16" s="223">
        <v>18857</v>
      </c>
      <c r="D16" s="224"/>
      <c r="E16" s="225"/>
      <c r="F16" s="232">
        <v>1</v>
      </c>
      <c r="G16" s="579" t="s">
        <v>13</v>
      </c>
      <c r="H16" s="231" t="s">
        <v>490</v>
      </c>
      <c r="I16" s="779"/>
      <c r="J16" s="215">
        <f>+'5'!J16</f>
        <v>0</v>
      </c>
      <c r="K16" s="240"/>
      <c r="L16" s="230"/>
      <c r="M16" s="118">
        <f>+K16+'5'!M16+L16</f>
        <v>0</v>
      </c>
      <c r="P16" s="150">
        <f>+O16-O16*0.15</f>
        <v>0</v>
      </c>
      <c r="R16" s="150">
        <f t="shared" ref="R16:R19" si="2">+O16*Q16</f>
        <v>0</v>
      </c>
      <c r="S16" s="150">
        <f t="shared" ref="S16:S19" si="3">+P16*Q16</f>
        <v>0</v>
      </c>
    </row>
    <row r="17" spans="1:19" ht="13.5" thickBot="1">
      <c r="A17" s="784"/>
      <c r="B17" s="216"/>
      <c r="C17" s="217"/>
      <c r="D17" s="218"/>
      <c r="E17" s="226"/>
      <c r="F17" s="229">
        <v>1</v>
      </c>
      <c r="G17" s="579" t="s">
        <v>13</v>
      </c>
      <c r="H17" s="234" t="s">
        <v>425</v>
      </c>
      <c r="I17" s="779"/>
      <c r="J17" s="215">
        <f>+'5'!J17</f>
        <v>0</v>
      </c>
      <c r="K17" s="230"/>
      <c r="L17" s="230"/>
      <c r="M17" s="118">
        <f>+K17+'5'!M17+L17</f>
        <v>0</v>
      </c>
      <c r="R17" s="150">
        <f t="shared" si="2"/>
        <v>0</v>
      </c>
      <c r="S17" s="150">
        <f t="shared" si="3"/>
        <v>0</v>
      </c>
    </row>
    <row r="18" spans="1:19" ht="26.25" thickBot="1">
      <c r="A18" s="784"/>
      <c r="B18" s="216"/>
      <c r="C18" s="217"/>
      <c r="D18" s="218"/>
      <c r="E18" s="226"/>
      <c r="F18" s="236"/>
      <c r="G18" s="238" t="s">
        <v>14</v>
      </c>
      <c r="H18" s="234" t="s">
        <v>504</v>
      </c>
      <c r="I18" s="779"/>
      <c r="J18" s="215">
        <f>+'5'!J18</f>
        <v>0</v>
      </c>
      <c r="K18" s="240"/>
      <c r="L18" s="240"/>
      <c r="M18" s="118">
        <f>+K18+'5'!M18+L18</f>
        <v>0</v>
      </c>
      <c r="R18" s="150">
        <f t="shared" si="2"/>
        <v>0</v>
      </c>
      <c r="S18" s="150">
        <f t="shared" si="3"/>
        <v>0</v>
      </c>
    </row>
    <row r="19" spans="1:19" ht="13.5" thickBot="1">
      <c r="A19" s="784"/>
      <c r="B19" s="216"/>
      <c r="C19" s="217"/>
      <c r="D19" s="218"/>
      <c r="E19" s="226"/>
      <c r="F19" s="229"/>
      <c r="G19" s="233"/>
      <c r="H19" s="234"/>
      <c r="I19" s="779"/>
      <c r="J19" s="215">
        <f>+'5'!J19</f>
        <v>0</v>
      </c>
      <c r="K19" s="240"/>
      <c r="L19" s="240"/>
      <c r="M19" s="118">
        <f>+K19+'5'!M19+L19</f>
        <v>0</v>
      </c>
      <c r="R19" s="150">
        <f t="shared" si="2"/>
        <v>0</v>
      </c>
      <c r="S19" s="150">
        <f t="shared" si="3"/>
        <v>0</v>
      </c>
    </row>
    <row r="20" spans="1:19" ht="13.5" thickBot="1">
      <c r="A20" s="784"/>
      <c r="B20" s="216"/>
      <c r="C20" s="217"/>
      <c r="D20" s="218"/>
      <c r="E20" s="226"/>
      <c r="F20" s="229"/>
      <c r="G20" s="233"/>
      <c r="H20" s="234"/>
      <c r="I20" s="779"/>
      <c r="J20" s="215">
        <f>+'5'!J20</f>
        <v>0</v>
      </c>
      <c r="K20" s="241"/>
      <c r="L20" s="241"/>
      <c r="M20" s="118">
        <f>+K20+'5'!M20+L20</f>
        <v>0</v>
      </c>
    </row>
    <row r="21" spans="1:19" ht="13.5" thickBot="1">
      <c r="A21" s="784"/>
      <c r="B21" s="216"/>
      <c r="C21" s="217"/>
      <c r="D21" s="218"/>
      <c r="E21" s="226"/>
      <c r="F21" s="232"/>
      <c r="G21" s="233"/>
      <c r="H21" s="234"/>
      <c r="I21" s="779"/>
      <c r="J21" s="215">
        <f>+'5'!J21</f>
        <v>0</v>
      </c>
      <c r="K21" s="240"/>
      <c r="L21" s="240"/>
      <c r="M21" s="118">
        <f>+K21+'5'!M21+L21</f>
        <v>0</v>
      </c>
      <c r="Q21" s="150">
        <f>SUM(Q15:Q19)</f>
        <v>480</v>
      </c>
      <c r="R21" s="150">
        <f>SUM(R15:R19)</f>
        <v>408000</v>
      </c>
      <c r="S21" s="150">
        <f>SUM(S15:S19)</f>
        <v>346800</v>
      </c>
    </row>
    <row r="22" spans="1:19" ht="13.5" thickBot="1">
      <c r="A22" s="784"/>
      <c r="B22" s="216"/>
      <c r="C22" s="217"/>
      <c r="D22" s="218"/>
      <c r="E22" s="226"/>
      <c r="F22" s="237"/>
      <c r="G22" s="233"/>
      <c r="H22" s="234"/>
      <c r="I22" s="780"/>
      <c r="J22" s="215">
        <f>+'5'!J22</f>
        <v>0</v>
      </c>
      <c r="K22" s="240"/>
      <c r="L22" s="240"/>
      <c r="M22" s="118">
        <f>+K22+'5'!M22+L22</f>
        <v>0</v>
      </c>
      <c r="R22" s="150">
        <f>+R21/Q21</f>
        <v>850</v>
      </c>
      <c r="S22" s="150">
        <f>+S21/Q21</f>
        <v>722.5</v>
      </c>
    </row>
    <row r="23" spans="1:19" ht="13.5" thickBot="1">
      <c r="A23" s="785"/>
      <c r="B23" s="166"/>
      <c r="C23" s="101">
        <f>SUM(C16:C22)</f>
        <v>18857</v>
      </c>
      <c r="D23" s="112">
        <f>SUM(D16:D22)</f>
        <v>0</v>
      </c>
      <c r="E23" s="113">
        <f>SUM(E18:E22)</f>
        <v>0</v>
      </c>
      <c r="F23" s="103">
        <f>SUM(F15:F22)</f>
        <v>2</v>
      </c>
      <c r="G23" s="160"/>
      <c r="H23" s="167"/>
      <c r="I23" s="170"/>
      <c r="J23" s="215">
        <f>+'5'!J23</f>
        <v>0</v>
      </c>
      <c r="K23" s="240"/>
      <c r="L23" s="240"/>
      <c r="M23" s="118">
        <f>+K23+'5'!M23+L23</f>
        <v>0</v>
      </c>
    </row>
    <row r="24" spans="1:19" ht="13.5" customHeight="1" thickBot="1">
      <c r="A24" s="775" t="s">
        <v>460</v>
      </c>
      <c r="B24" s="171"/>
      <c r="C24" s="114">
        <f>C23/($C$23+$D$23+$E$23)</f>
        <v>1</v>
      </c>
      <c r="D24" s="115">
        <f>D23/($C$23+$D$23+$E$23)</f>
        <v>0</v>
      </c>
      <c r="E24" s="116">
        <f>E23/($C$23+$D$23+$E$23)</f>
        <v>0</v>
      </c>
      <c r="F24" s="229"/>
      <c r="G24" s="230" t="s">
        <v>13</v>
      </c>
      <c r="H24" s="231" t="s">
        <v>390</v>
      </c>
      <c r="I24" s="778" t="s">
        <v>508</v>
      </c>
      <c r="J24" s="215">
        <f>+'5'!J24</f>
        <v>0</v>
      </c>
      <c r="K24" s="240"/>
      <c r="L24" s="240"/>
      <c r="M24" s="118">
        <f>+K24+'5'!M24+L24</f>
        <v>0</v>
      </c>
      <c r="N24" s="150" t="s">
        <v>488</v>
      </c>
      <c r="O24" s="150">
        <v>890</v>
      </c>
      <c r="P24" s="150">
        <f>+O24-O24*0.15</f>
        <v>756.5</v>
      </c>
      <c r="Q24" s="150">
        <v>240</v>
      </c>
      <c r="R24" s="150">
        <f>+O24*Q24</f>
        <v>213600</v>
      </c>
      <c r="S24" s="150">
        <f>+P24*Q24</f>
        <v>181560</v>
      </c>
    </row>
    <row r="25" spans="1:19" ht="13.5" customHeight="1" thickBot="1">
      <c r="A25" s="784"/>
      <c r="B25" s="216" t="s">
        <v>515</v>
      </c>
      <c r="C25" s="227">
        <v>19616</v>
      </c>
      <c r="D25" s="218"/>
      <c r="E25" s="226"/>
      <c r="F25" s="232">
        <v>4</v>
      </c>
      <c r="G25" s="579" t="s">
        <v>13</v>
      </c>
      <c r="H25" s="231" t="s">
        <v>429</v>
      </c>
      <c r="I25" s="779"/>
      <c r="J25" s="215">
        <f>+'5'!J25</f>
        <v>0</v>
      </c>
      <c r="K25" s="240"/>
      <c r="L25" s="240"/>
      <c r="M25" s="118">
        <f>+K25+'5'!M25+L25</f>
        <v>0</v>
      </c>
      <c r="O25" s="150">
        <v>920</v>
      </c>
      <c r="P25" s="150">
        <f>+O25-O25*0.15</f>
        <v>782</v>
      </c>
      <c r="Q25" s="150">
        <v>240</v>
      </c>
      <c r="R25" s="150">
        <f t="shared" ref="R25:R28" si="4">+O25*Q25</f>
        <v>220800</v>
      </c>
      <c r="S25" s="150">
        <f t="shared" ref="S25:S28" si="5">+P25*Q25</f>
        <v>187680</v>
      </c>
    </row>
    <row r="26" spans="1:19" ht="13.5" customHeight="1" thickBot="1">
      <c r="A26" s="784"/>
      <c r="B26" s="216"/>
      <c r="C26" s="227"/>
      <c r="D26" s="218"/>
      <c r="E26" s="228"/>
      <c r="F26" s="229">
        <v>8</v>
      </c>
      <c r="G26" s="579" t="s">
        <v>13</v>
      </c>
      <c r="H26" s="234" t="s">
        <v>425</v>
      </c>
      <c r="I26" s="779"/>
      <c r="J26" s="215">
        <f>+'5'!J26</f>
        <v>0</v>
      </c>
      <c r="K26" s="240"/>
      <c r="L26" s="240"/>
      <c r="M26" s="118">
        <f>+K26+'5'!M26+L26</f>
        <v>0</v>
      </c>
      <c r="R26" s="150">
        <f t="shared" si="4"/>
        <v>0</v>
      </c>
      <c r="S26" s="150">
        <f t="shared" si="5"/>
        <v>0</v>
      </c>
    </row>
    <row r="27" spans="1:19" ht="26.25" thickBot="1">
      <c r="A27" s="784"/>
      <c r="B27" s="216"/>
      <c r="C27" s="217"/>
      <c r="D27" s="218"/>
      <c r="E27" s="226"/>
      <c r="F27" s="229">
        <v>8</v>
      </c>
      <c r="G27" s="238" t="s">
        <v>14</v>
      </c>
      <c r="H27" s="234" t="s">
        <v>507</v>
      </c>
      <c r="I27" s="779"/>
      <c r="J27" s="215">
        <f>+'5'!J27</f>
        <v>0</v>
      </c>
      <c r="K27" s="240"/>
      <c r="L27" s="240"/>
      <c r="M27" s="118">
        <f>+K27+'5'!M27+L27</f>
        <v>0</v>
      </c>
      <c r="R27" s="150">
        <f t="shared" si="4"/>
        <v>0</v>
      </c>
      <c r="S27" s="150">
        <f t="shared" si="5"/>
        <v>0</v>
      </c>
    </row>
    <row r="28" spans="1:19" ht="13.5" customHeight="1" thickBot="1">
      <c r="A28" s="784"/>
      <c r="B28" s="216"/>
      <c r="C28" s="217"/>
      <c r="D28" s="218"/>
      <c r="E28" s="226"/>
      <c r="F28" s="232"/>
      <c r="G28" s="233"/>
      <c r="H28" s="234" t="s">
        <v>503</v>
      </c>
      <c r="I28" s="779"/>
      <c r="J28" s="215">
        <f>+'5'!J28</f>
        <v>0</v>
      </c>
      <c r="K28" s="240"/>
      <c r="L28" s="240"/>
      <c r="M28" s="118">
        <f>+K28+'5'!M28+L28</f>
        <v>0</v>
      </c>
      <c r="R28" s="150">
        <f t="shared" si="4"/>
        <v>0</v>
      </c>
      <c r="S28" s="150">
        <f t="shared" si="5"/>
        <v>0</v>
      </c>
    </row>
    <row r="29" spans="1:19" ht="13.5" customHeight="1" thickBot="1">
      <c r="A29" s="784"/>
      <c r="B29" s="216"/>
      <c r="C29" s="217"/>
      <c r="D29" s="218"/>
      <c r="E29" s="226"/>
      <c r="F29" s="237"/>
      <c r="G29" s="233"/>
      <c r="H29" s="234"/>
      <c r="I29" s="779"/>
      <c r="J29" s="215">
        <f>+'5'!J29</f>
        <v>0</v>
      </c>
      <c r="K29" s="240"/>
      <c r="L29" s="240"/>
      <c r="M29" s="118">
        <f>+K29+'5'!M29+L29</f>
        <v>0</v>
      </c>
    </row>
    <row r="30" spans="1:19" ht="13.5" customHeight="1" thickBot="1">
      <c r="A30" s="784"/>
      <c r="B30" s="216"/>
      <c r="C30" s="227"/>
      <c r="D30" s="218"/>
      <c r="E30" s="226"/>
      <c r="F30" s="237"/>
      <c r="G30" s="233"/>
      <c r="H30" s="234"/>
      <c r="I30" s="779"/>
      <c r="J30" s="215">
        <f>+'5'!J30</f>
        <v>0</v>
      </c>
      <c r="K30" s="240"/>
      <c r="L30" s="240"/>
      <c r="M30" s="118">
        <f>+K30+'5'!M30+L30</f>
        <v>0</v>
      </c>
      <c r="Q30" s="150">
        <f>SUM(Q24:Q28)</f>
        <v>480</v>
      </c>
      <c r="R30" s="150">
        <f>SUM(R24:R28)</f>
        <v>434400</v>
      </c>
      <c r="S30" s="150">
        <f>SUM(S24:S28)</f>
        <v>369240</v>
      </c>
    </row>
    <row r="31" spans="1:19" ht="13.5" customHeight="1" thickBot="1">
      <c r="A31" s="784"/>
      <c r="B31" s="216"/>
      <c r="C31" s="227"/>
      <c r="D31" s="218"/>
      <c r="E31" s="226"/>
      <c r="F31" s="237"/>
      <c r="G31" s="238"/>
      <c r="H31" s="235"/>
      <c r="I31" s="780"/>
      <c r="J31" s="215">
        <f>+'5'!J31</f>
        <v>0</v>
      </c>
      <c r="K31" s="240"/>
      <c r="L31" s="240"/>
      <c r="M31" s="118">
        <f>+K31+'5'!M31+L31</f>
        <v>0</v>
      </c>
      <c r="R31" s="150">
        <f>+R30/Q30</f>
        <v>905</v>
      </c>
      <c r="S31" s="150">
        <f>+S30/Q30</f>
        <v>769.25</v>
      </c>
    </row>
    <row r="32" spans="1:19" ht="13.5" customHeight="1" thickBot="1">
      <c r="A32" s="785"/>
      <c r="B32" s="166"/>
      <c r="C32" s="100">
        <f>SUM(C25:C31)</f>
        <v>19616</v>
      </c>
      <c r="D32" s="101">
        <f>SUM(D25:D31)</f>
        <v>0</v>
      </c>
      <c r="E32" s="102">
        <f>SUM(E25:E31)</f>
        <v>0</v>
      </c>
      <c r="F32" s="103">
        <f>SUM(F24:F31)</f>
        <v>20</v>
      </c>
      <c r="G32" s="172"/>
      <c r="H32" s="173"/>
      <c r="I32" s="170"/>
      <c r="J32" s="215">
        <f>+'5'!J32</f>
        <v>0</v>
      </c>
      <c r="K32" s="242"/>
      <c r="L32" s="244"/>
      <c r="M32" s="118">
        <f>+K32+'5'!M32+L32</f>
        <v>0</v>
      </c>
    </row>
    <row r="33" spans="1:13" ht="13.5" thickBot="1">
      <c r="A33" s="174"/>
      <c r="B33" s="175"/>
      <c r="C33" s="104">
        <f>C32/($C$32+$D$32+$E$32)</f>
        <v>1</v>
      </c>
      <c r="D33" s="105">
        <f>D32/($C$32+$D$32+$E$32)</f>
        <v>0</v>
      </c>
      <c r="E33" s="106">
        <f>E32/($C$32+$D$32+$E$32)</f>
        <v>0</v>
      </c>
      <c r="F33" s="107"/>
      <c r="G33" s="176"/>
      <c r="H33" s="177"/>
      <c r="I33" s="178"/>
      <c r="J33" s="122"/>
      <c r="K33" s="123"/>
      <c r="L33" s="214"/>
      <c r="M33" s="120"/>
    </row>
    <row r="34" spans="1:13" ht="13.5" thickBot="1">
      <c r="A34" s="771" t="s">
        <v>70</v>
      </c>
      <c r="B34" s="772"/>
      <c r="C34" s="108">
        <f>C14+C23+C32</f>
        <v>56119</v>
      </c>
      <c r="D34" s="108">
        <f>D14+D23+D32</f>
        <v>0</v>
      </c>
      <c r="E34" s="108">
        <f>E14+E23+E32</f>
        <v>0</v>
      </c>
      <c r="F34" s="109">
        <f>F14+F23+F32</f>
        <v>38</v>
      </c>
      <c r="H34" s="179"/>
      <c r="I34" s="179"/>
      <c r="J34" s="124" t="s">
        <v>29</v>
      </c>
      <c r="K34" s="125">
        <f>SUM(K7:K32)</f>
        <v>56119</v>
      </c>
      <c r="L34" s="213">
        <f>SUM(L7:L32)</f>
        <v>0</v>
      </c>
      <c r="M34" s="121">
        <f>SUM(M7:M32)</f>
        <v>272719</v>
      </c>
    </row>
    <row r="35" spans="1:13" ht="13.5" thickBot="1">
      <c r="A35" s="180"/>
      <c r="B35" s="181"/>
      <c r="C35" s="105">
        <f>C34/($C$34+$D$34+$E$34)</f>
        <v>1</v>
      </c>
      <c r="D35" s="105">
        <f>D34/($C$34+$D$34+$E$34)</f>
        <v>0</v>
      </c>
      <c r="E35" s="110">
        <f>E34/($C$34+$D$34+$E$34)</f>
        <v>0</v>
      </c>
      <c r="K35" s="156"/>
      <c r="L35" s="762" t="s">
        <v>187</v>
      </c>
      <c r="M35" s="762"/>
    </row>
    <row r="36" spans="1:13" ht="13.5" thickBot="1">
      <c r="A36" s="179"/>
      <c r="B36" s="179"/>
      <c r="C36" s="156"/>
      <c r="D36" s="156"/>
      <c r="E36" s="156"/>
      <c r="G36" s="156"/>
      <c r="H36" s="182"/>
      <c r="I36" s="163" t="s">
        <v>41</v>
      </c>
      <c r="J36" s="163" t="s">
        <v>42</v>
      </c>
      <c r="K36" s="183"/>
      <c r="L36" s="163" t="s">
        <v>41</v>
      </c>
      <c r="M36" s="163" t="s">
        <v>42</v>
      </c>
    </row>
    <row r="37" spans="1:13" ht="17.45" customHeight="1" thickBot="1">
      <c r="A37" s="773" t="s">
        <v>71</v>
      </c>
      <c r="B37" s="774"/>
      <c r="C37" s="163" t="s">
        <v>72</v>
      </c>
      <c r="D37" s="184" t="s">
        <v>73</v>
      </c>
      <c r="E37" s="185" t="s">
        <v>74</v>
      </c>
      <c r="F37" s="361"/>
      <c r="G37" s="363"/>
      <c r="H37" s="187" t="s">
        <v>75</v>
      </c>
      <c r="I37" s="245">
        <f>(20*1440)/1440*G42*2.74*1440/1000000</f>
        <v>58.690800000000003</v>
      </c>
      <c r="J37" s="126">
        <f>+I37+'5'!J37</f>
        <v>293.27324800231361</v>
      </c>
      <c r="K37" s="127" t="s">
        <v>76</v>
      </c>
      <c r="L37" s="421"/>
      <c r="M37" s="422"/>
    </row>
    <row r="38" spans="1:13" ht="17.45" customHeight="1">
      <c r="A38" s="767" t="s">
        <v>13</v>
      </c>
      <c r="B38" s="768"/>
      <c r="C38" s="165">
        <f>SUMIF($G$7:$G$31,"Process",$F$7:$F$31)</f>
        <v>20</v>
      </c>
      <c r="D38" s="119">
        <f>+C38+'5'!D38</f>
        <v>322</v>
      </c>
      <c r="E38" s="144">
        <f t="shared" ref="E38:E51" si="6">D38/60</f>
        <v>5.3666666666666663</v>
      </c>
      <c r="F38" s="361">
        <v>870</v>
      </c>
      <c r="G38" s="361">
        <v>739.5</v>
      </c>
      <c r="H38" s="188" t="s">
        <v>77</v>
      </c>
      <c r="I38" s="543">
        <f>20.212+17.955+20.687</f>
        <v>58.853999999999999</v>
      </c>
      <c r="J38" s="128">
        <f>+I38+'5'!J38</f>
        <v>281.35900000000004</v>
      </c>
      <c r="K38" s="129" t="s">
        <v>76</v>
      </c>
      <c r="L38" s="423"/>
      <c r="M38" s="424"/>
    </row>
    <row r="39" spans="1:13" ht="17.45" customHeight="1">
      <c r="A39" s="763" t="s">
        <v>14</v>
      </c>
      <c r="B39" s="764"/>
      <c r="C39" s="165">
        <f>SUMIF($G$7:$G$31,"Cleaning",$F$7:$F$31)</f>
        <v>18</v>
      </c>
      <c r="D39" s="119">
        <f>+C39+'5'!D39</f>
        <v>112</v>
      </c>
      <c r="E39" s="144">
        <f t="shared" si="6"/>
        <v>1.8666666666666667</v>
      </c>
      <c r="F39" s="361">
        <v>850</v>
      </c>
      <c r="G39" s="361">
        <v>722.5</v>
      </c>
      <c r="H39" s="188" t="s">
        <v>78</v>
      </c>
      <c r="I39" s="143"/>
      <c r="J39" s="130">
        <f>J37/G4</f>
        <v>48.878874667052266</v>
      </c>
      <c r="K39" s="131" t="s">
        <v>76</v>
      </c>
      <c r="L39" s="423"/>
      <c r="M39" s="424"/>
    </row>
    <row r="40" spans="1:13" ht="17.45" customHeight="1">
      <c r="A40" s="763" t="s">
        <v>79</v>
      </c>
      <c r="B40" s="764"/>
      <c r="C40" s="165">
        <f>SUMIF($G$7:$G$31,"Mechanical",$F$7:$F$31)</f>
        <v>0</v>
      </c>
      <c r="D40" s="119">
        <f>+C40+'5'!D40</f>
        <v>0</v>
      </c>
      <c r="E40" s="144">
        <f t="shared" si="6"/>
        <v>0</v>
      </c>
      <c r="F40" s="361">
        <v>905</v>
      </c>
      <c r="G40" s="361">
        <v>769.25</v>
      </c>
      <c r="H40" s="188" t="s">
        <v>80</v>
      </c>
      <c r="I40" s="119">
        <f>(K34+L34)/1000</f>
        <v>56.119</v>
      </c>
      <c r="J40" s="132">
        <f>+I40+'5'!J40</f>
        <v>272.71900000000005</v>
      </c>
      <c r="K40" s="131" t="s">
        <v>76</v>
      </c>
      <c r="L40" s="423"/>
      <c r="M40" s="424"/>
    </row>
    <row r="41" spans="1:13" ht="17.45" customHeight="1">
      <c r="A41" s="763" t="s">
        <v>81</v>
      </c>
      <c r="B41" s="764"/>
      <c r="C41" s="165">
        <f>SUMIF($G$7:$G$31,"Electrical",$F$7:$F$31)</f>
        <v>0</v>
      </c>
      <c r="D41" s="119">
        <f>+C41+'5'!D41</f>
        <v>0</v>
      </c>
      <c r="E41" s="144">
        <f t="shared" si="6"/>
        <v>0</v>
      </c>
      <c r="F41" s="361"/>
      <c r="G41" s="361"/>
      <c r="H41" s="188" t="s">
        <v>82</v>
      </c>
      <c r="I41" s="143"/>
      <c r="J41" s="130">
        <f>J40/G4</f>
        <v>45.453166666666675</v>
      </c>
      <c r="K41" s="131" t="s">
        <v>76</v>
      </c>
      <c r="L41" s="423"/>
      <c r="M41" s="424"/>
    </row>
    <row r="42" spans="1:13" ht="17.45" customHeight="1">
      <c r="A42" s="763" t="s">
        <v>17</v>
      </c>
      <c r="B42" s="764"/>
      <c r="C42" s="165">
        <f>SUMIF($G$7:$G$31,"Instrument",$F$7:$F$31)</f>
        <v>0</v>
      </c>
      <c r="D42" s="119">
        <f>+C42+'5'!D42</f>
        <v>0</v>
      </c>
      <c r="E42" s="144">
        <f t="shared" si="6"/>
        <v>0</v>
      </c>
      <c r="F42" s="361">
        <f>+(480*F38+480*F39+480*F40)/1440</f>
        <v>875</v>
      </c>
      <c r="G42" s="361">
        <f>+(480*G38+480*G39+480*G40)/1440</f>
        <v>743.75</v>
      </c>
      <c r="H42" s="188" t="s">
        <v>83</v>
      </c>
      <c r="I42" s="247" t="s">
        <v>511</v>
      </c>
      <c r="J42" s="133"/>
      <c r="K42" s="131" t="s">
        <v>84</v>
      </c>
      <c r="L42" s="423"/>
      <c r="M42" s="424"/>
    </row>
    <row r="43" spans="1:13" ht="17.45" customHeight="1">
      <c r="A43" s="763" t="s">
        <v>85</v>
      </c>
      <c r="B43" s="764"/>
      <c r="C43" s="165">
        <f>SUMIF($G$7:$G$31,"Water",$F$7:$F$31)</f>
        <v>0</v>
      </c>
      <c r="D43" s="119">
        <f>+C43+'5'!D43</f>
        <v>0</v>
      </c>
      <c r="E43" s="144">
        <f t="shared" si="6"/>
        <v>0</v>
      </c>
      <c r="F43" s="361"/>
      <c r="G43" s="362"/>
      <c r="H43" s="189" t="s">
        <v>86</v>
      </c>
      <c r="I43" s="119">
        <f>+Report1!AH14</f>
        <v>70.7</v>
      </c>
      <c r="J43" s="134">
        <f>+I43+'5'!J43</f>
        <v>384.5</v>
      </c>
      <c r="K43" s="131" t="s">
        <v>76</v>
      </c>
      <c r="L43" s="425">
        <f>+Report1!AN14</f>
        <v>11</v>
      </c>
      <c r="M43" s="426">
        <f>+L43+'5'!M43</f>
        <v>56.800000000000004</v>
      </c>
    </row>
    <row r="44" spans="1:13" ht="17.45" customHeight="1">
      <c r="A44" s="763" t="s">
        <v>18</v>
      </c>
      <c r="B44" s="764"/>
      <c r="C44" s="165">
        <f>SUMIF($G$7:$G$31,"PLN",$F$7:$F$31)</f>
        <v>0</v>
      </c>
      <c r="D44" s="119">
        <f>+C44+'5'!D44</f>
        <v>0</v>
      </c>
      <c r="E44" s="144">
        <f t="shared" si="6"/>
        <v>0</v>
      </c>
      <c r="F44" s="361"/>
      <c r="G44" s="362"/>
      <c r="H44" s="189" t="s">
        <v>87</v>
      </c>
      <c r="I44" s="119">
        <f>I43/I38</f>
        <v>1.201277738131648</v>
      </c>
      <c r="J44" s="135">
        <f>J43/J38</f>
        <v>1.3665814848645323</v>
      </c>
      <c r="K44" s="131" t="s">
        <v>76</v>
      </c>
      <c r="L44" s="427">
        <f>+L43/I38</f>
        <v>0.18690318415061</v>
      </c>
      <c r="M44" s="428">
        <f>+M43/J38</f>
        <v>0.2018773168798581</v>
      </c>
    </row>
    <row r="45" spans="1:13" ht="17.45" customHeight="1">
      <c r="A45" s="763" t="s">
        <v>19</v>
      </c>
      <c r="B45" s="764"/>
      <c r="C45" s="165">
        <f>SUMIF($G$7:$G$31,"Boiler",$F$7:$F$31)</f>
        <v>0</v>
      </c>
      <c r="D45" s="119">
        <f>+C45+'5'!D45</f>
        <v>0</v>
      </c>
      <c r="E45" s="144">
        <f t="shared" si="6"/>
        <v>0</v>
      </c>
      <c r="F45" s="361"/>
      <c r="G45" s="364"/>
      <c r="H45" s="189" t="s">
        <v>88</v>
      </c>
      <c r="I45" s="119">
        <f>I43/I40</f>
        <v>1.2598228763876762</v>
      </c>
      <c r="J45" s="135">
        <f>J43/J40</f>
        <v>1.4098760995750201</v>
      </c>
      <c r="K45" s="131" t="s">
        <v>76</v>
      </c>
      <c r="L45" s="427">
        <f>+L43/I40</f>
        <v>0.19601204583118018</v>
      </c>
      <c r="M45" s="428">
        <f>+M43/J40</f>
        <v>0.20827298428052315</v>
      </c>
    </row>
    <row r="46" spans="1:13" ht="17.45" customHeight="1">
      <c r="A46" s="763" t="s">
        <v>89</v>
      </c>
      <c r="B46" s="764"/>
      <c r="C46" s="165">
        <f>SUMIF($G$7:$G$31,"Gas",$F$7:$F$31)</f>
        <v>0</v>
      </c>
      <c r="D46" s="119">
        <f>+C46+'5'!D46</f>
        <v>0</v>
      </c>
      <c r="E46" s="144">
        <f t="shared" si="6"/>
        <v>0</v>
      </c>
      <c r="F46" s="361"/>
      <c r="G46" s="362"/>
      <c r="H46" s="189" t="s">
        <v>90</v>
      </c>
      <c r="I46" s="141">
        <f>+SUMIF(Listrik!P13,"&gt;0")</f>
        <v>38259.779999999919</v>
      </c>
      <c r="J46" s="136">
        <f>+I46+'5'!J46</f>
        <v>226194.23999999996</v>
      </c>
      <c r="K46" s="131" t="s">
        <v>91</v>
      </c>
      <c r="L46" s="427">
        <f>+Listrik!AF13</f>
        <v>0</v>
      </c>
      <c r="M46" s="429">
        <f>+L46+'5'!M46</f>
        <v>0</v>
      </c>
    </row>
    <row r="47" spans="1:13" ht="17.45" customHeight="1">
      <c r="A47" s="763" t="s">
        <v>92</v>
      </c>
      <c r="B47" s="764"/>
      <c r="C47" s="165">
        <f>SUMIF($G$7:$G$31,"Gas",$F$7:$F$31)</f>
        <v>0</v>
      </c>
      <c r="D47" s="119">
        <f>+C47+'5'!D47</f>
        <v>0</v>
      </c>
      <c r="E47" s="144">
        <f t="shared" si="6"/>
        <v>0</v>
      </c>
      <c r="F47" s="361"/>
      <c r="G47" s="362"/>
      <c r="H47" s="189" t="s">
        <v>93</v>
      </c>
      <c r="I47" s="119">
        <f>I46/I38</f>
        <v>650.07951880925543</v>
      </c>
      <c r="J47" s="136">
        <f>J46/J38</f>
        <v>803.93461733941308</v>
      </c>
      <c r="K47" s="131" t="s">
        <v>25</v>
      </c>
      <c r="L47" s="427">
        <f>+L46/I38</f>
        <v>0</v>
      </c>
      <c r="M47" s="428">
        <f>+M46/J38</f>
        <v>0</v>
      </c>
    </row>
    <row r="48" spans="1:13" ht="17.45" customHeight="1">
      <c r="A48" s="763" t="s">
        <v>15</v>
      </c>
      <c r="B48" s="764"/>
      <c r="C48" s="165">
        <f>SUMIF($G$7:$G$31,"Start Up",$F$7:$F$31)</f>
        <v>0</v>
      </c>
      <c r="D48" s="119">
        <f>+C48+'5'!D48</f>
        <v>0</v>
      </c>
      <c r="E48" s="144">
        <f t="shared" si="6"/>
        <v>0</v>
      </c>
      <c r="F48" s="361"/>
      <c r="G48" s="362"/>
      <c r="H48" s="189" t="s">
        <v>94</v>
      </c>
      <c r="I48" s="119">
        <f>I46/I40</f>
        <v>681.76161371371404</v>
      </c>
      <c r="J48" s="136">
        <f>J46/J40</f>
        <v>829.40403858917023</v>
      </c>
      <c r="K48" s="131" t="s">
        <v>25</v>
      </c>
      <c r="L48" s="427">
        <f>+L46/I38</f>
        <v>0</v>
      </c>
      <c r="M48" s="428">
        <f>+M46/J40</f>
        <v>0</v>
      </c>
    </row>
    <row r="49" spans="1:13" ht="17.45" customHeight="1">
      <c r="A49" s="763" t="s">
        <v>21</v>
      </c>
      <c r="B49" s="764"/>
      <c r="C49" s="165">
        <f>SUMIF($G$7:$G$31,"Others",$F$7:$F$31)</f>
        <v>0</v>
      </c>
      <c r="D49" s="119">
        <f>+C49+'5'!D49</f>
        <v>0</v>
      </c>
      <c r="E49" s="144">
        <f t="shared" si="6"/>
        <v>0</v>
      </c>
      <c r="F49" s="186"/>
      <c r="H49" s="189" t="s">
        <v>182</v>
      </c>
      <c r="I49" s="119">
        <f>+Report1!AB14</f>
        <v>5525.7640318864815</v>
      </c>
      <c r="J49" s="136">
        <f>+I49+'5'!J49</f>
        <v>26042.218407332053</v>
      </c>
      <c r="K49" s="131" t="s">
        <v>96</v>
      </c>
      <c r="L49" s="423"/>
      <c r="M49" s="424"/>
    </row>
    <row r="50" spans="1:13" ht="17.45" customHeight="1">
      <c r="A50" s="763" t="s">
        <v>20</v>
      </c>
      <c r="B50" s="764"/>
      <c r="C50" s="165">
        <f>SUMIF($G$7:$G$31,"Steam",$F$7:$F$31)</f>
        <v>0</v>
      </c>
      <c r="D50" s="119">
        <f>+C50+'5'!D50</f>
        <v>0</v>
      </c>
      <c r="E50" s="144">
        <f t="shared" si="6"/>
        <v>0</v>
      </c>
      <c r="F50" s="186"/>
      <c r="H50" s="189" t="s">
        <v>97</v>
      </c>
      <c r="I50" s="141">
        <f>I49/I38</f>
        <v>93.889353856772374</v>
      </c>
      <c r="J50" s="134">
        <f>J49/J38</f>
        <v>92.558682705483207</v>
      </c>
      <c r="K50" s="131" t="s">
        <v>96</v>
      </c>
      <c r="L50" s="423"/>
      <c r="M50" s="424"/>
    </row>
    <row r="51" spans="1:13" ht="17.45" customHeight="1" thickBot="1">
      <c r="A51" s="765" t="s">
        <v>98</v>
      </c>
      <c r="B51" s="766"/>
      <c r="C51" s="165">
        <f>SUMIF($G$7:$G$31,"Planned shut",$F$7:$F$31)</f>
        <v>0</v>
      </c>
      <c r="D51" s="119">
        <f>+C51+'5'!D51</f>
        <v>609</v>
      </c>
      <c r="E51" s="144">
        <f t="shared" si="6"/>
        <v>10.15</v>
      </c>
      <c r="F51" s="186"/>
      <c r="H51" s="191" t="s">
        <v>99</v>
      </c>
      <c r="I51" s="142">
        <f>I49/I40</f>
        <v>98.465119333674537</v>
      </c>
      <c r="J51" s="137">
        <f>J49/J40</f>
        <v>95.49103072148273</v>
      </c>
      <c r="K51" s="138" t="s">
        <v>96</v>
      </c>
      <c r="L51" s="423"/>
      <c r="M51" s="424"/>
    </row>
    <row r="52" spans="1:13" ht="13.5" thickBot="1">
      <c r="A52" s="767" t="s">
        <v>29</v>
      </c>
      <c r="B52" s="768"/>
      <c r="C52" s="145">
        <f>SUM(C38:C51)</f>
        <v>38</v>
      </c>
      <c r="D52" s="145">
        <f>SUM(D38:D51)</f>
        <v>1043</v>
      </c>
      <c r="E52" s="146">
        <f>SUM(E38:E51)</f>
        <v>17.383333333333333</v>
      </c>
      <c r="F52" s="186"/>
      <c r="H52" s="192"/>
      <c r="I52" s="193"/>
      <c r="J52" s="139"/>
      <c r="K52" s="140"/>
      <c r="L52" s="430"/>
      <c r="M52" s="431"/>
    </row>
    <row r="53" spans="1:13" ht="13.5" thickBot="1">
      <c r="A53" s="769"/>
      <c r="B53" s="770"/>
      <c r="C53" s="147">
        <f>C52/(24*60)</f>
        <v>2.6388888888888889E-2</v>
      </c>
      <c r="D53" s="147">
        <f>D52/(24*60*G4)</f>
        <v>0.1207175925925926</v>
      </c>
      <c r="E53" s="148">
        <f>E52/(G4*24)</f>
        <v>0.12071759259259258</v>
      </c>
      <c r="F53" s="186"/>
    </row>
    <row r="54" spans="1:13">
      <c r="E54" s="194"/>
      <c r="F54" s="186"/>
    </row>
    <row r="55" spans="1:13">
      <c r="E55" s="194"/>
    </row>
    <row r="56" spans="1:13">
      <c r="A56" s="195" t="s">
        <v>100</v>
      </c>
      <c r="B56" s="196"/>
      <c r="C56" s="197"/>
      <c r="D56" s="197"/>
      <c r="E56" s="197"/>
      <c r="F56" s="198"/>
      <c r="G56" s="197"/>
      <c r="H56" s="199"/>
      <c r="I56" s="200" t="s">
        <v>101</v>
      </c>
      <c r="J56" s="201">
        <f>+D34+'5'!J56</f>
        <v>858</v>
      </c>
      <c r="K56" s="202">
        <f>J56/(J40+J56/1000)/1000</f>
        <v>3.1362285572252048E-3</v>
      </c>
    </row>
    <row r="57" spans="1:13">
      <c r="A57" s="177"/>
      <c r="I57" s="200" t="s">
        <v>102</v>
      </c>
      <c r="J57" s="201">
        <f>+E34+'5'!J57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Z61"/>
  <sheetViews>
    <sheetView view="pageBreakPreview" topLeftCell="E12" zoomScale="80" zoomScaleNormal="75" zoomScaleSheetLayoutView="80" workbookViewId="0">
      <selection activeCell="I41" sqref="H41:I4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4.28515625" style="150" bestFit="1" customWidth="1"/>
    <col min="8" max="8" width="64.85546875" style="150" customWidth="1"/>
    <col min="9" max="9" width="14.7109375" style="150" bestFit="1" customWidth="1"/>
    <col min="10" max="10" width="20.140625" style="150" bestFit="1" customWidth="1"/>
    <col min="11" max="11" width="14" style="150" customWidth="1"/>
    <col min="12" max="12" width="8.28515625" style="150" customWidth="1"/>
    <col min="13" max="13" width="15.5703125" style="150" bestFit="1"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5</v>
      </c>
      <c r="H4" s="155" t="str">
        <f>+'1'!H4</f>
        <v>.11.25</v>
      </c>
      <c r="J4" s="150">
        <f>376.2+463.4+449</f>
        <v>1288.5999999999999</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469</v>
      </c>
      <c r="O6" s="150">
        <v>1180</v>
      </c>
      <c r="P6" s="150">
        <f>+O6-O6*0.23</f>
        <v>908.59999999999991</v>
      </c>
      <c r="Q6" s="150">
        <v>18</v>
      </c>
      <c r="R6" s="150">
        <f>+O6*Q6</f>
        <v>21240</v>
      </c>
      <c r="S6" s="150">
        <f>+P6*Q6</f>
        <v>16354.8</v>
      </c>
    </row>
    <row r="7" spans="1:26" ht="13.5" customHeight="1" thickBot="1">
      <c r="A7" s="775" t="s">
        <v>444</v>
      </c>
      <c r="B7" s="216" t="s">
        <v>479</v>
      </c>
      <c r="C7" s="217">
        <v>4417</v>
      </c>
      <c r="D7" s="218"/>
      <c r="E7" s="219"/>
      <c r="F7" s="229"/>
      <c r="G7" s="230" t="s">
        <v>13</v>
      </c>
      <c r="H7" s="231" t="s">
        <v>390</v>
      </c>
      <c r="I7" s="778" t="s">
        <v>494</v>
      </c>
      <c r="J7" s="215" t="str">
        <f>+'4'!J7</f>
        <v>T 13,5 RC HW</v>
      </c>
      <c r="K7" s="239">
        <f>+C8+C17</f>
        <v>1254</v>
      </c>
      <c r="L7" s="243"/>
      <c r="M7" s="118">
        <f>+K7+'4'!M7+L7</f>
        <v>62583</v>
      </c>
      <c r="N7" s="150" t="s">
        <v>415</v>
      </c>
      <c r="O7" s="150">
        <v>1195</v>
      </c>
      <c r="P7" s="150">
        <f>+O7-O7*0.23</f>
        <v>920.15</v>
      </c>
      <c r="Q7" s="150">
        <f>60-18+5</f>
        <v>47</v>
      </c>
      <c r="R7" s="150">
        <f t="shared" ref="R7:R10" si="0">+O7*Q7</f>
        <v>56165</v>
      </c>
      <c r="S7" s="150">
        <f t="shared" ref="S7:S10" si="1">+P7*Q7</f>
        <v>43247.049999999996</v>
      </c>
    </row>
    <row r="8" spans="1:26" ht="13.5" thickBot="1">
      <c r="A8" s="776"/>
      <c r="B8" s="216" t="s">
        <v>448</v>
      </c>
      <c r="C8" s="217">
        <v>633</v>
      </c>
      <c r="D8" s="218"/>
      <c r="E8" s="220"/>
      <c r="F8" s="232">
        <v>2</v>
      </c>
      <c r="G8" s="579" t="s">
        <v>13</v>
      </c>
      <c r="H8" s="231" t="s">
        <v>490</v>
      </c>
      <c r="I8" s="779"/>
      <c r="J8" s="215" t="str">
        <f>+'4'!J8</f>
        <v>T 14 RC HW</v>
      </c>
      <c r="K8" s="240">
        <v>0</v>
      </c>
      <c r="L8" s="240"/>
      <c r="M8" s="118">
        <f>+K8+'4'!M8+L8</f>
        <v>97781</v>
      </c>
      <c r="R8" s="150">
        <f t="shared" si="0"/>
        <v>0</v>
      </c>
      <c r="S8" s="150">
        <f t="shared" si="1"/>
        <v>0</v>
      </c>
    </row>
    <row r="9" spans="1:26" ht="13.5" thickBot="1">
      <c r="A9" s="776"/>
      <c r="B9" s="216"/>
      <c r="C9" s="217"/>
      <c r="D9" s="218"/>
      <c r="E9" s="221"/>
      <c r="F9" s="229">
        <v>9</v>
      </c>
      <c r="G9" s="579" t="s">
        <v>13</v>
      </c>
      <c r="H9" s="234" t="s">
        <v>491</v>
      </c>
      <c r="I9" s="779"/>
      <c r="J9" s="215" t="str">
        <f>+'4'!J9</f>
        <v>T 15 RC HW</v>
      </c>
      <c r="K9" s="240">
        <f>+C7+C16</f>
        <v>5733</v>
      </c>
      <c r="L9" s="240"/>
      <c r="M9" s="118">
        <f>+K9+'4'!M9+L9</f>
        <v>34238</v>
      </c>
      <c r="R9" s="150">
        <f t="shared" si="0"/>
        <v>0</v>
      </c>
      <c r="S9" s="150">
        <f t="shared" si="1"/>
        <v>0</v>
      </c>
    </row>
    <row r="10" spans="1:26" ht="26.25" thickBot="1">
      <c r="A10" s="776"/>
      <c r="B10" s="216"/>
      <c r="C10" s="217"/>
      <c r="D10" s="218"/>
      <c r="E10" s="220"/>
      <c r="F10" s="229">
        <v>15</v>
      </c>
      <c r="G10" s="238" t="s">
        <v>14</v>
      </c>
      <c r="H10" s="234" t="s">
        <v>485</v>
      </c>
      <c r="I10" s="779"/>
      <c r="J10" s="215" t="s">
        <v>502</v>
      </c>
      <c r="K10" s="240">
        <f>+C18+C25</f>
        <v>21998</v>
      </c>
      <c r="L10" s="240"/>
      <c r="M10" s="118">
        <f>+K10+'4'!M10+L10</f>
        <v>21998</v>
      </c>
      <c r="R10" s="150">
        <f t="shared" si="0"/>
        <v>0</v>
      </c>
      <c r="S10" s="150">
        <f t="shared" si="1"/>
        <v>0</v>
      </c>
    </row>
    <row r="11" spans="1:26" ht="123.75" customHeight="1" thickBot="1">
      <c r="A11" s="776"/>
      <c r="B11" s="216"/>
      <c r="C11" s="217"/>
      <c r="D11" s="218"/>
      <c r="E11" s="220"/>
      <c r="F11" s="229">
        <v>415</v>
      </c>
      <c r="G11" s="233" t="s">
        <v>484</v>
      </c>
      <c r="H11" s="234" t="s">
        <v>486</v>
      </c>
      <c r="I11" s="779"/>
      <c r="J11" s="215">
        <f>+'4'!J11</f>
        <v>0</v>
      </c>
      <c r="K11" s="240"/>
      <c r="L11" s="240"/>
      <c r="M11" s="118">
        <f>+K11+'4'!M11+L11</f>
        <v>0</v>
      </c>
    </row>
    <row r="12" spans="1:26" ht="13.5" thickBot="1">
      <c r="A12" s="776"/>
      <c r="B12" s="216"/>
      <c r="C12" s="217"/>
      <c r="D12" s="218"/>
      <c r="E12" s="220"/>
      <c r="F12" s="229"/>
      <c r="G12" s="233"/>
      <c r="H12" s="234"/>
      <c r="I12" s="779"/>
      <c r="J12" s="215">
        <f>+'4'!J12</f>
        <v>0</v>
      </c>
      <c r="K12" s="240"/>
      <c r="L12" s="240"/>
      <c r="M12" s="118">
        <f>+K12+'4'!M12+L12</f>
        <v>0</v>
      </c>
      <c r="Q12" s="150">
        <f>SUM(Q6:Q10)</f>
        <v>65</v>
      </c>
      <c r="R12" s="150">
        <f>SUM(R6:R10)</f>
        <v>77405</v>
      </c>
      <c r="S12" s="150">
        <f>SUM(S6:S10)</f>
        <v>59601.849999999991</v>
      </c>
    </row>
    <row r="13" spans="1:26" ht="13.5" thickBot="1">
      <c r="A13" s="776"/>
      <c r="B13" s="216"/>
      <c r="C13" s="217"/>
      <c r="D13" s="217"/>
      <c r="E13" s="220"/>
      <c r="F13" s="229"/>
      <c r="G13" s="579"/>
      <c r="H13" s="234"/>
      <c r="I13" s="780"/>
      <c r="J13" s="215">
        <f>+'4'!J13</f>
        <v>0</v>
      </c>
      <c r="K13" s="240"/>
      <c r="L13" s="240"/>
      <c r="M13" s="118">
        <f>+K13+'4'!M13+L13</f>
        <v>0</v>
      </c>
      <c r="R13" s="150">
        <f>+R12/Q12</f>
        <v>1190.8461538461538</v>
      </c>
      <c r="S13" s="150">
        <f>+S12/Q12</f>
        <v>916.95153846153835</v>
      </c>
    </row>
    <row r="14" spans="1:26" ht="13.5" thickBot="1">
      <c r="A14" s="777"/>
      <c r="B14" s="166"/>
      <c r="C14" s="100">
        <f>SUM(C7:C13)</f>
        <v>5050</v>
      </c>
      <c r="D14" s="112">
        <f>SUM(D7:D13)</f>
        <v>0</v>
      </c>
      <c r="E14" s="113">
        <f>SUM(E5:E13)</f>
        <v>0</v>
      </c>
      <c r="F14" s="103">
        <f>SUM(F6:F13)</f>
        <v>441</v>
      </c>
      <c r="G14" s="160"/>
      <c r="H14" s="167"/>
      <c r="I14" s="168"/>
      <c r="J14" s="215">
        <f>+'4'!J14</f>
        <v>0</v>
      </c>
      <c r="K14" s="240"/>
      <c r="L14" s="240"/>
      <c r="M14" s="118">
        <f>+K14+'4'!M14+L14</f>
        <v>0</v>
      </c>
    </row>
    <row r="15" spans="1:26" ht="13.5" customHeight="1" thickBot="1">
      <c r="A15" s="775" t="s">
        <v>446</v>
      </c>
      <c r="B15" s="166"/>
      <c r="C15" s="114">
        <f>C14/($C$23+$D$23+$E$23)</f>
        <v>0.74406954471784292</v>
      </c>
      <c r="D15" s="115">
        <f>D14/($C$23+$D$23+$E$23)</f>
        <v>0</v>
      </c>
      <c r="E15" s="116">
        <f>E14/($C$23+$D$23+$E$23)</f>
        <v>0</v>
      </c>
      <c r="F15" s="229"/>
      <c r="G15" s="230" t="s">
        <v>13</v>
      </c>
      <c r="H15" s="231" t="s">
        <v>390</v>
      </c>
      <c r="I15" s="778" t="s">
        <v>729</v>
      </c>
      <c r="J15" s="215">
        <f>+'4'!J15</f>
        <v>0</v>
      </c>
      <c r="K15" s="240"/>
      <c r="L15" s="240"/>
      <c r="M15" s="118">
        <f>+K15+'4'!M15+L15</f>
        <v>0</v>
      </c>
      <c r="N15" s="150" t="s">
        <v>487</v>
      </c>
      <c r="O15" s="150">
        <v>550</v>
      </c>
      <c r="P15" s="150">
        <f>+O15-O15*0.15</f>
        <v>467.5</v>
      </c>
      <c r="Q15" s="150">
        <f>46-31</f>
        <v>15</v>
      </c>
      <c r="R15" s="150">
        <f>+O15*Q15</f>
        <v>8250</v>
      </c>
      <c r="S15" s="150">
        <f>+P15*Q15</f>
        <v>7012.5</v>
      </c>
      <c r="U15" s="150" t="s">
        <v>487</v>
      </c>
      <c r="V15" s="150">
        <v>550</v>
      </c>
      <c r="W15" s="150">
        <v>467.5</v>
      </c>
      <c r="X15" s="150">
        <v>15</v>
      </c>
      <c r="Y15" s="150">
        <f>+V15*X15</f>
        <v>8250</v>
      </c>
      <c r="Z15" s="150">
        <f>+W15*X15</f>
        <v>7012.5</v>
      </c>
    </row>
    <row r="16" spans="1:26" ht="13.5" thickBot="1">
      <c r="A16" s="784"/>
      <c r="B16" s="216" t="s">
        <v>479</v>
      </c>
      <c r="C16" s="223">
        <v>1316</v>
      </c>
      <c r="D16" s="224"/>
      <c r="E16" s="225"/>
      <c r="F16" s="232">
        <v>2</v>
      </c>
      <c r="G16" s="579" t="s">
        <v>13</v>
      </c>
      <c r="H16" s="231" t="s">
        <v>429</v>
      </c>
      <c r="I16" s="779"/>
      <c r="J16" s="215">
        <f>+'4'!J16</f>
        <v>0</v>
      </c>
      <c r="K16" s="230"/>
      <c r="L16" s="230"/>
      <c r="M16" s="118">
        <f>+K16+'4'!M16+L16</f>
        <v>0</v>
      </c>
      <c r="N16" s="150" t="s">
        <v>487</v>
      </c>
      <c r="O16" s="150">
        <v>550</v>
      </c>
      <c r="P16" s="150">
        <f>+O16-O16*0.15</f>
        <v>467.5</v>
      </c>
      <c r="Q16" s="150">
        <f>60-29+240</f>
        <v>271</v>
      </c>
      <c r="R16" s="150">
        <f t="shared" ref="R16:R19" si="2">+O16*Q16</f>
        <v>149050</v>
      </c>
      <c r="S16" s="150">
        <f t="shared" ref="S16:S19" si="3">+P16*Q16</f>
        <v>126692.5</v>
      </c>
      <c r="U16" s="150" t="s">
        <v>487</v>
      </c>
      <c r="V16" s="150">
        <v>550</v>
      </c>
      <c r="W16" s="150">
        <v>467.5</v>
      </c>
      <c r="X16" s="150">
        <v>271</v>
      </c>
      <c r="Y16" s="150">
        <f t="shared" ref="Y16:Y19" si="4">+V16*X16</f>
        <v>149050</v>
      </c>
      <c r="Z16" s="150">
        <f t="shared" ref="Z16:Z19" si="5">+W16*X16</f>
        <v>126692.5</v>
      </c>
    </row>
    <row r="17" spans="1:26" ht="13.5" thickBot="1">
      <c r="A17" s="784"/>
      <c r="B17" s="216" t="s">
        <v>448</v>
      </c>
      <c r="C17" s="217">
        <v>621</v>
      </c>
      <c r="D17" s="218"/>
      <c r="E17" s="226"/>
      <c r="F17" s="229">
        <v>2</v>
      </c>
      <c r="G17" s="579" t="s">
        <v>13</v>
      </c>
      <c r="H17" s="234" t="s">
        <v>492</v>
      </c>
      <c r="I17" s="779"/>
      <c r="J17" s="215">
        <f>+'4'!J17</f>
        <v>0</v>
      </c>
      <c r="K17" s="230"/>
      <c r="L17" s="230"/>
      <c r="M17" s="118">
        <f>+K17+'4'!M17+L17</f>
        <v>0</v>
      </c>
      <c r="R17" s="150">
        <f t="shared" si="2"/>
        <v>0</v>
      </c>
      <c r="S17" s="150">
        <f t="shared" si="3"/>
        <v>0</v>
      </c>
      <c r="U17" s="150" t="s">
        <v>487</v>
      </c>
      <c r="V17" s="150">
        <v>550</v>
      </c>
      <c r="W17" s="150">
        <v>467.5</v>
      </c>
      <c r="X17" s="150">
        <v>186</v>
      </c>
      <c r="Y17" s="150">
        <f t="shared" si="4"/>
        <v>102300</v>
      </c>
      <c r="Z17" s="150">
        <f t="shared" si="5"/>
        <v>86955</v>
      </c>
    </row>
    <row r="18" spans="1:26" ht="26.25" thickBot="1">
      <c r="A18" s="784"/>
      <c r="B18" s="216" t="s">
        <v>502</v>
      </c>
      <c r="C18" s="217">
        <v>4850</v>
      </c>
      <c r="D18" s="218"/>
      <c r="E18" s="226"/>
      <c r="F18" s="236"/>
      <c r="G18" s="238" t="s">
        <v>14</v>
      </c>
      <c r="H18" s="234" t="s">
        <v>482</v>
      </c>
      <c r="I18" s="779"/>
      <c r="J18" s="215">
        <f>+'4'!J18</f>
        <v>0</v>
      </c>
      <c r="K18" s="240"/>
      <c r="L18" s="240"/>
      <c r="M18" s="118">
        <f>+K18+'4'!M18+L18</f>
        <v>0</v>
      </c>
      <c r="R18" s="150">
        <f t="shared" si="2"/>
        <v>0</v>
      </c>
      <c r="S18" s="150">
        <f t="shared" si="3"/>
        <v>0</v>
      </c>
      <c r="U18" s="150" t="s">
        <v>487</v>
      </c>
      <c r="V18" s="150">
        <v>590</v>
      </c>
      <c r="W18" s="150">
        <v>501.5</v>
      </c>
      <c r="X18" s="150">
        <v>186</v>
      </c>
      <c r="Y18" s="150">
        <f t="shared" si="4"/>
        <v>109740</v>
      </c>
      <c r="Z18" s="150">
        <f t="shared" si="5"/>
        <v>93279</v>
      </c>
    </row>
    <row r="19" spans="1:26" ht="186.75" customHeight="1" thickBot="1">
      <c r="A19" s="784"/>
      <c r="B19" s="216"/>
      <c r="C19" s="217"/>
      <c r="D19" s="218"/>
      <c r="E19" s="226"/>
      <c r="F19" s="229">
        <v>194</v>
      </c>
      <c r="G19" s="233" t="s">
        <v>484</v>
      </c>
      <c r="H19" s="234" t="s">
        <v>483</v>
      </c>
      <c r="I19" s="779"/>
      <c r="J19" s="215">
        <f>+'4'!J19</f>
        <v>0</v>
      </c>
      <c r="K19" s="240"/>
      <c r="L19" s="240"/>
      <c r="M19" s="118">
        <f>+K19+'4'!M19+L19</f>
        <v>0</v>
      </c>
      <c r="R19" s="150">
        <f t="shared" si="2"/>
        <v>0</v>
      </c>
      <c r="S19" s="150">
        <f t="shared" si="3"/>
        <v>0</v>
      </c>
      <c r="Y19" s="150">
        <f t="shared" si="4"/>
        <v>0</v>
      </c>
      <c r="Z19" s="150">
        <f t="shared" si="5"/>
        <v>0</v>
      </c>
    </row>
    <row r="20" spans="1:26" ht="13.5" thickBot="1">
      <c r="A20" s="784"/>
      <c r="B20" s="216"/>
      <c r="C20" s="217"/>
      <c r="D20" s="218"/>
      <c r="E20" s="226"/>
      <c r="F20" s="229"/>
      <c r="G20" s="233"/>
      <c r="H20" s="234"/>
      <c r="I20" s="779"/>
      <c r="J20" s="215">
        <f>+'4'!J20</f>
        <v>0</v>
      </c>
      <c r="K20" s="241"/>
      <c r="L20" s="241"/>
      <c r="M20" s="118">
        <f>+K20+'4'!M20+L20</f>
        <v>0</v>
      </c>
    </row>
    <row r="21" spans="1:26" ht="13.5" thickBot="1">
      <c r="A21" s="784"/>
      <c r="B21" s="216"/>
      <c r="C21" s="217"/>
      <c r="D21" s="218"/>
      <c r="E21" s="226"/>
      <c r="F21" s="232"/>
      <c r="G21" s="233"/>
      <c r="H21" s="234"/>
      <c r="I21" s="779"/>
      <c r="J21" s="215">
        <f>+'4'!J21</f>
        <v>0</v>
      </c>
      <c r="K21" s="240"/>
      <c r="L21" s="240"/>
      <c r="M21" s="118">
        <f>+K21+'4'!M21+L21</f>
        <v>0</v>
      </c>
      <c r="Q21" s="150">
        <f>SUM(Q15:Q19)</f>
        <v>286</v>
      </c>
      <c r="R21" s="150">
        <f>SUM(R15:R19)</f>
        <v>157300</v>
      </c>
      <c r="S21" s="150">
        <f>SUM(S15:S19)</f>
        <v>133705</v>
      </c>
      <c r="X21" s="150">
        <f>SUM(X15:X19)</f>
        <v>658</v>
      </c>
      <c r="Y21" s="150">
        <f>SUM(Y15:Y19)</f>
        <v>369340</v>
      </c>
      <c r="Z21" s="150">
        <f>SUM(Z15:Z19)</f>
        <v>313939</v>
      </c>
    </row>
    <row r="22" spans="1:26" ht="13.5" thickBot="1">
      <c r="A22" s="784"/>
      <c r="B22" s="216"/>
      <c r="C22" s="217"/>
      <c r="D22" s="218"/>
      <c r="E22" s="226"/>
      <c r="F22" s="237"/>
      <c r="G22" s="233"/>
      <c r="H22" s="234"/>
      <c r="I22" s="780"/>
      <c r="J22" s="215">
        <f>+'4'!J22</f>
        <v>0</v>
      </c>
      <c r="K22" s="240"/>
      <c r="L22" s="240"/>
      <c r="M22" s="118">
        <f>+K22+'4'!M22+L22</f>
        <v>0</v>
      </c>
      <c r="Q22" s="150">
        <f>480-Q21</f>
        <v>194</v>
      </c>
      <c r="R22" s="150">
        <f>+R21/Q21</f>
        <v>550</v>
      </c>
      <c r="S22" s="150">
        <f>+S21/Q21</f>
        <v>467.5</v>
      </c>
      <c r="Y22" s="150">
        <f>+Y21/X21</f>
        <v>561.306990881459</v>
      </c>
      <c r="Z22" s="150">
        <f>+Z21/X21</f>
        <v>477.11094224924011</v>
      </c>
    </row>
    <row r="23" spans="1:26" ht="13.5" thickBot="1">
      <c r="A23" s="785"/>
      <c r="B23" s="166"/>
      <c r="C23" s="101">
        <f>SUM(C16:C22)</f>
        <v>6787</v>
      </c>
      <c r="D23" s="112">
        <f>SUM(D16:D22)</f>
        <v>0</v>
      </c>
      <c r="E23" s="113">
        <f>SUM(E18:E22)</f>
        <v>0</v>
      </c>
      <c r="F23" s="103">
        <f>SUM(F15:F22)</f>
        <v>198</v>
      </c>
      <c r="G23" s="160"/>
      <c r="H23" s="167"/>
      <c r="I23" s="170"/>
      <c r="J23" s="215">
        <f>+'4'!J23</f>
        <v>0</v>
      </c>
      <c r="K23" s="240"/>
      <c r="L23" s="240"/>
      <c r="M23" s="118">
        <f>+K23+'4'!M23+L23</f>
        <v>0</v>
      </c>
    </row>
    <row r="24" spans="1:26" ht="13.5" customHeight="1" thickBot="1">
      <c r="A24" s="775" t="s">
        <v>460</v>
      </c>
      <c r="B24" s="171"/>
      <c r="C24" s="114">
        <f>C23/($C$23+$D$23+$E$23)</f>
        <v>1</v>
      </c>
      <c r="D24" s="115">
        <f>D23/($C$23+$D$23+$E$23)</f>
        <v>0</v>
      </c>
      <c r="E24" s="116">
        <f>E23/($C$23+$D$23+$E$23)</f>
        <v>0</v>
      </c>
      <c r="F24" s="229"/>
      <c r="G24" s="230" t="s">
        <v>13</v>
      </c>
      <c r="H24" s="231" t="s">
        <v>390</v>
      </c>
      <c r="I24" s="778" t="s">
        <v>730</v>
      </c>
      <c r="J24" s="215">
        <f>+'4'!J24</f>
        <v>0</v>
      </c>
      <c r="K24" s="240"/>
      <c r="L24" s="240"/>
      <c r="M24" s="118">
        <f>+K24+'4'!M24+L24</f>
        <v>0</v>
      </c>
      <c r="N24" s="150" t="s">
        <v>487</v>
      </c>
      <c r="O24" s="150">
        <v>550</v>
      </c>
      <c r="P24" s="150">
        <f>+O24-O24*0.15</f>
        <v>467.5</v>
      </c>
      <c r="Q24" s="150">
        <f>372/2</f>
        <v>186</v>
      </c>
      <c r="R24" s="150">
        <f>+O24*Q24</f>
        <v>102300</v>
      </c>
      <c r="S24" s="150">
        <f>+P24*Q24</f>
        <v>86955</v>
      </c>
    </row>
    <row r="25" spans="1:26" ht="13.5" thickBot="1">
      <c r="A25" s="784"/>
      <c r="B25" s="216" t="s">
        <v>502</v>
      </c>
      <c r="C25" s="227">
        <v>17148</v>
      </c>
      <c r="D25" s="218">
        <v>858</v>
      </c>
      <c r="E25" s="226"/>
      <c r="F25" s="232">
        <v>3</v>
      </c>
      <c r="G25" s="579" t="s">
        <v>13</v>
      </c>
      <c r="H25" s="231" t="s">
        <v>424</v>
      </c>
      <c r="I25" s="779"/>
      <c r="J25" s="215">
        <f>+'4'!J25</f>
        <v>0</v>
      </c>
      <c r="K25" s="240"/>
      <c r="L25" s="240"/>
      <c r="M25" s="118">
        <f>+K25+'4'!M25+L25</f>
        <v>0</v>
      </c>
      <c r="N25" s="150" t="s">
        <v>487</v>
      </c>
      <c r="O25" s="150">
        <v>590</v>
      </c>
      <c r="P25" s="150">
        <f>+O25-O25*0.15</f>
        <v>501.5</v>
      </c>
      <c r="Q25" s="150">
        <v>186</v>
      </c>
      <c r="R25" s="150">
        <f t="shared" ref="R25:R28" si="6">+O25*Q25</f>
        <v>109740</v>
      </c>
      <c r="S25" s="150">
        <f t="shared" ref="S25:S28" si="7">+P25*Q25</f>
        <v>93279</v>
      </c>
    </row>
    <row r="26" spans="1:26" ht="13.5" thickBot="1">
      <c r="A26" s="784"/>
      <c r="B26" s="216"/>
      <c r="C26" s="227"/>
      <c r="D26" s="218"/>
      <c r="E26" s="228"/>
      <c r="F26" s="229">
        <v>7</v>
      </c>
      <c r="G26" s="579" t="s">
        <v>13</v>
      </c>
      <c r="H26" s="234" t="s">
        <v>493</v>
      </c>
      <c r="I26" s="779"/>
      <c r="J26" s="215">
        <f>+'4'!J26</f>
        <v>0</v>
      </c>
      <c r="K26" s="240"/>
      <c r="L26" s="240"/>
      <c r="M26" s="118">
        <f>+K26+'4'!M26+L26</f>
        <v>0</v>
      </c>
      <c r="N26" s="150" t="s">
        <v>488</v>
      </c>
      <c r="O26" s="150">
        <v>850</v>
      </c>
      <c r="P26" s="150">
        <f>+O26-O26*0.15</f>
        <v>722.5</v>
      </c>
      <c r="Q26" s="150">
        <f>60-12+60</f>
        <v>108</v>
      </c>
      <c r="R26" s="150">
        <f t="shared" si="6"/>
        <v>91800</v>
      </c>
      <c r="S26" s="150">
        <f t="shared" si="7"/>
        <v>78030</v>
      </c>
    </row>
    <row r="27" spans="1:26" ht="26.25" thickBot="1">
      <c r="A27" s="784"/>
      <c r="B27" s="216"/>
      <c r="C27" s="217"/>
      <c r="D27" s="218"/>
      <c r="E27" s="226"/>
      <c r="F27" s="229">
        <v>8</v>
      </c>
      <c r="G27" s="238" t="s">
        <v>14</v>
      </c>
      <c r="H27" s="234" t="s">
        <v>481</v>
      </c>
      <c r="I27" s="779"/>
      <c r="J27" s="215">
        <f>+'4'!J27</f>
        <v>0</v>
      </c>
      <c r="K27" s="240"/>
      <c r="L27" s="240"/>
      <c r="M27" s="118">
        <f>+K27+'4'!M27+L27</f>
        <v>0</v>
      </c>
      <c r="R27" s="150">
        <f t="shared" si="6"/>
        <v>0</v>
      </c>
      <c r="S27" s="150">
        <f t="shared" si="7"/>
        <v>0</v>
      </c>
    </row>
    <row r="28" spans="1:26" ht="26.25" thickBot="1">
      <c r="A28" s="784"/>
      <c r="B28" s="216"/>
      <c r="C28" s="217"/>
      <c r="D28" s="218"/>
      <c r="E28" s="226"/>
      <c r="F28" s="232"/>
      <c r="G28" s="233"/>
      <c r="H28" s="234" t="s">
        <v>620</v>
      </c>
      <c r="I28" s="779"/>
      <c r="J28" s="215">
        <f>+'4'!J28</f>
        <v>0</v>
      </c>
      <c r="K28" s="240"/>
      <c r="L28" s="240"/>
      <c r="M28" s="118">
        <f>+K28+'4'!M28+L28</f>
        <v>0</v>
      </c>
      <c r="R28" s="150">
        <f t="shared" si="6"/>
        <v>0</v>
      </c>
      <c r="S28" s="150">
        <f t="shared" si="7"/>
        <v>0</v>
      </c>
    </row>
    <row r="29" spans="1:26" ht="13.5" thickBot="1">
      <c r="A29" s="784"/>
      <c r="B29" s="216"/>
      <c r="C29" s="217"/>
      <c r="D29" s="218"/>
      <c r="E29" s="226"/>
      <c r="F29" s="237"/>
      <c r="G29" s="233"/>
      <c r="H29" s="234"/>
      <c r="I29" s="779"/>
      <c r="J29" s="215">
        <f>+'4'!J29</f>
        <v>0</v>
      </c>
      <c r="K29" s="240"/>
      <c r="L29" s="240"/>
      <c r="M29" s="118">
        <f>+K29+'4'!M29+L29</f>
        <v>0</v>
      </c>
    </row>
    <row r="30" spans="1:26" ht="13.5" thickBot="1">
      <c r="A30" s="784"/>
      <c r="B30" s="216"/>
      <c r="C30" s="227"/>
      <c r="D30" s="218"/>
      <c r="E30" s="226"/>
      <c r="F30" s="237"/>
      <c r="G30" s="233"/>
      <c r="H30" s="234"/>
      <c r="I30" s="779"/>
      <c r="J30" s="215">
        <f>+'4'!J30</f>
        <v>0</v>
      </c>
      <c r="K30" s="240"/>
      <c r="L30" s="240"/>
      <c r="M30" s="118">
        <f>+K30+'4'!M30+L30</f>
        <v>0</v>
      </c>
      <c r="Q30" s="150">
        <f>SUM(Q24:Q28)</f>
        <v>480</v>
      </c>
      <c r="R30" s="150">
        <f>SUM(R24:R28)</f>
        <v>303840</v>
      </c>
      <c r="S30" s="150">
        <f>SUM(S24:S28)</f>
        <v>258264</v>
      </c>
    </row>
    <row r="31" spans="1:26" ht="13.5" thickBot="1">
      <c r="A31" s="784"/>
      <c r="B31" s="216"/>
      <c r="C31" s="227"/>
      <c r="D31" s="218"/>
      <c r="E31" s="226"/>
      <c r="F31" s="237"/>
      <c r="G31" s="238"/>
      <c r="H31" s="235"/>
      <c r="I31" s="780"/>
      <c r="J31" s="215">
        <f>+'4'!J31</f>
        <v>0</v>
      </c>
      <c r="K31" s="240"/>
      <c r="L31" s="240"/>
      <c r="M31" s="118">
        <f>+K31+'4'!M31+L31</f>
        <v>0</v>
      </c>
      <c r="Q31" s="150">
        <f>480-Q30</f>
        <v>0</v>
      </c>
      <c r="R31" s="150">
        <f>+R30/Q30</f>
        <v>633</v>
      </c>
      <c r="S31" s="150">
        <f>+S30/Q30</f>
        <v>538.04999999999995</v>
      </c>
    </row>
    <row r="32" spans="1:26" ht="13.5" thickBot="1">
      <c r="A32" s="785"/>
      <c r="B32" s="166"/>
      <c r="C32" s="100">
        <f>SUM(C25:C31)</f>
        <v>17148</v>
      </c>
      <c r="D32" s="101">
        <f>SUM(D25:D31)</f>
        <v>858</v>
      </c>
      <c r="E32" s="102">
        <f>SUM(E25:E31)</f>
        <v>0</v>
      </c>
      <c r="F32" s="103">
        <f>SUM(F24:F31)</f>
        <v>18</v>
      </c>
      <c r="G32" s="172"/>
      <c r="H32" s="173"/>
      <c r="I32" s="170"/>
      <c r="J32" s="215">
        <f>+'4'!J32</f>
        <v>0</v>
      </c>
      <c r="K32" s="242"/>
      <c r="L32" s="244"/>
      <c r="M32" s="118">
        <f>+K32+'4'!M32+L32</f>
        <v>0</v>
      </c>
      <c r="N32" s="150" t="s">
        <v>469</v>
      </c>
      <c r="O32" s="150">
        <v>1180</v>
      </c>
      <c r="P32" s="150">
        <v>908.59999999999991</v>
      </c>
      <c r="Q32" s="150">
        <v>18</v>
      </c>
    </row>
    <row r="33" spans="1:17" ht="13.5" thickBot="1">
      <c r="A33" s="174"/>
      <c r="B33" s="175"/>
      <c r="C33" s="104">
        <f>C32/($C$32+$D$32+$E$32)</f>
        <v>0.95234921692769081</v>
      </c>
      <c r="D33" s="105">
        <f>D32/($C$32+$D$32+$E$32)</f>
        <v>4.765078307230923E-2</v>
      </c>
      <c r="E33" s="106">
        <f>E32/($C$32+$D$32+$E$32)</f>
        <v>0</v>
      </c>
      <c r="F33" s="107"/>
      <c r="G33" s="176"/>
      <c r="H33" s="177"/>
      <c r="I33" s="178"/>
      <c r="J33" s="122"/>
      <c r="K33" s="123"/>
      <c r="L33" s="214"/>
      <c r="M33" s="120"/>
      <c r="N33" s="150" t="s">
        <v>415</v>
      </c>
      <c r="O33" s="150">
        <v>1195</v>
      </c>
      <c r="P33" s="150">
        <v>920.15</v>
      </c>
      <c r="Q33" s="150">
        <v>47</v>
      </c>
    </row>
    <row r="34" spans="1:17" ht="13.5" thickBot="1">
      <c r="A34" s="771" t="s">
        <v>70</v>
      </c>
      <c r="B34" s="772"/>
      <c r="C34" s="108">
        <f>C14+C23+C32</f>
        <v>28985</v>
      </c>
      <c r="D34" s="108">
        <f>D14+D23+D32</f>
        <v>858</v>
      </c>
      <c r="E34" s="108">
        <f>E14+E23+E32</f>
        <v>0</v>
      </c>
      <c r="F34" s="109">
        <f>F14+F23+F32</f>
        <v>657</v>
      </c>
      <c r="H34" s="179"/>
      <c r="I34" s="179"/>
      <c r="J34" s="124" t="s">
        <v>29</v>
      </c>
      <c r="K34" s="125">
        <f>SUM(K7:K32)</f>
        <v>28985</v>
      </c>
      <c r="L34" s="213">
        <f>SUM(L7:L32)</f>
        <v>0</v>
      </c>
      <c r="M34" s="121">
        <f>SUM(M7:M32)</f>
        <v>216600</v>
      </c>
      <c r="N34" s="156" t="s">
        <v>487</v>
      </c>
      <c r="O34" s="150">
        <v>561.306990881459</v>
      </c>
      <c r="P34" s="150">
        <v>477.11094224924011</v>
      </c>
      <c r="Q34" s="150">
        <v>658</v>
      </c>
    </row>
    <row r="35" spans="1:17" ht="13.5" thickBot="1">
      <c r="A35" s="180"/>
      <c r="B35" s="181"/>
      <c r="C35" s="105">
        <f>C34/($C$34+$D$34+$E$34)</f>
        <v>0.97124953925543678</v>
      </c>
      <c r="D35" s="105">
        <f>D34/($C$34+$D$34+$E$34)</f>
        <v>2.8750460744563215E-2</v>
      </c>
      <c r="E35" s="110">
        <f>E34/($C$34+$D$34+$E$34)</f>
        <v>0</v>
      </c>
      <c r="K35" s="156"/>
      <c r="L35" s="762" t="s">
        <v>187</v>
      </c>
      <c r="M35" s="762"/>
      <c r="N35" s="150" t="s">
        <v>488</v>
      </c>
      <c r="O35" s="150">
        <v>850</v>
      </c>
      <c r="P35" s="150">
        <v>722.5</v>
      </c>
      <c r="Q35" s="150">
        <v>108</v>
      </c>
    </row>
    <row r="36" spans="1:17" ht="13.5" thickBot="1">
      <c r="A36" s="179"/>
      <c r="B36" s="179"/>
      <c r="C36" s="156"/>
      <c r="D36" s="156"/>
      <c r="E36" s="156"/>
      <c r="G36" s="156"/>
      <c r="H36" s="182"/>
      <c r="I36" s="163" t="s">
        <v>41</v>
      </c>
      <c r="J36" s="163" t="s">
        <v>42</v>
      </c>
      <c r="K36" s="183"/>
      <c r="L36" s="163" t="s">
        <v>41</v>
      </c>
      <c r="M36" s="163" t="s">
        <v>42</v>
      </c>
      <c r="Q36" s="150">
        <f>+Q32+Q33+Q34+Q35</f>
        <v>831</v>
      </c>
    </row>
    <row r="37" spans="1:17" ht="17.45" customHeight="1" thickBot="1">
      <c r="A37" s="773" t="s">
        <v>71</v>
      </c>
      <c r="B37" s="774"/>
      <c r="C37" s="163" t="s">
        <v>72</v>
      </c>
      <c r="D37" s="184" t="s">
        <v>73</v>
      </c>
      <c r="E37" s="185" t="s">
        <v>74</v>
      </c>
      <c r="F37" s="361"/>
      <c r="G37" s="363"/>
      <c r="H37" s="187" t="s">
        <v>75</v>
      </c>
      <c r="I37" s="245">
        <f>(15*18+47*13.5+29*658+108*20)/831*G42*2.74*831/1000000</f>
        <v>32.974676164739471</v>
      </c>
      <c r="J37" s="126">
        <f>+I37+'4'!J37</f>
        <v>234.58244800231361</v>
      </c>
      <c r="K37" s="127" t="s">
        <v>76</v>
      </c>
      <c r="L37" s="421"/>
      <c r="M37" s="422"/>
    </row>
    <row r="38" spans="1:17" ht="17.45" customHeight="1">
      <c r="A38" s="767" t="s">
        <v>13</v>
      </c>
      <c r="B38" s="768"/>
      <c r="C38" s="165">
        <f>SUMIF($G$7:$G$31,"Process",$F$7:$F$31)</f>
        <v>25</v>
      </c>
      <c r="D38" s="119">
        <f>+C38+'4'!D38</f>
        <v>302</v>
      </c>
      <c r="E38" s="144">
        <f t="shared" ref="E38:E51" si="8">D38/60</f>
        <v>5.0333333333333332</v>
      </c>
      <c r="F38" s="361">
        <v>1190.8461538461538</v>
      </c>
      <c r="G38" s="361">
        <v>916.95153846153835</v>
      </c>
      <c r="H38" s="188" t="s">
        <v>77</v>
      </c>
      <c r="I38" s="543">
        <f>2.91+1.296+8.956+15.584+1.642</f>
        <v>30.387999999999998</v>
      </c>
      <c r="J38" s="128">
        <f>+I38+'4'!J38</f>
        <v>222.50500000000002</v>
      </c>
      <c r="K38" s="129" t="s">
        <v>76</v>
      </c>
      <c r="L38" s="423"/>
      <c r="M38" s="424"/>
      <c r="N38" s="150">
        <v>65</v>
      </c>
    </row>
    <row r="39" spans="1:17" ht="17.45" customHeight="1">
      <c r="A39" s="763" t="s">
        <v>14</v>
      </c>
      <c r="B39" s="764"/>
      <c r="C39" s="165">
        <f>SUMIF($G$7:$G$31,"Cleaning",$F$7:$F$31)</f>
        <v>23</v>
      </c>
      <c r="D39" s="119">
        <f>+C39+'4'!D39</f>
        <v>94</v>
      </c>
      <c r="E39" s="144">
        <f t="shared" si="8"/>
        <v>1.5666666666666667</v>
      </c>
      <c r="F39" s="361">
        <v>550</v>
      </c>
      <c r="G39" s="361">
        <v>467.5</v>
      </c>
      <c r="H39" s="188" t="s">
        <v>78</v>
      </c>
      <c r="I39" s="143"/>
      <c r="J39" s="130">
        <f>J37/G4</f>
        <v>46.916489600462725</v>
      </c>
      <c r="K39" s="131" t="s">
        <v>76</v>
      </c>
      <c r="L39" s="423"/>
      <c r="M39" s="424"/>
      <c r="N39" s="150">
        <v>286</v>
      </c>
    </row>
    <row r="40" spans="1:17" ht="17.45" customHeight="1">
      <c r="A40" s="763" t="s">
        <v>79</v>
      </c>
      <c r="B40" s="764"/>
      <c r="C40" s="165">
        <f>SUMIF($G$7:$G$31,"Mechanical",$F$7:$F$31)</f>
        <v>0</v>
      </c>
      <c r="D40" s="119">
        <f>+C40+'4'!D40</f>
        <v>0</v>
      </c>
      <c r="E40" s="144">
        <f t="shared" si="8"/>
        <v>0</v>
      </c>
      <c r="F40" s="361">
        <v>633</v>
      </c>
      <c r="G40" s="361">
        <v>538.04999999999995</v>
      </c>
      <c r="H40" s="188" t="s">
        <v>80</v>
      </c>
      <c r="I40" s="119">
        <f>(K34+L34)/1000</f>
        <v>28.984999999999999</v>
      </c>
      <c r="J40" s="132">
        <f>+I40+'4'!J40</f>
        <v>216.60000000000002</v>
      </c>
      <c r="K40" s="131" t="s">
        <v>76</v>
      </c>
      <c r="L40" s="423"/>
      <c r="M40" s="424"/>
      <c r="N40" s="150">
        <v>480</v>
      </c>
    </row>
    <row r="41" spans="1:17" ht="17.45" customHeight="1">
      <c r="A41" s="763" t="s">
        <v>81</v>
      </c>
      <c r="B41" s="764"/>
      <c r="C41" s="165">
        <f>SUMIF($G$7:$G$31,"Electrical",$F$7:$F$31)</f>
        <v>0</v>
      </c>
      <c r="D41" s="119">
        <f>+C41+'4'!D41</f>
        <v>0</v>
      </c>
      <c r="E41" s="144">
        <f t="shared" si="8"/>
        <v>0</v>
      </c>
      <c r="F41" s="361"/>
      <c r="G41" s="361"/>
      <c r="H41" s="188" t="s">
        <v>82</v>
      </c>
      <c r="I41" s="143"/>
      <c r="J41" s="130">
        <f>J40/G4</f>
        <v>43.320000000000007</v>
      </c>
      <c r="K41" s="131" t="s">
        <v>76</v>
      </c>
      <c r="L41" s="423"/>
      <c r="M41" s="424"/>
      <c r="N41" s="150">
        <f>+N38+N39+N40</f>
        <v>831</v>
      </c>
    </row>
    <row r="42" spans="1:17" ht="17.45" customHeight="1">
      <c r="A42" s="763" t="s">
        <v>17</v>
      </c>
      <c r="B42" s="764"/>
      <c r="C42" s="165">
        <f>SUMIF($G$7:$G$31,"Instrument",$F$7:$F$31)</f>
        <v>0</v>
      </c>
      <c r="D42" s="119">
        <f>+C42+'4'!D42</f>
        <v>0</v>
      </c>
      <c r="E42" s="144">
        <f t="shared" si="8"/>
        <v>0</v>
      </c>
      <c r="F42" s="361">
        <f>+(65*F38+286*F39+480*F40)/831</f>
        <v>648.06859205776175</v>
      </c>
      <c r="G42" s="361">
        <f>+(65*G38+286*G39+480*G40)/831</f>
        <v>543.4065583634175</v>
      </c>
      <c r="H42" s="188" t="s">
        <v>83</v>
      </c>
      <c r="I42" s="247" t="s">
        <v>489</v>
      </c>
      <c r="J42" s="133"/>
      <c r="K42" s="131" t="s">
        <v>84</v>
      </c>
      <c r="L42" s="423"/>
      <c r="M42" s="424"/>
    </row>
    <row r="43" spans="1:17" ht="17.45" customHeight="1">
      <c r="A43" s="763" t="s">
        <v>85</v>
      </c>
      <c r="B43" s="764"/>
      <c r="C43" s="165">
        <f>SUMIF($G$7:$G$31,"Water",$F$7:$F$31)</f>
        <v>0</v>
      </c>
      <c r="D43" s="119">
        <f>+C43+'4'!D43</f>
        <v>0</v>
      </c>
      <c r="E43" s="144">
        <f t="shared" si="8"/>
        <v>0</v>
      </c>
      <c r="F43" s="361"/>
      <c r="G43" s="362"/>
      <c r="H43" s="189" t="s">
        <v>86</v>
      </c>
      <c r="I43" s="119">
        <f>+Report1!AH13</f>
        <v>45.6</v>
      </c>
      <c r="J43" s="134">
        <f>+I43+'4'!J43</f>
        <v>313.8</v>
      </c>
      <c r="K43" s="131" t="s">
        <v>76</v>
      </c>
      <c r="L43" s="425">
        <f>+Report1!AN13</f>
        <v>6</v>
      </c>
      <c r="M43" s="426">
        <f>+L43+'4'!M43</f>
        <v>45.800000000000004</v>
      </c>
    </row>
    <row r="44" spans="1:17" ht="17.45" customHeight="1">
      <c r="A44" s="763" t="s">
        <v>18</v>
      </c>
      <c r="B44" s="764"/>
      <c r="C44" s="165">
        <f>SUMIF($G$7:$G$31,"PLN",$F$7:$F$31)</f>
        <v>0</v>
      </c>
      <c r="D44" s="119">
        <f>+C44+'4'!D44</f>
        <v>0</v>
      </c>
      <c r="E44" s="144">
        <f t="shared" si="8"/>
        <v>0</v>
      </c>
      <c r="F44" s="361"/>
      <c r="G44" s="362"/>
      <c r="H44" s="189" t="s">
        <v>87</v>
      </c>
      <c r="I44" s="119">
        <f>I43/I38</f>
        <v>1.5005923390812164</v>
      </c>
      <c r="J44" s="135">
        <f>J43/J38</f>
        <v>1.4103053863958113</v>
      </c>
      <c r="K44" s="131" t="s">
        <v>76</v>
      </c>
      <c r="L44" s="427">
        <f>+L43/I38</f>
        <v>0.19744636040542321</v>
      </c>
      <c r="M44" s="428">
        <f>+M43/J38</f>
        <v>0.20583807105458304</v>
      </c>
    </row>
    <row r="45" spans="1:17" ht="17.45" customHeight="1">
      <c r="A45" s="763" t="s">
        <v>19</v>
      </c>
      <c r="B45" s="764"/>
      <c r="C45" s="165">
        <f>SUMIF($G$7:$G$31,"Boiler",$F$7:$F$31)</f>
        <v>0</v>
      </c>
      <c r="D45" s="119">
        <f>+C45+'4'!D45</f>
        <v>0</v>
      </c>
      <c r="E45" s="144">
        <f t="shared" si="8"/>
        <v>0</v>
      </c>
      <c r="F45" s="361"/>
      <c r="G45" s="364"/>
      <c r="H45" s="189" t="s">
        <v>88</v>
      </c>
      <c r="I45" s="119">
        <f>I43/I40</f>
        <v>1.5732275314818009</v>
      </c>
      <c r="J45" s="135">
        <f>J43/J40</f>
        <v>1.4487534626038781</v>
      </c>
      <c r="K45" s="131" t="s">
        <v>76</v>
      </c>
      <c r="L45" s="427">
        <f>+L43/I40</f>
        <v>0.20700362256339486</v>
      </c>
      <c r="M45" s="428">
        <f>+M43/J40</f>
        <v>0.21144967682363805</v>
      </c>
    </row>
    <row r="46" spans="1:17" ht="17.45" customHeight="1">
      <c r="A46" s="763" t="s">
        <v>89</v>
      </c>
      <c r="B46" s="764"/>
      <c r="C46" s="165">
        <f>SUMIF($G$7:$G$31,"Gas",$F$7:$F$31)</f>
        <v>0</v>
      </c>
      <c r="D46" s="119">
        <f>+C46+'4'!D46</f>
        <v>0</v>
      </c>
      <c r="E46" s="144">
        <f t="shared" si="8"/>
        <v>0</v>
      </c>
      <c r="F46" s="361"/>
      <c r="G46" s="362"/>
      <c r="H46" s="189" t="s">
        <v>90</v>
      </c>
      <c r="I46" s="141">
        <f>+SUMIF(Listrik!P12,"&gt;0")</f>
        <v>22984.560000000016</v>
      </c>
      <c r="J46" s="136">
        <f>+I46+'4'!J46</f>
        <v>187934.46000000005</v>
      </c>
      <c r="K46" s="131" t="s">
        <v>91</v>
      </c>
      <c r="L46" s="427">
        <f>+Listrik!AF12</f>
        <v>0</v>
      </c>
      <c r="M46" s="429">
        <f>+L46+'4'!M46</f>
        <v>0</v>
      </c>
    </row>
    <row r="47" spans="1:17" ht="17.45" customHeight="1">
      <c r="A47" s="763" t="s">
        <v>92</v>
      </c>
      <c r="B47" s="764"/>
      <c r="C47" s="165">
        <f>SUMIF($G$7:$G$31,"Gas",$F$7:$F$31)</f>
        <v>0</v>
      </c>
      <c r="D47" s="119">
        <f>+C47+'4'!D47</f>
        <v>0</v>
      </c>
      <c r="E47" s="144">
        <f t="shared" si="8"/>
        <v>0</v>
      </c>
      <c r="F47" s="361"/>
      <c r="G47" s="362"/>
      <c r="H47" s="189" t="s">
        <v>93</v>
      </c>
      <c r="I47" s="119">
        <f>I46/I38</f>
        <v>756.36961958667951</v>
      </c>
      <c r="J47" s="136">
        <f>J46/J38</f>
        <v>844.63027797128166</v>
      </c>
      <c r="K47" s="131" t="s">
        <v>25</v>
      </c>
      <c r="L47" s="427">
        <f>+L46/I38</f>
        <v>0</v>
      </c>
      <c r="M47" s="428">
        <f>+M46/J38</f>
        <v>0</v>
      </c>
    </row>
    <row r="48" spans="1:17" ht="17.45" customHeight="1">
      <c r="A48" s="763" t="s">
        <v>15</v>
      </c>
      <c r="B48" s="764"/>
      <c r="C48" s="165">
        <f>SUMIF($G$7:$G$31,"Start Up",$F$7:$F$31)</f>
        <v>0</v>
      </c>
      <c r="D48" s="119">
        <f>+C48+'4'!D48</f>
        <v>0</v>
      </c>
      <c r="E48" s="144">
        <f t="shared" si="8"/>
        <v>0</v>
      </c>
      <c r="F48" s="361"/>
      <c r="G48" s="362"/>
      <c r="H48" s="189" t="s">
        <v>94</v>
      </c>
      <c r="I48" s="119">
        <f>I46/I40</f>
        <v>792.98119717095108</v>
      </c>
      <c r="J48" s="136">
        <f>J46/J40</f>
        <v>867.65678670360126</v>
      </c>
      <c r="K48" s="131" t="s">
        <v>25</v>
      </c>
      <c r="L48" s="427">
        <f>+L46/I38</f>
        <v>0</v>
      </c>
      <c r="M48" s="428">
        <f>+M46/J40</f>
        <v>0</v>
      </c>
    </row>
    <row r="49" spans="1:13" ht="17.45" customHeight="1">
      <c r="A49" s="763" t="s">
        <v>21</v>
      </c>
      <c r="B49" s="764"/>
      <c r="C49" s="165">
        <f>SUMIF($G$7:$G$31,"Others",$F$7:$F$31)</f>
        <v>0</v>
      </c>
      <c r="D49" s="119">
        <f>+C49+'4'!D49</f>
        <v>0</v>
      </c>
      <c r="E49" s="144">
        <f t="shared" si="8"/>
        <v>0</v>
      </c>
      <c r="F49" s="186"/>
      <c r="H49" s="189" t="s">
        <v>182</v>
      </c>
      <c r="I49" s="119">
        <f>+Report1!AB13</f>
        <v>3284.0806608769331</v>
      </c>
      <c r="J49" s="136">
        <f>+I49+'4'!J49</f>
        <v>20516.454375445574</v>
      </c>
      <c r="K49" s="131" t="s">
        <v>96</v>
      </c>
      <c r="L49" s="423"/>
      <c r="M49" s="424"/>
    </row>
    <row r="50" spans="1:13" ht="17.45" customHeight="1">
      <c r="A50" s="763" t="s">
        <v>20</v>
      </c>
      <c r="B50" s="764"/>
      <c r="C50" s="165">
        <f>SUMIF($G$7:$G$31,"Steam",$F$7:$F$31)</f>
        <v>0</v>
      </c>
      <c r="D50" s="119">
        <f>+C50+'4'!D50</f>
        <v>0</v>
      </c>
      <c r="E50" s="144">
        <f t="shared" si="8"/>
        <v>0</v>
      </c>
      <c r="F50" s="186"/>
      <c r="H50" s="189" t="s">
        <v>97</v>
      </c>
      <c r="I50" s="141">
        <f>I49/I38</f>
        <v>108.07162896133123</v>
      </c>
      <c r="J50" s="134">
        <f>J49/J38</f>
        <v>92.206711648931801</v>
      </c>
      <c r="K50" s="131" t="s">
        <v>96</v>
      </c>
      <c r="L50" s="423"/>
      <c r="M50" s="424"/>
    </row>
    <row r="51" spans="1:13" ht="17.45" customHeight="1" thickBot="1">
      <c r="A51" s="765" t="s">
        <v>98</v>
      </c>
      <c r="B51" s="766"/>
      <c r="C51" s="165">
        <f>SUMIF($G$7:$G$31,"Planned shut",$F$7:$F$31)</f>
        <v>609</v>
      </c>
      <c r="D51" s="119">
        <f>+C51+'4'!D51</f>
        <v>609</v>
      </c>
      <c r="E51" s="144">
        <f t="shared" si="8"/>
        <v>10.15</v>
      </c>
      <c r="F51" s="186"/>
      <c r="H51" s="191" t="s">
        <v>99</v>
      </c>
      <c r="I51" s="142">
        <f>I49/I40</f>
        <v>113.30276559865217</v>
      </c>
      <c r="J51" s="137">
        <f>J49/J40</f>
        <v>94.720472647486474</v>
      </c>
      <c r="K51" s="138" t="s">
        <v>96</v>
      </c>
      <c r="L51" s="423"/>
      <c r="M51" s="424"/>
    </row>
    <row r="52" spans="1:13" ht="13.5" thickBot="1">
      <c r="A52" s="767" t="s">
        <v>29</v>
      </c>
      <c r="B52" s="768"/>
      <c r="C52" s="145">
        <f>SUM(C38:C51)</f>
        <v>657</v>
      </c>
      <c r="D52" s="145">
        <f>SUM(D38:D51)</f>
        <v>1005</v>
      </c>
      <c r="E52" s="146">
        <f>SUM(E38:E51)</f>
        <v>16.75</v>
      </c>
      <c r="F52" s="186"/>
      <c r="H52" s="192"/>
      <c r="I52" s="193"/>
      <c r="J52" s="139"/>
      <c r="K52" s="140"/>
      <c r="L52" s="430"/>
      <c r="M52" s="431"/>
    </row>
    <row r="53" spans="1:13" ht="13.5" thickBot="1">
      <c r="A53" s="769"/>
      <c r="B53" s="770"/>
      <c r="C53" s="147">
        <f>C52/(24*60)</f>
        <v>0.45624999999999999</v>
      </c>
      <c r="D53" s="147">
        <f>D52/(24*60*G4)</f>
        <v>0.13958333333333334</v>
      </c>
      <c r="E53" s="148">
        <f>E52/(G4*24)</f>
        <v>0.13958333333333334</v>
      </c>
      <c r="F53" s="186"/>
    </row>
    <row r="54" spans="1:13">
      <c r="E54" s="194"/>
      <c r="F54" s="186"/>
    </row>
    <row r="55" spans="1:13">
      <c r="E55" s="194"/>
    </row>
    <row r="56" spans="1:13">
      <c r="A56" s="195" t="s">
        <v>100</v>
      </c>
      <c r="B56" s="196"/>
      <c r="C56" s="197"/>
      <c r="D56" s="197"/>
      <c r="E56" s="197"/>
      <c r="F56" s="198"/>
      <c r="G56" s="197"/>
      <c r="H56" s="199"/>
      <c r="I56" s="200" t="s">
        <v>101</v>
      </c>
      <c r="J56" s="201">
        <f>+D34+'4'!J56</f>
        <v>858</v>
      </c>
      <c r="K56" s="202">
        <f>J56/(J40+J56/1000)/1000</f>
        <v>3.9455894931435028E-3</v>
      </c>
    </row>
    <row r="57" spans="1:13">
      <c r="A57" s="177"/>
      <c r="I57" s="200" t="s">
        <v>102</v>
      </c>
      <c r="J57" s="201">
        <f>+E34+'4'!J57</f>
        <v>0</v>
      </c>
      <c r="K57" s="202">
        <f>J57/(J40+J57/1000)/1000</f>
        <v>0</v>
      </c>
    </row>
    <row r="58" spans="1:13">
      <c r="A58" s="203"/>
      <c r="B58" s="204"/>
      <c r="C58" s="150">
        <f>1336+864</f>
        <v>2200</v>
      </c>
      <c r="F58" s="186"/>
      <c r="H58" s="205"/>
    </row>
    <row r="59" spans="1:13">
      <c r="A59" s="206"/>
      <c r="B59" s="177"/>
      <c r="C59" s="595">
        <f>+C34+C58</f>
        <v>31185</v>
      </c>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4027777777777778" header="0" footer="0"/>
  <pageSetup paperSize="9" scale="46"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Z61"/>
  <sheetViews>
    <sheetView view="pageBreakPreview" topLeftCell="B1" zoomScale="80" zoomScaleNormal="75" zoomScaleSheetLayoutView="80" workbookViewId="0">
      <selection activeCell="H10" sqref="H10"/>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4" style="150" bestFit="1" customWidth="1"/>
    <col min="12" max="12" width="8.28515625" style="150" customWidth="1"/>
    <col min="13" max="13" width="14.5703125" style="150" bestFit="1"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4</v>
      </c>
      <c r="H4" s="155" t="str">
        <f>+'5'!H4</f>
        <v>.11.25</v>
      </c>
      <c r="J4" s="150">
        <f>367+388.8+419.3</f>
        <v>1175.0999999999999</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416</v>
      </c>
      <c r="O6" s="150">
        <v>1230</v>
      </c>
      <c r="P6" s="150">
        <f>+O6-O6*0.23</f>
        <v>947.09999999999991</v>
      </c>
      <c r="Q6" s="150">
        <v>480</v>
      </c>
      <c r="R6" s="150">
        <f>+O6*Q6</f>
        <v>590400</v>
      </c>
      <c r="S6" s="150">
        <f>+P6*Q6</f>
        <v>454607.99999999994</v>
      </c>
    </row>
    <row r="7" spans="1:26" ht="13.5" customHeight="1" thickBot="1">
      <c r="A7" s="775" t="s">
        <v>444</v>
      </c>
      <c r="B7" s="216" t="s">
        <v>447</v>
      </c>
      <c r="C7" s="217">
        <v>16342</v>
      </c>
      <c r="D7" s="218"/>
      <c r="E7" s="219"/>
      <c r="F7" s="229"/>
      <c r="G7" s="230" t="s">
        <v>13</v>
      </c>
      <c r="H7" s="231" t="s">
        <v>390</v>
      </c>
      <c r="I7" s="778" t="s">
        <v>461</v>
      </c>
      <c r="J7" s="215" t="str">
        <f>+'3'!J7</f>
        <v>T 13,5 RC HW</v>
      </c>
      <c r="K7" s="239"/>
      <c r="L7" s="243"/>
      <c r="M7" s="118">
        <f>+K7+'3'!M7+L7</f>
        <v>61329</v>
      </c>
      <c r="R7" s="150">
        <f t="shared" ref="R7:R10" si="0">+O7*Q7</f>
        <v>0</v>
      </c>
      <c r="S7" s="150">
        <f t="shared" ref="S7:S10" si="1">+P7*Q7</f>
        <v>0</v>
      </c>
    </row>
    <row r="8" spans="1:26" ht="13.5" thickBot="1">
      <c r="A8" s="776"/>
      <c r="B8" s="216"/>
      <c r="C8" s="217"/>
      <c r="D8" s="218"/>
      <c r="E8" s="220"/>
      <c r="F8" s="232">
        <v>2</v>
      </c>
      <c r="G8" s="579" t="s">
        <v>13</v>
      </c>
      <c r="H8" s="231" t="s">
        <v>398</v>
      </c>
      <c r="I8" s="779"/>
      <c r="J8" s="215" t="str">
        <f>+'3'!J8</f>
        <v>T 14 RC HW</v>
      </c>
      <c r="K8" s="240">
        <f>+C7+C16</f>
        <v>22055</v>
      </c>
      <c r="L8" s="240"/>
      <c r="M8" s="118">
        <f>+K8+'3'!M8+L8</f>
        <v>97781</v>
      </c>
      <c r="R8" s="150">
        <f t="shared" si="0"/>
        <v>0</v>
      </c>
      <c r="S8" s="150">
        <f t="shared" si="1"/>
        <v>0</v>
      </c>
    </row>
    <row r="9" spans="1:26" ht="13.5" thickBot="1">
      <c r="A9" s="776"/>
      <c r="B9" s="216"/>
      <c r="C9" s="217"/>
      <c r="D9" s="218"/>
      <c r="E9" s="221"/>
      <c r="F9" s="229">
        <v>4</v>
      </c>
      <c r="G9" s="579" t="s">
        <v>13</v>
      </c>
      <c r="H9" s="234" t="s">
        <v>397</v>
      </c>
      <c r="I9" s="779"/>
      <c r="J9" s="215" t="s">
        <v>479</v>
      </c>
      <c r="K9" s="240">
        <f>+C17+C25</f>
        <v>28505</v>
      </c>
      <c r="L9" s="240"/>
      <c r="M9" s="118">
        <f>+K9+'3'!M9+L9</f>
        <v>28505</v>
      </c>
      <c r="R9" s="150">
        <f t="shared" si="0"/>
        <v>0</v>
      </c>
      <c r="S9" s="150">
        <f t="shared" si="1"/>
        <v>0</v>
      </c>
    </row>
    <row r="10" spans="1:26" ht="26.25" thickBot="1">
      <c r="A10" s="776"/>
      <c r="B10" s="216"/>
      <c r="C10" s="217"/>
      <c r="D10" s="218"/>
      <c r="E10" s="220"/>
      <c r="F10" s="229">
        <v>15</v>
      </c>
      <c r="G10" s="238" t="s">
        <v>14</v>
      </c>
      <c r="H10" s="234" t="s">
        <v>471</v>
      </c>
      <c r="I10" s="779"/>
      <c r="J10" s="215">
        <f>+'3'!J10</f>
        <v>0</v>
      </c>
      <c r="K10" s="240"/>
      <c r="L10" s="240"/>
      <c r="M10" s="118">
        <f>+K10+'3'!M10+L10</f>
        <v>0</v>
      </c>
      <c r="R10" s="150">
        <f t="shared" si="0"/>
        <v>0</v>
      </c>
      <c r="S10" s="150">
        <f t="shared" si="1"/>
        <v>0</v>
      </c>
    </row>
    <row r="11" spans="1:26" ht="13.5" thickBot="1">
      <c r="A11" s="776"/>
      <c r="B11" s="216"/>
      <c r="C11" s="217"/>
      <c r="D11" s="218"/>
      <c r="E11" s="220"/>
      <c r="F11" s="229"/>
      <c r="G11" s="233"/>
      <c r="H11" s="234"/>
      <c r="I11" s="779"/>
      <c r="J11" s="215">
        <f>+'3'!J11</f>
        <v>0</v>
      </c>
      <c r="K11" s="240"/>
      <c r="L11" s="240"/>
      <c r="M11" s="118">
        <f>+K11+'3'!M11+L11</f>
        <v>0</v>
      </c>
    </row>
    <row r="12" spans="1:26" ht="13.5" thickBot="1">
      <c r="A12" s="776"/>
      <c r="B12" s="216"/>
      <c r="C12" s="217"/>
      <c r="D12" s="218"/>
      <c r="E12" s="220"/>
      <c r="F12" s="229"/>
      <c r="G12" s="233"/>
      <c r="H12" s="234"/>
      <c r="I12" s="779"/>
      <c r="J12" s="215">
        <f>+'3'!J12</f>
        <v>0</v>
      </c>
      <c r="K12" s="240"/>
      <c r="L12" s="240"/>
      <c r="M12" s="118">
        <f>+K12+'3'!M12+L12</f>
        <v>0</v>
      </c>
      <c r="Q12" s="150">
        <f>SUM(Q6:Q10)</f>
        <v>480</v>
      </c>
      <c r="R12" s="150">
        <f>SUM(R6:R10)</f>
        <v>590400</v>
      </c>
      <c r="S12" s="150">
        <f>SUM(S6:S10)</f>
        <v>454607.99999999994</v>
      </c>
    </row>
    <row r="13" spans="1:26" ht="13.5" thickBot="1">
      <c r="A13" s="776"/>
      <c r="B13" s="216"/>
      <c r="C13" s="217"/>
      <c r="D13" s="217"/>
      <c r="E13" s="220"/>
      <c r="F13" s="229"/>
      <c r="G13" s="579"/>
      <c r="H13" s="234"/>
      <c r="I13" s="780"/>
      <c r="J13" s="215">
        <f>+'3'!J13</f>
        <v>0</v>
      </c>
      <c r="K13" s="240"/>
      <c r="L13" s="240"/>
      <c r="M13" s="118">
        <f>+K13+'3'!M13+L13</f>
        <v>0</v>
      </c>
      <c r="R13" s="150">
        <f>+R12/Q12</f>
        <v>1230</v>
      </c>
      <c r="S13" s="150">
        <f>+S12/Q12</f>
        <v>947.09999999999991</v>
      </c>
    </row>
    <row r="14" spans="1:26" ht="13.5" thickBot="1">
      <c r="A14" s="777"/>
      <c r="B14" s="166"/>
      <c r="C14" s="100">
        <f>SUM(C7:C13)</f>
        <v>16342</v>
      </c>
      <c r="D14" s="112">
        <f>SUM(D7:D13)</f>
        <v>0</v>
      </c>
      <c r="E14" s="113">
        <f>SUM(E5:E13)</f>
        <v>0</v>
      </c>
      <c r="F14" s="103">
        <f>SUM(F6:F13)</f>
        <v>21</v>
      </c>
      <c r="G14" s="160"/>
      <c r="H14" s="167"/>
      <c r="I14" s="168"/>
      <c r="J14" s="215">
        <f>+'3'!J14</f>
        <v>0</v>
      </c>
      <c r="K14" s="240"/>
      <c r="L14" s="240"/>
      <c r="M14" s="118">
        <f>+K14+'3'!M14+L14</f>
        <v>0</v>
      </c>
      <c r="N14" s="150" t="s">
        <v>416</v>
      </c>
      <c r="O14" s="150">
        <v>1230</v>
      </c>
      <c r="P14" s="150">
        <f>+O14-O14*0.23</f>
        <v>947.09999999999991</v>
      </c>
      <c r="Q14" s="150">
        <v>20</v>
      </c>
      <c r="R14" s="150">
        <f>+O14*Q14</f>
        <v>24600</v>
      </c>
      <c r="S14" s="150">
        <f>+P14*Q14</f>
        <v>18942</v>
      </c>
      <c r="U14" s="150" t="s">
        <v>469</v>
      </c>
      <c r="V14" s="150">
        <v>1180</v>
      </c>
      <c r="W14" s="150">
        <v>908.59999999999991</v>
      </c>
      <c r="X14" s="150">
        <v>460</v>
      </c>
      <c r="Y14" s="150">
        <f>+V14*X14</f>
        <v>542800</v>
      </c>
      <c r="Z14" s="150">
        <f>+W14*X14</f>
        <v>417955.99999999994</v>
      </c>
    </row>
    <row r="15" spans="1:26" ht="13.5" customHeight="1" thickBot="1">
      <c r="A15" s="775" t="s">
        <v>445</v>
      </c>
      <c r="B15" s="166"/>
      <c r="C15" s="114">
        <f>C14/($C$23+$D$23+$E$23)</f>
        <v>0.90497286521209441</v>
      </c>
      <c r="D15" s="115">
        <f>D14/($C$23+$D$23+$E$23)</f>
        <v>0</v>
      </c>
      <c r="E15" s="116">
        <f>E14/($C$23+$D$23+$E$23)</f>
        <v>0</v>
      </c>
      <c r="F15" s="229"/>
      <c r="G15" s="230" t="s">
        <v>13</v>
      </c>
      <c r="H15" s="231" t="s">
        <v>390</v>
      </c>
      <c r="I15" s="778" t="s">
        <v>473</v>
      </c>
      <c r="J15" s="215">
        <f>+'3'!J15</f>
        <v>0</v>
      </c>
      <c r="K15" s="240"/>
      <c r="L15" s="240"/>
      <c r="M15" s="118">
        <f>+K15+'3'!M15+L15</f>
        <v>0</v>
      </c>
      <c r="N15" s="150" t="s">
        <v>469</v>
      </c>
      <c r="O15" s="150">
        <v>1180</v>
      </c>
      <c r="P15" s="150">
        <f>+O15-O15*0.23</f>
        <v>908.59999999999991</v>
      </c>
      <c r="Q15" s="150">
        <f>480-Q14</f>
        <v>460</v>
      </c>
      <c r="R15" s="150">
        <f t="shared" ref="R15:R18" si="2">+O15*Q15</f>
        <v>542800</v>
      </c>
      <c r="S15" s="150">
        <f t="shared" ref="S15:S18" si="3">+P15*Q15</f>
        <v>417955.99999999994</v>
      </c>
      <c r="U15" s="150" t="s">
        <v>469</v>
      </c>
      <c r="V15" s="150">
        <v>1175</v>
      </c>
      <c r="W15" s="150">
        <v>916.5</v>
      </c>
      <c r="X15" s="150">
        <v>49</v>
      </c>
      <c r="Y15" s="150">
        <f t="shared" ref="Y15:Y18" si="4">+V15*X15</f>
        <v>57575</v>
      </c>
      <c r="Z15" s="150">
        <f t="shared" ref="Z15:Z18" si="5">+W15*X15</f>
        <v>44908.5</v>
      </c>
    </row>
    <row r="16" spans="1:26" ht="13.5" thickBot="1">
      <c r="A16" s="781"/>
      <c r="B16" s="216" t="s">
        <v>447</v>
      </c>
      <c r="C16" s="223">
        <v>5713</v>
      </c>
      <c r="D16" s="224"/>
      <c r="E16" s="225"/>
      <c r="F16" s="232">
        <v>5</v>
      </c>
      <c r="G16" s="579" t="s">
        <v>13</v>
      </c>
      <c r="H16" s="231" t="s">
        <v>398</v>
      </c>
      <c r="I16" s="779"/>
      <c r="J16" s="215">
        <f>+'3'!J16</f>
        <v>0</v>
      </c>
      <c r="K16" s="230"/>
      <c r="L16" s="230"/>
      <c r="M16" s="118">
        <f>+K16+'3'!M16+L16</f>
        <v>0</v>
      </c>
      <c r="R16" s="150">
        <f t="shared" si="2"/>
        <v>0</v>
      </c>
      <c r="S16" s="150">
        <f t="shared" si="3"/>
        <v>0</v>
      </c>
      <c r="U16" s="150" t="s">
        <v>469</v>
      </c>
      <c r="V16" s="150">
        <v>1170</v>
      </c>
      <c r="W16" s="150">
        <v>912.6</v>
      </c>
      <c r="X16" s="150">
        <v>431</v>
      </c>
      <c r="Y16" s="150">
        <f t="shared" si="4"/>
        <v>504270</v>
      </c>
      <c r="Z16" s="150">
        <f t="shared" si="5"/>
        <v>393330.60000000003</v>
      </c>
    </row>
    <row r="17" spans="1:26" ht="13.5" thickBot="1">
      <c r="A17" s="781"/>
      <c r="B17" s="216" t="s">
        <v>479</v>
      </c>
      <c r="C17" s="217">
        <v>12345</v>
      </c>
      <c r="D17" s="218"/>
      <c r="E17" s="226"/>
      <c r="F17" s="229">
        <v>10</v>
      </c>
      <c r="G17" s="579" t="s">
        <v>13</v>
      </c>
      <c r="H17" s="234" t="s">
        <v>423</v>
      </c>
      <c r="I17" s="779"/>
      <c r="J17" s="215">
        <f>+'3'!J17</f>
        <v>0</v>
      </c>
      <c r="K17" s="230"/>
      <c r="L17" s="230"/>
      <c r="M17" s="118">
        <f>+K17+'3'!M17+L17</f>
        <v>0</v>
      </c>
      <c r="R17" s="150">
        <f t="shared" si="2"/>
        <v>0</v>
      </c>
      <c r="S17" s="150">
        <f t="shared" si="3"/>
        <v>0</v>
      </c>
      <c r="Y17" s="150">
        <f t="shared" si="4"/>
        <v>0</v>
      </c>
      <c r="Z17" s="150">
        <f t="shared" si="5"/>
        <v>0</v>
      </c>
    </row>
    <row r="18" spans="1:26" ht="26.25" thickBot="1">
      <c r="A18" s="781"/>
      <c r="B18" s="216"/>
      <c r="C18" s="217"/>
      <c r="D18" s="218"/>
      <c r="E18" s="226"/>
      <c r="F18" s="236"/>
      <c r="G18" s="238" t="s">
        <v>14</v>
      </c>
      <c r="H18" s="234" t="s">
        <v>472</v>
      </c>
      <c r="I18" s="779"/>
      <c r="J18" s="215">
        <f>+'3'!J18</f>
        <v>0</v>
      </c>
      <c r="K18" s="240"/>
      <c r="L18" s="240"/>
      <c r="M18" s="118">
        <f>+K18+'3'!M18+L18</f>
        <v>0</v>
      </c>
      <c r="R18" s="150">
        <f t="shared" si="2"/>
        <v>0</v>
      </c>
      <c r="S18" s="150">
        <f t="shared" si="3"/>
        <v>0</v>
      </c>
      <c r="Y18" s="150">
        <f t="shared" si="4"/>
        <v>0</v>
      </c>
      <c r="Z18" s="150">
        <f t="shared" si="5"/>
        <v>0</v>
      </c>
    </row>
    <row r="19" spans="1:26" ht="13.5" thickBot="1">
      <c r="A19" s="781"/>
      <c r="B19" s="216"/>
      <c r="C19" s="217"/>
      <c r="D19" s="218"/>
      <c r="E19" s="226"/>
      <c r="F19" s="229"/>
      <c r="G19" s="233"/>
      <c r="H19" s="234" t="s">
        <v>468</v>
      </c>
      <c r="I19" s="779"/>
      <c r="J19" s="215">
        <f>+'3'!J19</f>
        <v>0</v>
      </c>
      <c r="K19" s="240"/>
      <c r="L19" s="240"/>
      <c r="M19" s="118">
        <f>+K19+'3'!M19+L19</f>
        <v>0</v>
      </c>
    </row>
    <row r="20" spans="1:26" ht="13.5" thickBot="1">
      <c r="A20" s="781"/>
      <c r="B20" s="216"/>
      <c r="C20" s="217"/>
      <c r="D20" s="218"/>
      <c r="E20" s="226"/>
      <c r="F20" s="229"/>
      <c r="G20" s="233"/>
      <c r="H20" s="234"/>
      <c r="I20" s="779"/>
      <c r="J20" s="215">
        <f>+'3'!J20</f>
        <v>0</v>
      </c>
      <c r="K20" s="241"/>
      <c r="L20" s="241"/>
      <c r="M20" s="118">
        <f>+K20+'3'!M20+L20</f>
        <v>0</v>
      </c>
      <c r="Q20" s="150">
        <f>SUM(Q14:Q18)</f>
        <v>480</v>
      </c>
      <c r="R20" s="150">
        <f>SUM(R14:R18)</f>
        <v>567400</v>
      </c>
      <c r="S20" s="150">
        <f>SUM(S14:S18)</f>
        <v>436897.99999999994</v>
      </c>
      <c r="X20" s="150">
        <f>SUM(X14:X18)</f>
        <v>940</v>
      </c>
      <c r="Y20" s="150">
        <f>SUM(Y14:Y18)</f>
        <v>1104645</v>
      </c>
      <c r="Z20" s="150">
        <f>SUM(Z14:Z18)</f>
        <v>856195.1</v>
      </c>
    </row>
    <row r="21" spans="1:26" ht="13.5" thickBot="1">
      <c r="A21" s="781"/>
      <c r="B21" s="216"/>
      <c r="C21" s="217"/>
      <c r="D21" s="218"/>
      <c r="E21" s="226"/>
      <c r="F21" s="232"/>
      <c r="G21" s="233"/>
      <c r="H21" s="234"/>
      <c r="I21" s="779"/>
      <c r="J21" s="215">
        <f>+'3'!J21</f>
        <v>0</v>
      </c>
      <c r="K21" s="240"/>
      <c r="L21" s="240"/>
      <c r="M21" s="118">
        <f>+K21+'3'!M21+L21</f>
        <v>0</v>
      </c>
      <c r="R21" s="150">
        <f>+R20/Q20</f>
        <v>1182.0833333333333</v>
      </c>
      <c r="S21" s="150">
        <f>+S20/Q20</f>
        <v>910.20416666666654</v>
      </c>
      <c r="Y21" s="150">
        <f>+Y20/X20</f>
        <v>1175.1542553191489</v>
      </c>
      <c r="Z21" s="150">
        <f>+Z20/X20</f>
        <v>910.84585106382974</v>
      </c>
    </row>
    <row r="22" spans="1:26" ht="13.5" thickBot="1">
      <c r="A22" s="781"/>
      <c r="B22" s="216"/>
      <c r="C22" s="217"/>
      <c r="D22" s="218"/>
      <c r="E22" s="226"/>
      <c r="F22" s="237"/>
      <c r="G22" s="233"/>
      <c r="H22" s="234"/>
      <c r="I22" s="780"/>
      <c r="J22" s="215">
        <f>+'3'!J22</f>
        <v>0</v>
      </c>
      <c r="K22" s="240"/>
      <c r="L22" s="240"/>
      <c r="M22" s="118">
        <f>+K22+'3'!M22+L22</f>
        <v>0</v>
      </c>
    </row>
    <row r="23" spans="1:26" ht="13.5" thickBot="1">
      <c r="A23" s="782"/>
      <c r="B23" s="166"/>
      <c r="C23" s="101">
        <f>SUM(C16:C22)</f>
        <v>18058</v>
      </c>
      <c r="D23" s="112">
        <f>SUM(D16:D22)</f>
        <v>0</v>
      </c>
      <c r="E23" s="113">
        <f>SUM(E18:E22)</f>
        <v>0</v>
      </c>
      <c r="F23" s="103">
        <f>SUM(F15:F22)</f>
        <v>15</v>
      </c>
      <c r="G23" s="160"/>
      <c r="H23" s="167"/>
      <c r="I23" s="170"/>
      <c r="J23" s="215">
        <f>+'3'!J23</f>
        <v>0</v>
      </c>
      <c r="K23" s="240"/>
      <c r="L23" s="240"/>
      <c r="M23" s="118">
        <f>+K23+'3'!M23+L23</f>
        <v>0</v>
      </c>
      <c r="N23" s="150" t="s">
        <v>469</v>
      </c>
      <c r="O23" s="150">
        <v>1175</v>
      </c>
      <c r="P23" s="150">
        <f>+O23-O23*0.22</f>
        <v>916.5</v>
      </c>
      <c r="Q23" s="150">
        <v>49</v>
      </c>
      <c r="R23" s="150">
        <f>+O23*Q23</f>
        <v>57575</v>
      </c>
      <c r="S23" s="150">
        <f>+P23*Q23</f>
        <v>44908.5</v>
      </c>
    </row>
    <row r="24" spans="1:26" ht="13.5" customHeight="1" thickBot="1">
      <c r="A24" s="775" t="s">
        <v>460</v>
      </c>
      <c r="B24" s="171"/>
      <c r="C24" s="114">
        <f>C23/($C$23+$D$23+$E$23)</f>
        <v>1</v>
      </c>
      <c r="D24" s="115">
        <f>D23/($C$23+$D$23+$E$23)</f>
        <v>0</v>
      </c>
      <c r="E24" s="116">
        <f>E23/($C$23+$D$23+$E$23)</f>
        <v>0</v>
      </c>
      <c r="F24" s="229"/>
      <c r="G24" s="230" t="s">
        <v>13</v>
      </c>
      <c r="H24" s="231" t="s">
        <v>390</v>
      </c>
      <c r="I24" s="778" t="s">
        <v>474</v>
      </c>
      <c r="J24" s="215">
        <f>+'3'!J24</f>
        <v>0</v>
      </c>
      <c r="K24" s="240"/>
      <c r="L24" s="240"/>
      <c r="M24" s="118">
        <f>+K24+'3'!M24+L24</f>
        <v>0</v>
      </c>
      <c r="N24" s="150" t="s">
        <v>469</v>
      </c>
      <c r="O24" s="150">
        <v>1170</v>
      </c>
      <c r="P24" s="150">
        <f>+O24-O24*0.22</f>
        <v>912.6</v>
      </c>
      <c r="Q24" s="150">
        <f>480-Q23</f>
        <v>431</v>
      </c>
      <c r="R24" s="150">
        <f t="shared" ref="R24:R27" si="6">+O24*Q24</f>
        <v>504270</v>
      </c>
      <c r="S24" s="150">
        <f t="shared" ref="S24:S27" si="7">+P24*Q24</f>
        <v>393330.60000000003</v>
      </c>
    </row>
    <row r="25" spans="1:26" ht="13.5" thickBot="1">
      <c r="A25" s="781"/>
      <c r="B25" s="216" t="s">
        <v>479</v>
      </c>
      <c r="C25" s="227">
        <v>16160</v>
      </c>
      <c r="D25" s="218"/>
      <c r="E25" s="226"/>
      <c r="F25" s="232">
        <v>5</v>
      </c>
      <c r="G25" s="579" t="s">
        <v>13</v>
      </c>
      <c r="H25" s="231" t="s">
        <v>429</v>
      </c>
      <c r="I25" s="779"/>
      <c r="J25" s="215">
        <f>+'3'!J25</f>
        <v>0</v>
      </c>
      <c r="K25" s="240"/>
      <c r="L25" s="240"/>
      <c r="M25" s="118">
        <f>+K25+'3'!M25+L25</f>
        <v>0</v>
      </c>
      <c r="R25" s="150">
        <f t="shared" si="6"/>
        <v>0</v>
      </c>
      <c r="S25" s="150">
        <f t="shared" si="7"/>
        <v>0</v>
      </c>
    </row>
    <row r="26" spans="1:26" ht="13.5" thickBot="1">
      <c r="A26" s="781"/>
      <c r="B26" s="216"/>
      <c r="C26" s="227"/>
      <c r="D26" s="218"/>
      <c r="E26" s="228"/>
      <c r="F26" s="229">
        <v>8</v>
      </c>
      <c r="G26" s="579" t="s">
        <v>13</v>
      </c>
      <c r="H26" s="234" t="s">
        <v>425</v>
      </c>
      <c r="I26" s="779"/>
      <c r="J26" s="215">
        <f>+'3'!J26</f>
        <v>0</v>
      </c>
      <c r="K26" s="240"/>
      <c r="L26" s="240"/>
      <c r="M26" s="118">
        <f>+K26+'3'!M26+L26</f>
        <v>0</v>
      </c>
      <c r="R26" s="150">
        <f t="shared" si="6"/>
        <v>0</v>
      </c>
      <c r="S26" s="150">
        <f t="shared" si="7"/>
        <v>0</v>
      </c>
    </row>
    <row r="27" spans="1:26" ht="26.25" thickBot="1">
      <c r="A27" s="781"/>
      <c r="B27" s="216"/>
      <c r="C27" s="217"/>
      <c r="D27" s="218"/>
      <c r="E27" s="226"/>
      <c r="F27" s="229">
        <v>8</v>
      </c>
      <c r="G27" s="238" t="s">
        <v>14</v>
      </c>
      <c r="H27" s="234" t="s">
        <v>467</v>
      </c>
      <c r="I27" s="779"/>
      <c r="J27" s="215">
        <f>+'3'!J27</f>
        <v>0</v>
      </c>
      <c r="K27" s="240"/>
      <c r="L27" s="240"/>
      <c r="M27" s="118">
        <f>+K27+'3'!M27+L27</f>
        <v>0</v>
      </c>
      <c r="R27" s="150">
        <f t="shared" si="6"/>
        <v>0</v>
      </c>
      <c r="S27" s="150">
        <f t="shared" si="7"/>
        <v>0</v>
      </c>
    </row>
    <row r="28" spans="1:26" ht="26.25" thickBot="1">
      <c r="A28" s="781"/>
      <c r="B28" s="216"/>
      <c r="C28" s="217"/>
      <c r="D28" s="218"/>
      <c r="E28" s="226"/>
      <c r="F28" s="232"/>
      <c r="G28" s="233"/>
      <c r="H28" s="234" t="s">
        <v>470</v>
      </c>
      <c r="I28" s="779"/>
      <c r="J28" s="215">
        <f>+'3'!J28</f>
        <v>0</v>
      </c>
      <c r="K28" s="240"/>
      <c r="L28" s="240"/>
      <c r="M28" s="118">
        <f>+K28+'3'!M28+L28</f>
        <v>0</v>
      </c>
    </row>
    <row r="29" spans="1:26" ht="13.5" thickBot="1">
      <c r="A29" s="781"/>
      <c r="B29" s="216"/>
      <c r="C29" s="217"/>
      <c r="D29" s="218"/>
      <c r="E29" s="226"/>
      <c r="F29" s="237"/>
      <c r="G29" s="233"/>
      <c r="H29" s="234"/>
      <c r="I29" s="779"/>
      <c r="J29" s="215">
        <f>+'3'!J29</f>
        <v>0</v>
      </c>
      <c r="K29" s="240"/>
      <c r="L29" s="240"/>
      <c r="M29" s="118">
        <f>+K29+'3'!M29+L29</f>
        <v>0</v>
      </c>
      <c r="Q29" s="150">
        <f>SUM(Q23:Q27)</f>
        <v>480</v>
      </c>
      <c r="R29" s="150">
        <f>SUM(R23:R27)</f>
        <v>561845</v>
      </c>
      <c r="S29" s="150">
        <f>SUM(S23:S27)</f>
        <v>438239.10000000003</v>
      </c>
    </row>
    <row r="30" spans="1:26" ht="13.5" thickBot="1">
      <c r="A30" s="781"/>
      <c r="B30" s="216"/>
      <c r="C30" s="227"/>
      <c r="D30" s="218"/>
      <c r="E30" s="226"/>
      <c r="F30" s="237"/>
      <c r="G30" s="233"/>
      <c r="H30" s="234"/>
      <c r="I30" s="779"/>
      <c r="J30" s="215">
        <f>+'3'!J30</f>
        <v>0</v>
      </c>
      <c r="K30" s="240"/>
      <c r="L30" s="240"/>
      <c r="M30" s="118">
        <f>+K30+'3'!M30+L30</f>
        <v>0</v>
      </c>
      <c r="R30" s="150">
        <f>+R29/Q29</f>
        <v>1170.5104166666667</v>
      </c>
      <c r="S30" s="150">
        <f>+S29/Q29</f>
        <v>912.99812500000007</v>
      </c>
    </row>
    <row r="31" spans="1:26" ht="13.5" thickBot="1">
      <c r="A31" s="781"/>
      <c r="B31" s="216"/>
      <c r="C31" s="227"/>
      <c r="D31" s="218"/>
      <c r="E31" s="226"/>
      <c r="F31" s="237"/>
      <c r="G31" s="238"/>
      <c r="H31" s="235"/>
      <c r="I31" s="780"/>
      <c r="J31" s="215">
        <f>+'3'!J31</f>
        <v>0</v>
      </c>
      <c r="K31" s="240"/>
      <c r="L31" s="240"/>
      <c r="M31" s="118">
        <f>+K31+'3'!M31+L31</f>
        <v>0</v>
      </c>
    </row>
    <row r="32" spans="1:26" ht="13.5" thickBot="1">
      <c r="A32" s="782"/>
      <c r="B32" s="166"/>
      <c r="C32" s="100">
        <f>SUM(C25:C31)</f>
        <v>16160</v>
      </c>
      <c r="D32" s="101">
        <f>SUM(D25:D31)</f>
        <v>0</v>
      </c>
      <c r="E32" s="102">
        <f>SUM(E25:E31)</f>
        <v>0</v>
      </c>
      <c r="F32" s="103">
        <f>SUM(F24:F31)</f>
        <v>21</v>
      </c>
      <c r="G32" s="172"/>
      <c r="H32" s="173"/>
      <c r="I32" s="170"/>
      <c r="J32" s="215">
        <f>+'3'!J32</f>
        <v>0</v>
      </c>
      <c r="K32" s="242"/>
      <c r="L32" s="244"/>
      <c r="M32" s="118">
        <f>+K32+'3'!M32+L32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71" t="s">
        <v>70</v>
      </c>
      <c r="B34" s="772"/>
      <c r="C34" s="108">
        <f>C14+C23+C32</f>
        <v>50560</v>
      </c>
      <c r="D34" s="108">
        <f>D14+D23+D32</f>
        <v>0</v>
      </c>
      <c r="E34" s="108">
        <f>E14+E23+E32</f>
        <v>0</v>
      </c>
      <c r="F34" s="109">
        <f>F14+F23+F32</f>
        <v>57</v>
      </c>
      <c r="H34" s="179"/>
      <c r="I34" s="179"/>
      <c r="J34" s="124" t="s">
        <v>29</v>
      </c>
      <c r="K34" s="125">
        <f>SUM(K7:K32)</f>
        <v>50560</v>
      </c>
      <c r="L34" s="213">
        <f>SUM(L7:L32)</f>
        <v>0</v>
      </c>
      <c r="M34" s="121">
        <f>SUM(M7:M32)</f>
        <v>187615</v>
      </c>
      <c r="N34" s="156" t="s">
        <v>416</v>
      </c>
      <c r="O34" s="150">
        <v>1230</v>
      </c>
      <c r="P34" s="150">
        <v>947.09999999999991</v>
      </c>
      <c r="Q34" s="150">
        <f>480+20</f>
        <v>500</v>
      </c>
    </row>
    <row r="35" spans="1:17" ht="13.5" thickBot="1">
      <c r="A35" s="180"/>
      <c r="B35" s="181"/>
      <c r="C35" s="105">
        <f>C34/($C$34+$D$34+$E$34)</f>
        <v>1</v>
      </c>
      <c r="D35" s="105">
        <f>D34/($C$34+$D$34+$E$34)</f>
        <v>0</v>
      </c>
      <c r="E35" s="110">
        <f>E34/($C$34+$D$34+$E$34)</f>
        <v>0</v>
      </c>
      <c r="K35" s="156"/>
      <c r="L35" s="762" t="s">
        <v>187</v>
      </c>
      <c r="M35" s="762"/>
      <c r="N35" s="150" t="s">
        <v>469</v>
      </c>
      <c r="O35" s="150">
        <v>1175.1542553191489</v>
      </c>
      <c r="P35" s="150">
        <v>910.84585106382974</v>
      </c>
      <c r="Q35" s="150">
        <v>940</v>
      </c>
    </row>
    <row r="36" spans="1:17" ht="13.5" thickBot="1">
      <c r="A36" s="179"/>
      <c r="B36" s="179"/>
      <c r="C36" s="156"/>
      <c r="D36" s="156"/>
      <c r="E36" s="156"/>
      <c r="G36" s="156"/>
      <c r="H36" s="182"/>
      <c r="I36" s="163" t="s">
        <v>41</v>
      </c>
      <c r="J36" s="163" t="s">
        <v>42</v>
      </c>
      <c r="K36" s="183"/>
      <c r="L36" s="163" t="s">
        <v>41</v>
      </c>
      <c r="M36" s="163" t="s">
        <v>42</v>
      </c>
      <c r="Q36" s="150">
        <f>+Q34+Q35</f>
        <v>1440</v>
      </c>
    </row>
    <row r="37" spans="1:17" ht="17.45" customHeight="1" thickBot="1">
      <c r="A37" s="773" t="s">
        <v>71</v>
      </c>
      <c r="B37" s="774"/>
      <c r="C37" s="163" t="s">
        <v>72</v>
      </c>
      <c r="D37" s="184" t="s">
        <v>73</v>
      </c>
      <c r="E37" s="185" t="s">
        <v>74</v>
      </c>
      <c r="F37" s="361"/>
      <c r="G37" s="363"/>
      <c r="H37" s="187" t="s">
        <v>75</v>
      </c>
      <c r="I37" s="245">
        <f>(14*500+940*15)/1440*G42*2.74*1440/1000000</f>
        <v>53.387418896805563</v>
      </c>
      <c r="J37" s="126">
        <f>+I37+'3'!J37</f>
        <v>201.60777183757415</v>
      </c>
      <c r="K37" s="127" t="s">
        <v>76</v>
      </c>
      <c r="L37" s="421"/>
      <c r="M37" s="422"/>
    </row>
    <row r="38" spans="1:17" ht="17.45" customHeight="1">
      <c r="A38" s="767" t="s">
        <v>13</v>
      </c>
      <c r="B38" s="768"/>
      <c r="C38" s="165">
        <f>SUMIF($G$7:$G$31,"Process",$F$7:$F$31)</f>
        <v>34</v>
      </c>
      <c r="D38" s="119">
        <f>+C38+'3'!D38</f>
        <v>277</v>
      </c>
      <c r="E38" s="144">
        <f t="shared" ref="E38:E51" si="8">D38/60</f>
        <v>4.6166666666666663</v>
      </c>
      <c r="F38" s="361">
        <v>1230</v>
      </c>
      <c r="G38" s="361">
        <v>947.09999999999991</v>
      </c>
      <c r="H38" s="188" t="s">
        <v>77</v>
      </c>
      <c r="I38" s="543">
        <f>16.883+2.428+15.454+16.892</f>
        <v>51.656999999999996</v>
      </c>
      <c r="J38" s="128">
        <f>+I38+'3'!J38</f>
        <v>192.11700000000002</v>
      </c>
      <c r="K38" s="129" t="s">
        <v>76</v>
      </c>
      <c r="L38" s="423"/>
      <c r="M38" s="424"/>
    </row>
    <row r="39" spans="1:17" ht="17.45" customHeight="1">
      <c r="A39" s="763" t="s">
        <v>14</v>
      </c>
      <c r="B39" s="764"/>
      <c r="C39" s="165">
        <f>SUMIF($G$7:$G$31,"Cleaning",$F$7:$F$31)</f>
        <v>23</v>
      </c>
      <c r="D39" s="119">
        <f>+C39+'3'!D39</f>
        <v>71</v>
      </c>
      <c r="E39" s="144">
        <f t="shared" si="8"/>
        <v>1.1833333333333333</v>
      </c>
      <c r="F39" s="361">
        <v>1182.0833333333333</v>
      </c>
      <c r="G39" s="361">
        <v>910.20416666666654</v>
      </c>
      <c r="H39" s="188" t="s">
        <v>78</v>
      </c>
      <c r="I39" s="143"/>
      <c r="J39" s="130">
        <f>J37/G4</f>
        <v>50.401942959393537</v>
      </c>
      <c r="K39" s="131" t="s">
        <v>76</v>
      </c>
      <c r="L39" s="423"/>
      <c r="M39" s="424"/>
    </row>
    <row r="40" spans="1:17" ht="17.45" customHeight="1">
      <c r="A40" s="763" t="s">
        <v>79</v>
      </c>
      <c r="B40" s="764"/>
      <c r="C40" s="165">
        <f>SUMIF($G$7:$G$31,"Mechanical",$F$7:$F$31)</f>
        <v>0</v>
      </c>
      <c r="D40" s="119">
        <f>+C40+'3'!D40</f>
        <v>0</v>
      </c>
      <c r="E40" s="144">
        <f t="shared" si="8"/>
        <v>0</v>
      </c>
      <c r="F40" s="361">
        <v>1170.5104166666667</v>
      </c>
      <c r="G40" s="361">
        <v>912.99812500000007</v>
      </c>
      <c r="H40" s="188" t="s">
        <v>80</v>
      </c>
      <c r="I40" s="119">
        <f>(K34+L34)/1000</f>
        <v>50.56</v>
      </c>
      <c r="J40" s="132">
        <f>+I40+'3'!J40</f>
        <v>187.61500000000001</v>
      </c>
      <c r="K40" s="131" t="s">
        <v>76</v>
      </c>
      <c r="L40" s="423"/>
      <c r="M40" s="424"/>
    </row>
    <row r="41" spans="1:17" ht="17.45" customHeight="1">
      <c r="A41" s="763" t="s">
        <v>81</v>
      </c>
      <c r="B41" s="764"/>
      <c r="C41" s="165">
        <f>SUMIF($G$7:$G$31,"Electrical",$F$7:$F$31)</f>
        <v>0</v>
      </c>
      <c r="D41" s="119">
        <f>+C41+'3'!D41</f>
        <v>0</v>
      </c>
      <c r="E41" s="144">
        <f t="shared" si="8"/>
        <v>0</v>
      </c>
      <c r="F41" s="361"/>
      <c r="G41" s="361"/>
      <c r="H41" s="188" t="s">
        <v>82</v>
      </c>
      <c r="I41" s="143"/>
      <c r="J41" s="130">
        <f>J40/G4</f>
        <v>46.903750000000002</v>
      </c>
      <c r="K41" s="131" t="s">
        <v>76</v>
      </c>
      <c r="L41" s="423"/>
      <c r="M41" s="424"/>
    </row>
    <row r="42" spans="1:17" ht="17.45" customHeight="1">
      <c r="A42" s="763" t="s">
        <v>17</v>
      </c>
      <c r="B42" s="764"/>
      <c r="C42" s="165">
        <f>SUMIF($G$7:$G$31,"Instrument",$F$7:$F$31)</f>
        <v>0</v>
      </c>
      <c r="D42" s="119">
        <f>+C42+'3'!D42</f>
        <v>0</v>
      </c>
      <c r="E42" s="144">
        <f t="shared" si="8"/>
        <v>0</v>
      </c>
      <c r="F42" s="361">
        <f>+(480*F38+480*F39+480*F40)/1440</f>
        <v>1194.1979166666667</v>
      </c>
      <c r="G42" s="361">
        <f>+(480*G38+480*G39+480*G40)/1440</f>
        <v>923.43409722222214</v>
      </c>
      <c r="H42" s="188" t="s">
        <v>83</v>
      </c>
      <c r="I42" s="247" t="s">
        <v>475</v>
      </c>
      <c r="J42" s="133"/>
      <c r="K42" s="131" t="s">
        <v>84</v>
      </c>
      <c r="L42" s="423"/>
      <c r="M42" s="424"/>
    </row>
    <row r="43" spans="1:17" ht="17.45" customHeight="1">
      <c r="A43" s="763" t="s">
        <v>202</v>
      </c>
      <c r="B43" s="764"/>
      <c r="C43" s="165">
        <f>SUMIF($G$7:$G$31,"Change Grade",$F$7:$F$31)</f>
        <v>0</v>
      </c>
      <c r="D43" s="119">
        <f>+C43+'3'!D43</f>
        <v>0</v>
      </c>
      <c r="E43" s="144">
        <f t="shared" si="8"/>
        <v>0</v>
      </c>
      <c r="F43" s="361"/>
      <c r="G43" s="362"/>
      <c r="H43" s="189" t="s">
        <v>86</v>
      </c>
      <c r="I43" s="119">
        <f>+Report1!AH12</f>
        <v>68.5</v>
      </c>
      <c r="J43" s="134">
        <f>+I43+'3'!J43</f>
        <v>268.2</v>
      </c>
      <c r="K43" s="131" t="s">
        <v>76</v>
      </c>
      <c r="L43" s="425">
        <f>+Report1!AN12</f>
        <v>11.1</v>
      </c>
      <c r="M43" s="426">
        <f>+L43+'3'!M43</f>
        <v>39.800000000000004</v>
      </c>
    </row>
    <row r="44" spans="1:17" ht="17.45" customHeight="1">
      <c r="A44" s="763" t="s">
        <v>18</v>
      </c>
      <c r="B44" s="764"/>
      <c r="C44" s="165">
        <f>SUMIF($G$7:$G$31,"PLN",$F$7:$F$31)</f>
        <v>0</v>
      </c>
      <c r="D44" s="119">
        <f>+C44+'3'!D44</f>
        <v>0</v>
      </c>
      <c r="E44" s="144">
        <f t="shared" si="8"/>
        <v>0</v>
      </c>
      <c r="F44" s="361"/>
      <c r="G44" s="362"/>
      <c r="H44" s="189" t="s">
        <v>87</v>
      </c>
      <c r="I44" s="119">
        <f>I43/I38</f>
        <v>1.3260545521420137</v>
      </c>
      <c r="J44" s="135">
        <f>J43/J38</f>
        <v>1.3960242976935928</v>
      </c>
      <c r="K44" s="131" t="s">
        <v>76</v>
      </c>
      <c r="L44" s="427">
        <f>+L43/I38</f>
        <v>0.21487891282885185</v>
      </c>
      <c r="M44" s="428">
        <f>+M43/J38</f>
        <v>0.2071654252356637</v>
      </c>
    </row>
    <row r="45" spans="1:17" ht="17.45" customHeight="1">
      <c r="A45" s="763" t="s">
        <v>19</v>
      </c>
      <c r="B45" s="764"/>
      <c r="C45" s="165">
        <f>SUMIF($G$7:$G$31,"Boiler",$F$7:$F$31)</f>
        <v>0</v>
      </c>
      <c r="D45" s="119">
        <f>+C45+'3'!D45</f>
        <v>0</v>
      </c>
      <c r="E45" s="144">
        <f t="shared" si="8"/>
        <v>0</v>
      </c>
      <c r="F45" s="361"/>
      <c r="G45" s="364"/>
      <c r="H45" s="189" t="s">
        <v>88</v>
      </c>
      <c r="I45" s="119">
        <f>I43/I40</f>
        <v>1.3548259493670884</v>
      </c>
      <c r="J45" s="135">
        <f>J43/J40</f>
        <v>1.4295232257548702</v>
      </c>
      <c r="K45" s="131" t="s">
        <v>76</v>
      </c>
      <c r="L45" s="427">
        <f>+L43/I40</f>
        <v>0.21954113924050631</v>
      </c>
      <c r="M45" s="428">
        <f>+M43/J40</f>
        <v>0.21213655624550276</v>
      </c>
    </row>
    <row r="46" spans="1:17" ht="17.45" customHeight="1">
      <c r="A46" s="763" t="s">
        <v>89</v>
      </c>
      <c r="B46" s="764"/>
      <c r="C46" s="165">
        <f>SUMIF($G$7:$G$31,"Gas",$F$7:$F$31)</f>
        <v>0</v>
      </c>
      <c r="D46" s="119">
        <f>+C46+'3'!D46</f>
        <v>0</v>
      </c>
      <c r="E46" s="144">
        <f t="shared" si="8"/>
        <v>0</v>
      </c>
      <c r="F46" s="361"/>
      <c r="G46" s="362"/>
      <c r="H46" s="189" t="s">
        <v>90</v>
      </c>
      <c r="I46" s="141">
        <f>+SUMIF(Listrik!P11,"&gt;0")</f>
        <v>40511.740000000027</v>
      </c>
      <c r="J46" s="136">
        <f>+I46+'3'!J46</f>
        <v>164949.90000000002</v>
      </c>
      <c r="K46" s="131" t="s">
        <v>91</v>
      </c>
      <c r="L46" s="427">
        <f>+Listrik!AF11</f>
        <v>0</v>
      </c>
      <c r="M46" s="429">
        <f>+L46+'3'!M46</f>
        <v>0</v>
      </c>
    </row>
    <row r="47" spans="1:17" ht="17.45" customHeight="1">
      <c r="A47" s="763" t="s">
        <v>92</v>
      </c>
      <c r="B47" s="764"/>
      <c r="C47" s="165">
        <f>SUMIF($G$7:$G$31,"Gas",$F$7:$F$31)</f>
        <v>0</v>
      </c>
      <c r="D47" s="119">
        <f>+C47+'3'!D47</f>
        <v>0</v>
      </c>
      <c r="E47" s="144">
        <f t="shared" si="8"/>
        <v>0</v>
      </c>
      <c r="F47" s="361"/>
      <c r="G47" s="362"/>
      <c r="H47" s="189" t="s">
        <v>93</v>
      </c>
      <c r="I47" s="119">
        <f>I46/I38</f>
        <v>784.24492324370419</v>
      </c>
      <c r="J47" s="136">
        <f>J46/J38</f>
        <v>858.59085869548244</v>
      </c>
      <c r="K47" s="131" t="s">
        <v>25</v>
      </c>
      <c r="L47" s="423">
        <f>+L46/I38</f>
        <v>0</v>
      </c>
      <c r="M47" s="428">
        <f>+M46/J38</f>
        <v>0</v>
      </c>
    </row>
    <row r="48" spans="1:17" ht="17.45" customHeight="1">
      <c r="A48" s="763" t="s">
        <v>15</v>
      </c>
      <c r="B48" s="764"/>
      <c r="C48" s="165">
        <f>SUMIF($G$7:$G$31,"Start Up",$F$7:$F$31)</f>
        <v>0</v>
      </c>
      <c r="D48" s="119">
        <f>+C48+'3'!D48</f>
        <v>0</v>
      </c>
      <c r="E48" s="144">
        <f t="shared" si="8"/>
        <v>0</v>
      </c>
      <c r="F48" s="361"/>
      <c r="G48" s="362"/>
      <c r="H48" s="189" t="s">
        <v>94</v>
      </c>
      <c r="I48" s="119">
        <f>I46/I40</f>
        <v>801.26068037974733</v>
      </c>
      <c r="J48" s="136">
        <f>J46/J40</f>
        <v>879.1935612824135</v>
      </c>
      <c r="K48" s="131" t="s">
        <v>25</v>
      </c>
      <c r="L48" s="427">
        <f>+L46/I38</f>
        <v>0</v>
      </c>
      <c r="M48" s="428">
        <f>+M46/J40</f>
        <v>0</v>
      </c>
    </row>
    <row r="49" spans="1:13" ht="17.45" customHeight="1">
      <c r="A49" s="763" t="s">
        <v>21</v>
      </c>
      <c r="B49" s="764"/>
      <c r="C49" s="165">
        <f>SUMIF($G$7:$G$31,"Others",$F$7:$F$31)</f>
        <v>0</v>
      </c>
      <c r="D49" s="119">
        <f>+C49+'3'!D49</f>
        <v>0</v>
      </c>
      <c r="E49" s="144">
        <f t="shared" si="8"/>
        <v>0</v>
      </c>
      <c r="F49" s="186"/>
      <c r="H49" s="189" t="s">
        <v>182</v>
      </c>
      <c r="I49" s="119">
        <f>+Report1!AB12</f>
        <v>5797.0014235291819</v>
      </c>
      <c r="J49" s="136">
        <f>+I49+'3'!J49</f>
        <v>17232.373714568639</v>
      </c>
      <c r="K49" s="131" t="s">
        <v>96</v>
      </c>
      <c r="L49" s="423"/>
      <c r="M49" s="424"/>
    </row>
    <row r="50" spans="1:13" ht="17.45" customHeight="1">
      <c r="A50" s="763" t="s">
        <v>20</v>
      </c>
      <c r="B50" s="764"/>
      <c r="C50" s="165">
        <f>SUMIF($G$7:$G$31,"Steam",$F$7:$F$31)</f>
        <v>0</v>
      </c>
      <c r="D50" s="119">
        <f>+C50+'3'!D50</f>
        <v>0</v>
      </c>
      <c r="E50" s="144">
        <f t="shared" si="8"/>
        <v>0</v>
      </c>
      <c r="F50" s="186"/>
      <c r="H50" s="189" t="s">
        <v>97</v>
      </c>
      <c r="I50" s="141">
        <f>I49/I38</f>
        <v>112.22102374371687</v>
      </c>
      <c r="J50" s="134">
        <f>J49/J38</f>
        <v>89.697287145690581</v>
      </c>
      <c r="K50" s="131" t="s">
        <v>96</v>
      </c>
      <c r="L50" s="423"/>
      <c r="M50" s="424"/>
    </row>
    <row r="51" spans="1:13" ht="17.45" customHeight="1" thickBot="1">
      <c r="A51" s="765" t="s">
        <v>98</v>
      </c>
      <c r="B51" s="766"/>
      <c r="C51" s="165">
        <f>SUMIF($G$7:$G$31,"Planned shut",$F$7:$F$31)</f>
        <v>0</v>
      </c>
      <c r="D51" s="119">
        <f>+C51+'3'!D51</f>
        <v>0</v>
      </c>
      <c r="E51" s="144">
        <f t="shared" si="8"/>
        <v>0</v>
      </c>
      <c r="F51" s="186"/>
      <c r="H51" s="191" t="s">
        <v>99</v>
      </c>
      <c r="I51" s="142">
        <f>I49/I40</f>
        <v>114.65588258562464</v>
      </c>
      <c r="J51" s="137">
        <f>J49/J40</f>
        <v>91.849658687038016</v>
      </c>
      <c r="K51" s="138" t="s">
        <v>96</v>
      </c>
      <c r="L51" s="423"/>
      <c r="M51" s="424"/>
    </row>
    <row r="52" spans="1:13" ht="13.5" thickBot="1">
      <c r="A52" s="767" t="s">
        <v>29</v>
      </c>
      <c r="B52" s="768"/>
      <c r="C52" s="145">
        <f>SUM(C38:C51)</f>
        <v>57</v>
      </c>
      <c r="D52" s="145">
        <f>SUM(D38:D51)</f>
        <v>348</v>
      </c>
      <c r="E52" s="146">
        <f>SUM(E38:E51)</f>
        <v>5.8</v>
      </c>
      <c r="F52" s="186"/>
      <c r="H52" s="192"/>
      <c r="I52" s="193"/>
      <c r="J52" s="139"/>
      <c r="K52" s="140"/>
      <c r="L52" s="430"/>
      <c r="M52" s="431"/>
    </row>
    <row r="53" spans="1:13" ht="13.5" thickBot="1">
      <c r="A53" s="769"/>
      <c r="B53" s="770"/>
      <c r="C53" s="147">
        <f>C52/(24*60)</f>
        <v>3.9583333333333331E-2</v>
      </c>
      <c r="D53" s="147">
        <f>D52/(24*60*G4)</f>
        <v>6.0416666666666667E-2</v>
      </c>
      <c r="E53" s="148">
        <f>E52/(G4*24)</f>
        <v>6.0416666666666667E-2</v>
      </c>
      <c r="F53" s="186"/>
    </row>
    <row r="54" spans="1:13">
      <c r="E54" s="194"/>
      <c r="F54" s="186"/>
    </row>
    <row r="55" spans="1:13">
      <c r="E55" s="194"/>
    </row>
    <row r="56" spans="1:13">
      <c r="A56" s="195" t="s">
        <v>100</v>
      </c>
      <c r="B56" s="196"/>
      <c r="C56" s="197"/>
      <c r="D56" s="197"/>
      <c r="E56" s="197"/>
      <c r="F56" s="198"/>
      <c r="G56" s="197"/>
      <c r="H56" s="199"/>
      <c r="I56" s="200" t="s">
        <v>101</v>
      </c>
      <c r="J56" s="201">
        <f>+D34+'3'!J56</f>
        <v>0</v>
      </c>
      <c r="K56" s="202">
        <f>J56/(J40+J56/1000)/1000</f>
        <v>0</v>
      </c>
    </row>
    <row r="57" spans="1:13">
      <c r="A57" s="177"/>
      <c r="I57" s="200" t="s">
        <v>102</v>
      </c>
      <c r="J57" s="201">
        <f>+E34+'3'!J57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S61"/>
  <sheetViews>
    <sheetView view="pageBreakPreview" topLeftCell="F1" zoomScale="80" zoomScaleNormal="75" zoomScaleSheetLayoutView="80" workbookViewId="0">
      <selection activeCell="N6" sqref="N6:S13"/>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3.7109375" style="150" bestFit="1" customWidth="1"/>
    <col min="12" max="12" width="8.28515625" style="150" customWidth="1"/>
    <col min="13" max="13" width="14.5703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3</v>
      </c>
      <c r="H4" s="155" t="str">
        <f>+'1'!H4</f>
        <v>.11.25</v>
      </c>
      <c r="J4" s="150">
        <f>351.1+394.9+406.4</f>
        <v>1152.4000000000001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416</v>
      </c>
      <c r="O6" s="150">
        <v>1220</v>
      </c>
      <c r="P6" s="150">
        <f>+O6-O6*0.23</f>
        <v>939.4</v>
      </c>
      <c r="Q6" s="150">
        <v>480</v>
      </c>
      <c r="R6" s="150">
        <f>+O6*Q6</f>
        <v>585600</v>
      </c>
      <c r="S6" s="150">
        <f>+P6*Q6</f>
        <v>450912</v>
      </c>
    </row>
    <row r="7" spans="1:19" ht="13.5" customHeight="1" thickBot="1">
      <c r="A7" s="775" t="s">
        <v>444</v>
      </c>
      <c r="B7" s="216" t="s">
        <v>447</v>
      </c>
      <c r="C7" s="217">
        <v>16693</v>
      </c>
      <c r="D7" s="218"/>
      <c r="E7" s="219"/>
      <c r="F7" s="229"/>
      <c r="G7" s="230" t="s">
        <v>13</v>
      </c>
      <c r="H7" s="231" t="s">
        <v>390</v>
      </c>
      <c r="I7" s="778" t="s">
        <v>418</v>
      </c>
      <c r="J7" s="215" t="str">
        <f>+'2'!J7</f>
        <v>T 13,5 RC HW</v>
      </c>
      <c r="K7" s="239"/>
      <c r="L7" s="243"/>
      <c r="M7" s="118">
        <f>+K7+'2'!M7+L7</f>
        <v>61329</v>
      </c>
      <c r="O7" s="150">
        <v>1220</v>
      </c>
      <c r="P7" s="150">
        <f>+O7-O7*0.23</f>
        <v>939.4</v>
      </c>
      <c r="Q7" s="150">
        <v>480</v>
      </c>
      <c r="R7" s="150">
        <f t="shared" ref="R7:R10" si="0">+O7*Q7</f>
        <v>585600</v>
      </c>
      <c r="S7" s="150">
        <f t="shared" ref="S7:S10" si="1">+P7*Q7</f>
        <v>450912</v>
      </c>
    </row>
    <row r="8" spans="1:19" ht="13.5" thickBot="1">
      <c r="A8" s="776"/>
      <c r="B8" s="216"/>
      <c r="C8" s="217"/>
      <c r="D8" s="218"/>
      <c r="E8" s="220"/>
      <c r="F8" s="232">
        <v>2</v>
      </c>
      <c r="G8" s="579" t="s">
        <v>13</v>
      </c>
      <c r="H8" s="231" t="s">
        <v>422</v>
      </c>
      <c r="I8" s="779"/>
      <c r="J8" s="215" t="str">
        <f>+'2'!J8</f>
        <v>T 14 RC HW</v>
      </c>
      <c r="K8" s="240">
        <f>+C34</f>
        <v>48119</v>
      </c>
      <c r="L8" s="240"/>
      <c r="M8" s="118">
        <f>+K8+'2'!M8+L8</f>
        <v>75726</v>
      </c>
      <c r="O8" s="150">
        <v>1230</v>
      </c>
      <c r="P8" s="150">
        <f>+O8-O8*0.23</f>
        <v>947.09999999999991</v>
      </c>
      <c r="Q8" s="150">
        <v>480</v>
      </c>
      <c r="R8" s="150">
        <f t="shared" si="0"/>
        <v>590400</v>
      </c>
      <c r="S8" s="150">
        <f t="shared" si="1"/>
        <v>454607.99999999994</v>
      </c>
    </row>
    <row r="9" spans="1:19" ht="13.5" thickBot="1">
      <c r="A9" s="776"/>
      <c r="B9" s="216"/>
      <c r="C9" s="217"/>
      <c r="D9" s="218"/>
      <c r="E9" s="221"/>
      <c r="F9" s="229">
        <v>4</v>
      </c>
      <c r="G9" s="579" t="s">
        <v>13</v>
      </c>
      <c r="H9" s="234" t="s">
        <v>423</v>
      </c>
      <c r="I9" s="779"/>
      <c r="J9" s="215">
        <f>+'2'!J9</f>
        <v>0</v>
      </c>
      <c r="K9" s="240"/>
      <c r="L9" s="240"/>
      <c r="M9" s="118">
        <f>+K9+'2'!M9+L9</f>
        <v>0</v>
      </c>
      <c r="R9" s="150">
        <f t="shared" si="0"/>
        <v>0</v>
      </c>
      <c r="S9" s="150">
        <f t="shared" si="1"/>
        <v>0</v>
      </c>
    </row>
    <row r="10" spans="1:19" ht="26.25" thickBot="1">
      <c r="A10" s="776"/>
      <c r="B10" s="216"/>
      <c r="C10" s="217"/>
      <c r="D10" s="218"/>
      <c r="E10" s="220"/>
      <c r="F10" s="229">
        <v>15</v>
      </c>
      <c r="G10" s="238" t="s">
        <v>14</v>
      </c>
      <c r="H10" s="234" t="s">
        <v>459</v>
      </c>
      <c r="I10" s="779"/>
      <c r="J10" s="215">
        <f>+'2'!J10</f>
        <v>0</v>
      </c>
      <c r="K10" s="240"/>
      <c r="L10" s="240"/>
      <c r="M10" s="118">
        <f>+K10+'2'!M10+L10</f>
        <v>0</v>
      </c>
      <c r="R10" s="150">
        <f t="shared" si="0"/>
        <v>0</v>
      </c>
      <c r="S10" s="150">
        <f t="shared" si="1"/>
        <v>0</v>
      </c>
    </row>
    <row r="11" spans="1:19" ht="13.5" thickBot="1">
      <c r="A11" s="776"/>
      <c r="B11" s="216"/>
      <c r="C11" s="217"/>
      <c r="D11" s="218"/>
      <c r="E11" s="220"/>
      <c r="F11" s="229"/>
      <c r="G11" s="233"/>
      <c r="H11" s="234"/>
      <c r="I11" s="779"/>
      <c r="J11" s="215">
        <f>+'2'!J11</f>
        <v>0</v>
      </c>
      <c r="K11" s="240"/>
      <c r="L11" s="240"/>
      <c r="M11" s="118">
        <f>+K11+'2'!M11+L11</f>
        <v>0</v>
      </c>
    </row>
    <row r="12" spans="1:19" ht="13.5" thickBot="1">
      <c r="A12" s="776"/>
      <c r="B12" s="216"/>
      <c r="C12" s="217"/>
      <c r="D12" s="218"/>
      <c r="E12" s="220"/>
      <c r="F12" s="229"/>
      <c r="G12" s="233"/>
      <c r="H12" s="234"/>
      <c r="I12" s="779"/>
      <c r="J12" s="215">
        <f>+'2'!J12</f>
        <v>0</v>
      </c>
      <c r="K12" s="240"/>
      <c r="L12" s="240"/>
      <c r="M12" s="118">
        <f>+K12+'2'!M12+L12</f>
        <v>0</v>
      </c>
      <c r="Q12" s="150">
        <f>SUM(Q6:Q10)</f>
        <v>1440</v>
      </c>
      <c r="R12" s="150">
        <f>SUM(R6:R10)</f>
        <v>1761600</v>
      </c>
      <c r="S12" s="150">
        <f>SUM(S6:S10)</f>
        <v>1356432</v>
      </c>
    </row>
    <row r="13" spans="1:19" ht="13.5" thickBot="1">
      <c r="A13" s="776"/>
      <c r="B13" s="216"/>
      <c r="C13" s="217"/>
      <c r="D13" s="217"/>
      <c r="E13" s="220"/>
      <c r="F13" s="229"/>
      <c r="G13" s="579"/>
      <c r="H13" s="234"/>
      <c r="I13" s="780"/>
      <c r="J13" s="215">
        <f>+'2'!J13</f>
        <v>0</v>
      </c>
      <c r="K13" s="240"/>
      <c r="L13" s="240"/>
      <c r="M13" s="118">
        <f>+K13+'2'!M13+L13</f>
        <v>0</v>
      </c>
      <c r="R13" s="150">
        <f>+R12/Q12</f>
        <v>1223.3333333333333</v>
      </c>
      <c r="S13" s="150">
        <f>+S12/Q12</f>
        <v>941.9666666666667</v>
      </c>
    </row>
    <row r="14" spans="1:19" ht="13.5" thickBot="1">
      <c r="A14" s="777"/>
      <c r="B14" s="166"/>
      <c r="C14" s="100">
        <f>SUM(C7:C13)</f>
        <v>16693</v>
      </c>
      <c r="D14" s="112">
        <f>SUM(D7:D13)</f>
        <v>0</v>
      </c>
      <c r="E14" s="113">
        <f>SUM(E5:E13)</f>
        <v>0</v>
      </c>
      <c r="F14" s="103">
        <f>SUM(F6:F13)</f>
        <v>21</v>
      </c>
      <c r="G14" s="160"/>
      <c r="H14" s="167"/>
      <c r="I14" s="168"/>
      <c r="J14" s="215">
        <f>+'2'!J14</f>
        <v>0</v>
      </c>
      <c r="K14" s="240"/>
      <c r="L14" s="240"/>
      <c r="M14" s="118">
        <f>+K14+'2'!M14+L14</f>
        <v>0</v>
      </c>
    </row>
    <row r="15" spans="1:19" ht="13.5" customHeight="1" thickBot="1">
      <c r="A15" s="775" t="s">
        <v>445</v>
      </c>
      <c r="B15" s="166"/>
      <c r="C15" s="114">
        <f>C14/($C$23+$D$23+$E$23)</f>
        <v>1.0513950998299426</v>
      </c>
      <c r="D15" s="115">
        <f>D14/($C$23+$D$23+$E$23)</f>
        <v>0</v>
      </c>
      <c r="E15" s="116">
        <f>E14/($C$23+$D$23+$E$23)</f>
        <v>0</v>
      </c>
      <c r="F15" s="229"/>
      <c r="G15" s="230" t="s">
        <v>13</v>
      </c>
      <c r="H15" s="231" t="s">
        <v>390</v>
      </c>
      <c r="I15" s="778" t="s">
        <v>418</v>
      </c>
      <c r="J15" s="215">
        <f>+'2'!J15</f>
        <v>0</v>
      </c>
      <c r="K15" s="240"/>
      <c r="L15" s="240"/>
      <c r="M15" s="118">
        <f>+K15+'2'!M15+L15</f>
        <v>0</v>
      </c>
      <c r="P15" s="177"/>
      <c r="Q15" s="177"/>
      <c r="R15" s="177"/>
    </row>
    <row r="16" spans="1:19" ht="13.5" thickBot="1">
      <c r="A16" s="781"/>
      <c r="B16" s="216" t="s">
        <v>447</v>
      </c>
      <c r="C16" s="223">
        <v>15877</v>
      </c>
      <c r="D16" s="224"/>
      <c r="E16" s="225"/>
      <c r="F16" s="232">
        <v>6</v>
      </c>
      <c r="G16" s="579" t="s">
        <v>13</v>
      </c>
      <c r="H16" s="231" t="s">
        <v>422</v>
      </c>
      <c r="I16" s="779"/>
      <c r="J16" s="215">
        <f>+'2'!J16</f>
        <v>0</v>
      </c>
      <c r="K16" s="230"/>
      <c r="L16" s="230"/>
      <c r="M16" s="118">
        <f>+K16+'2'!M16+L16</f>
        <v>0</v>
      </c>
      <c r="Q16" s="177"/>
      <c r="R16" s="177"/>
    </row>
    <row r="17" spans="1:14" ht="13.5" thickBot="1">
      <c r="A17" s="781"/>
      <c r="B17" s="216"/>
      <c r="C17" s="217"/>
      <c r="D17" s="218"/>
      <c r="E17" s="226"/>
      <c r="F17" s="229">
        <v>10</v>
      </c>
      <c r="G17" s="579" t="s">
        <v>13</v>
      </c>
      <c r="H17" s="234" t="s">
        <v>427</v>
      </c>
      <c r="I17" s="779"/>
      <c r="J17" s="215">
        <f>+'2'!J17</f>
        <v>0</v>
      </c>
      <c r="K17" s="230"/>
      <c r="L17" s="230"/>
      <c r="M17" s="118">
        <f>+K17+'2'!M17+L17</f>
        <v>0</v>
      </c>
    </row>
    <row r="18" spans="1:14" ht="26.25" thickBot="1">
      <c r="A18" s="781"/>
      <c r="B18" s="216"/>
      <c r="C18" s="217"/>
      <c r="D18" s="218"/>
      <c r="E18" s="226"/>
      <c r="F18" s="236"/>
      <c r="G18" s="238" t="s">
        <v>14</v>
      </c>
      <c r="H18" s="234" t="s">
        <v>457</v>
      </c>
      <c r="I18" s="779"/>
      <c r="J18" s="215">
        <f>+'2'!J18</f>
        <v>0</v>
      </c>
      <c r="K18" s="240"/>
      <c r="L18" s="240"/>
      <c r="M18" s="118">
        <f>+K18+'2'!M18+L18</f>
        <v>0</v>
      </c>
    </row>
    <row r="19" spans="1:14" ht="13.5" thickBot="1">
      <c r="A19" s="781"/>
      <c r="B19" s="216"/>
      <c r="C19" s="217"/>
      <c r="D19" s="218"/>
      <c r="E19" s="226"/>
      <c r="F19" s="229"/>
      <c r="G19" s="233"/>
      <c r="H19" s="234" t="s">
        <v>458</v>
      </c>
      <c r="I19" s="779"/>
      <c r="J19" s="215">
        <f>+'2'!J19</f>
        <v>0</v>
      </c>
      <c r="K19" s="240"/>
      <c r="L19" s="240"/>
      <c r="M19" s="118">
        <f>+K19+'2'!M19+L19</f>
        <v>0</v>
      </c>
    </row>
    <row r="20" spans="1:14" ht="13.5" thickBot="1">
      <c r="A20" s="781"/>
      <c r="B20" s="216"/>
      <c r="C20" s="217"/>
      <c r="D20" s="218"/>
      <c r="E20" s="226"/>
      <c r="F20" s="229"/>
      <c r="G20" s="233"/>
      <c r="H20" s="234"/>
      <c r="I20" s="779"/>
      <c r="J20" s="215">
        <f>+'2'!J20</f>
        <v>0</v>
      </c>
      <c r="K20" s="241"/>
      <c r="L20" s="241"/>
      <c r="M20" s="118">
        <f>+K20+'2'!M20+L20</f>
        <v>0</v>
      </c>
    </row>
    <row r="21" spans="1:14" ht="13.5" thickBot="1">
      <c r="A21" s="781"/>
      <c r="B21" s="216"/>
      <c r="C21" s="217"/>
      <c r="D21" s="218"/>
      <c r="E21" s="226"/>
      <c r="F21" s="232"/>
      <c r="G21" s="233"/>
      <c r="H21" s="234"/>
      <c r="I21" s="779"/>
      <c r="J21" s="215">
        <f>+'2'!J21</f>
        <v>0</v>
      </c>
      <c r="K21" s="240"/>
      <c r="L21" s="240"/>
      <c r="M21" s="118">
        <f>+K21+'2'!M21+L21</f>
        <v>0</v>
      </c>
    </row>
    <row r="22" spans="1:14" ht="13.5" thickBot="1">
      <c r="A22" s="781"/>
      <c r="B22" s="216"/>
      <c r="C22" s="217"/>
      <c r="D22" s="218"/>
      <c r="E22" s="226"/>
      <c r="F22" s="237"/>
      <c r="G22" s="233"/>
      <c r="H22" s="234"/>
      <c r="I22" s="780"/>
      <c r="J22" s="215">
        <f>+'2'!J22</f>
        <v>0</v>
      </c>
      <c r="K22" s="240"/>
      <c r="L22" s="240"/>
      <c r="M22" s="118">
        <f>+K22+'2'!M22+L22</f>
        <v>0</v>
      </c>
    </row>
    <row r="23" spans="1:14" ht="13.5" thickBot="1">
      <c r="A23" s="782"/>
      <c r="B23" s="166"/>
      <c r="C23" s="101">
        <f>SUM(C16:C22)</f>
        <v>15877</v>
      </c>
      <c r="D23" s="112">
        <f>SUM(D16:D22)</f>
        <v>0</v>
      </c>
      <c r="E23" s="113">
        <f>SUM(E18:E22)</f>
        <v>0</v>
      </c>
      <c r="F23" s="103">
        <f>SUM(F15:F22)</f>
        <v>16</v>
      </c>
      <c r="G23" s="160"/>
      <c r="H23" s="167"/>
      <c r="I23" s="170"/>
      <c r="J23" s="215">
        <f>+'2'!J23</f>
        <v>0</v>
      </c>
      <c r="K23" s="240"/>
      <c r="L23" s="240"/>
      <c r="M23" s="118">
        <f>+K23+'2'!M23+L23</f>
        <v>0</v>
      </c>
    </row>
    <row r="24" spans="1:14" ht="13.5" customHeight="1" thickBot="1">
      <c r="A24" s="775" t="s">
        <v>460</v>
      </c>
      <c r="B24" s="171"/>
      <c r="C24" s="114">
        <f>C23/($C$23+$D$23+$E$23)</f>
        <v>1</v>
      </c>
      <c r="D24" s="115">
        <f>D23/($C$23+$D$23+$E$23)</f>
        <v>0</v>
      </c>
      <c r="E24" s="116">
        <f>E23/($C$23+$D$23+$E$23)</f>
        <v>0</v>
      </c>
      <c r="F24" s="229"/>
      <c r="G24" s="230" t="s">
        <v>13</v>
      </c>
      <c r="H24" s="231" t="s">
        <v>390</v>
      </c>
      <c r="I24" s="778" t="s">
        <v>461</v>
      </c>
      <c r="J24" s="215">
        <f>+'2'!J24</f>
        <v>0</v>
      </c>
      <c r="K24" s="240"/>
      <c r="L24" s="240"/>
      <c r="M24" s="118">
        <f>+K24+'2'!M24+L24</f>
        <v>0</v>
      </c>
    </row>
    <row r="25" spans="1:14" ht="13.5" thickBot="1">
      <c r="A25" s="781"/>
      <c r="B25" s="216" t="s">
        <v>447</v>
      </c>
      <c r="C25" s="227">
        <v>15549</v>
      </c>
      <c r="D25" s="218"/>
      <c r="E25" s="226"/>
      <c r="F25" s="232">
        <v>5</v>
      </c>
      <c r="G25" s="579" t="s">
        <v>13</v>
      </c>
      <c r="H25" s="231" t="s">
        <v>426</v>
      </c>
      <c r="I25" s="779"/>
      <c r="J25" s="215">
        <f>+'2'!J25</f>
        <v>0</v>
      </c>
      <c r="K25" s="240"/>
      <c r="L25" s="240"/>
      <c r="M25" s="118">
        <f>+K25+'2'!M25+L25</f>
        <v>0</v>
      </c>
    </row>
    <row r="26" spans="1:14" ht="13.5" thickBot="1">
      <c r="A26" s="781"/>
      <c r="B26" s="216"/>
      <c r="C26" s="227"/>
      <c r="D26" s="218"/>
      <c r="E26" s="228"/>
      <c r="F26" s="229">
        <v>8</v>
      </c>
      <c r="G26" s="579" t="s">
        <v>13</v>
      </c>
      <c r="H26" s="234" t="s">
        <v>425</v>
      </c>
      <c r="I26" s="779"/>
      <c r="J26" s="215">
        <f>+'2'!J26</f>
        <v>0</v>
      </c>
      <c r="K26" s="240"/>
      <c r="L26" s="240"/>
      <c r="M26" s="118">
        <f>+K26+'2'!M26+L26</f>
        <v>0</v>
      </c>
    </row>
    <row r="27" spans="1:14" ht="26.25" thickBot="1">
      <c r="A27" s="781"/>
      <c r="B27" s="216"/>
      <c r="C27" s="217"/>
      <c r="D27" s="218"/>
      <c r="E27" s="226"/>
      <c r="F27" s="229">
        <v>8</v>
      </c>
      <c r="G27" s="238" t="s">
        <v>14</v>
      </c>
      <c r="H27" s="234" t="s">
        <v>462</v>
      </c>
      <c r="I27" s="779"/>
      <c r="J27" s="215">
        <f>+'2'!J27</f>
        <v>0</v>
      </c>
      <c r="K27" s="240"/>
      <c r="L27" s="240"/>
      <c r="M27" s="118">
        <f>+K27+'2'!M27+L27</f>
        <v>0</v>
      </c>
    </row>
    <row r="28" spans="1:14" ht="13.5" thickBot="1">
      <c r="A28" s="781"/>
      <c r="B28" s="216"/>
      <c r="C28" s="217"/>
      <c r="D28" s="218"/>
      <c r="E28" s="226"/>
      <c r="F28" s="232"/>
      <c r="G28" s="233"/>
      <c r="H28" s="234"/>
      <c r="I28" s="779"/>
      <c r="J28" s="215">
        <f>+'2'!J28</f>
        <v>0</v>
      </c>
      <c r="K28" s="240"/>
      <c r="L28" s="240"/>
      <c r="M28" s="118">
        <f>+K28+'2'!M28+L28</f>
        <v>0</v>
      </c>
    </row>
    <row r="29" spans="1:14" ht="13.5" thickBot="1">
      <c r="A29" s="781"/>
      <c r="B29" s="216"/>
      <c r="C29" s="217"/>
      <c r="D29" s="218"/>
      <c r="E29" s="226"/>
      <c r="F29" s="237"/>
      <c r="G29" s="233"/>
      <c r="H29" s="234"/>
      <c r="I29" s="779"/>
      <c r="J29" s="215">
        <f>+'2'!J29</f>
        <v>0</v>
      </c>
      <c r="K29" s="240"/>
      <c r="L29" s="240"/>
      <c r="M29" s="118">
        <f>+K29+'2'!M29+L29</f>
        <v>0</v>
      </c>
    </row>
    <row r="30" spans="1:14" ht="13.5" thickBot="1">
      <c r="A30" s="781"/>
      <c r="B30" s="216"/>
      <c r="C30" s="227"/>
      <c r="D30" s="218"/>
      <c r="E30" s="226"/>
      <c r="F30" s="237"/>
      <c r="G30" s="233"/>
      <c r="H30" s="234"/>
      <c r="I30" s="779"/>
      <c r="J30" s="215">
        <f>+'2'!J30</f>
        <v>0</v>
      </c>
      <c r="K30" s="240"/>
      <c r="L30" s="240"/>
      <c r="M30" s="118">
        <f>+K30+'2'!M30+L30</f>
        <v>0</v>
      </c>
      <c r="N30" s="156"/>
    </row>
    <row r="31" spans="1:14" ht="13.5" thickBot="1">
      <c r="A31" s="781"/>
      <c r="B31" s="216"/>
      <c r="C31" s="227"/>
      <c r="D31" s="218"/>
      <c r="E31" s="226"/>
      <c r="F31" s="237"/>
      <c r="G31" s="238"/>
      <c r="H31" s="235"/>
      <c r="I31" s="780"/>
      <c r="J31" s="215">
        <f>+'2'!J31</f>
        <v>0</v>
      </c>
      <c r="K31" s="240"/>
      <c r="L31" s="240"/>
      <c r="M31" s="118">
        <f>+K31+'2'!M31+L31</f>
        <v>0</v>
      </c>
    </row>
    <row r="32" spans="1:14" ht="13.5" thickBot="1">
      <c r="A32" s="782"/>
      <c r="B32" s="166"/>
      <c r="C32" s="100">
        <f>SUM(C25:C31)</f>
        <v>15549</v>
      </c>
      <c r="D32" s="101">
        <f>SUM(D25:D31)</f>
        <v>0</v>
      </c>
      <c r="E32" s="102">
        <f>SUM(E25:E31)</f>
        <v>0</v>
      </c>
      <c r="F32" s="103">
        <f>SUM(F24:F31)</f>
        <v>21</v>
      </c>
      <c r="G32" s="172"/>
      <c r="H32" s="173"/>
      <c r="I32" s="170"/>
      <c r="J32" s="215">
        <f>+'2'!J32</f>
        <v>0</v>
      </c>
      <c r="K32" s="242"/>
      <c r="L32" s="244"/>
      <c r="M32" s="118">
        <f>+K32+'2'!M32+L32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71" t="s">
        <v>70</v>
      </c>
      <c r="B34" s="772"/>
      <c r="C34" s="108">
        <f>C14+C23+C32</f>
        <v>48119</v>
      </c>
      <c r="D34" s="108">
        <f>D14+D23+D32</f>
        <v>0</v>
      </c>
      <c r="E34" s="108">
        <f>E14+E23+E32</f>
        <v>0</v>
      </c>
      <c r="F34" s="109">
        <f>F14+F23+F32</f>
        <v>58</v>
      </c>
      <c r="H34" s="179"/>
      <c r="I34" s="179"/>
      <c r="J34" s="124" t="s">
        <v>29</v>
      </c>
      <c r="K34" s="125">
        <f>SUM(K7:K32)</f>
        <v>48119</v>
      </c>
      <c r="L34" s="213">
        <f>SUM(L7:L32)</f>
        <v>0</v>
      </c>
      <c r="M34" s="121">
        <f>SUM(M7:M32)</f>
        <v>137055</v>
      </c>
      <c r="N34" s="156"/>
    </row>
    <row r="35" spans="1:14" ht="13.5" thickBot="1">
      <c r="A35" s="180"/>
      <c r="B35" s="181"/>
      <c r="C35" s="105">
        <f>C34/($C$34+$D$34+$E$34)</f>
        <v>1</v>
      </c>
      <c r="D35" s="105">
        <f>D34/($C$34+$D$34+$E$34)</f>
        <v>0</v>
      </c>
      <c r="E35" s="110">
        <f>E34/($C$34+$D$34+$E$34)</f>
        <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(14*1440)/1440*G42*2.74*1440/1000000</f>
        <v>52.032731520000006</v>
      </c>
      <c r="J37" s="126">
        <f>+I37+'2'!J37</f>
        <v>148.22035294076858</v>
      </c>
      <c r="K37" s="127" t="s">
        <v>76</v>
      </c>
      <c r="L37" s="421"/>
      <c r="M37" s="422"/>
      <c r="N37" s="544"/>
    </row>
    <row r="38" spans="1:14" ht="17.45" customHeight="1">
      <c r="A38" s="767" t="s">
        <v>13</v>
      </c>
      <c r="B38" s="768"/>
      <c r="C38" s="165">
        <f>SUMIF($G$7:$G$31,"Process",$F$7:$F$31)</f>
        <v>35</v>
      </c>
      <c r="D38" s="119">
        <f>+C38+'2'!D38</f>
        <v>243</v>
      </c>
      <c r="E38" s="144">
        <f t="shared" ref="E38:E51" si="2">D38/60</f>
        <v>4.05</v>
      </c>
      <c r="F38" s="361">
        <v>1220</v>
      </c>
      <c r="G38" s="361">
        <v>939.4</v>
      </c>
      <c r="H38" s="188" t="s">
        <v>77</v>
      </c>
      <c r="I38" s="543">
        <f>17.375+16+16.304</f>
        <v>49.679000000000002</v>
      </c>
      <c r="J38" s="128">
        <f>+I38+'2'!J38</f>
        <v>140.46</v>
      </c>
      <c r="K38" s="129" t="s">
        <v>76</v>
      </c>
      <c r="L38" s="423"/>
      <c r="M38" s="424"/>
    </row>
    <row r="39" spans="1:14" ht="17.45" customHeight="1">
      <c r="A39" s="763" t="s">
        <v>14</v>
      </c>
      <c r="B39" s="764"/>
      <c r="C39" s="165">
        <f>SUMIF($G$7:$G$31,"Cleaning",$F$7:$F$31)</f>
        <v>23</v>
      </c>
      <c r="D39" s="119">
        <f>+C39+'2'!D39</f>
        <v>48</v>
      </c>
      <c r="E39" s="144">
        <f t="shared" si="2"/>
        <v>0.8</v>
      </c>
      <c r="F39" s="361">
        <v>1220</v>
      </c>
      <c r="G39" s="361">
        <v>939.4</v>
      </c>
      <c r="H39" s="188" t="s">
        <v>78</v>
      </c>
      <c r="I39" s="143"/>
      <c r="J39" s="130">
        <f>J37/G4</f>
        <v>49.406784313589526</v>
      </c>
      <c r="K39" s="131" t="s">
        <v>76</v>
      </c>
      <c r="L39" s="423"/>
      <c r="M39" s="424"/>
    </row>
    <row r="40" spans="1:14" ht="17.45" customHeight="1">
      <c r="A40" s="763" t="s">
        <v>79</v>
      </c>
      <c r="B40" s="764"/>
      <c r="C40" s="165">
        <f>SUMIF($G$7:$G$31,"Mechanical",$F$7:$F$31)</f>
        <v>0</v>
      </c>
      <c r="D40" s="119">
        <f>+C40+'2'!D40</f>
        <v>0</v>
      </c>
      <c r="E40" s="144">
        <f t="shared" si="2"/>
        <v>0</v>
      </c>
      <c r="F40" s="361">
        <v>1230</v>
      </c>
      <c r="G40" s="361">
        <v>947.09999999999991</v>
      </c>
      <c r="H40" s="188" t="s">
        <v>80</v>
      </c>
      <c r="I40" s="119">
        <f>(K34+L34)/1000</f>
        <v>48.119</v>
      </c>
      <c r="J40" s="132">
        <f>+I40+'2'!J40</f>
        <v>137.05500000000001</v>
      </c>
      <c r="K40" s="131" t="s">
        <v>76</v>
      </c>
      <c r="L40" s="423"/>
      <c r="M40" s="424"/>
    </row>
    <row r="41" spans="1:14" ht="17.45" customHeight="1">
      <c r="A41" s="763" t="s">
        <v>81</v>
      </c>
      <c r="B41" s="764"/>
      <c r="C41" s="165">
        <f>SUMIF($G$7:$G$31,"Electrical",$F$7:$F$31)</f>
        <v>0</v>
      </c>
      <c r="D41" s="119">
        <f>+C41+'2'!D41</f>
        <v>0</v>
      </c>
      <c r="E41" s="144">
        <f t="shared" si="2"/>
        <v>0</v>
      </c>
      <c r="F41" s="361"/>
      <c r="G41" s="361"/>
      <c r="H41" s="188" t="s">
        <v>82</v>
      </c>
      <c r="I41" s="143"/>
      <c r="J41" s="130">
        <f>J40/G4</f>
        <v>45.685000000000002</v>
      </c>
      <c r="K41" s="131" t="s">
        <v>76</v>
      </c>
      <c r="L41" s="423"/>
      <c r="M41" s="424"/>
    </row>
    <row r="42" spans="1:14" ht="17.45" customHeight="1">
      <c r="A42" s="763" t="s">
        <v>17</v>
      </c>
      <c r="B42" s="764"/>
      <c r="C42" s="165">
        <f>SUMIF($G$7:$G$31,"Instrument",$F$7:$F$31)</f>
        <v>0</v>
      </c>
      <c r="D42" s="119">
        <f>+C42+'2'!D42</f>
        <v>0</v>
      </c>
      <c r="E42" s="144">
        <f t="shared" si="2"/>
        <v>0</v>
      </c>
      <c r="F42" s="361">
        <f>+(480*F38+480*F39+480*F40)/1440</f>
        <v>1223.3333333333333</v>
      </c>
      <c r="G42" s="361">
        <f>+(480*G38+480*G39+480*G40)/1440</f>
        <v>941.9666666666667</v>
      </c>
      <c r="H42" s="188" t="s">
        <v>83</v>
      </c>
      <c r="I42" s="247" t="s">
        <v>463</v>
      </c>
      <c r="J42" s="133"/>
      <c r="K42" s="131" t="s">
        <v>84</v>
      </c>
      <c r="L42" s="423"/>
      <c r="M42" s="424"/>
    </row>
    <row r="43" spans="1:14" ht="17.45" customHeight="1">
      <c r="A43" s="763" t="s">
        <v>202</v>
      </c>
      <c r="B43" s="764"/>
      <c r="C43" s="165">
        <f>SUMIF($G$7:$G$31,"Change Grade",$F$7:$F$31)</f>
        <v>0</v>
      </c>
      <c r="D43" s="119">
        <f>+C43+'2'!D43</f>
        <v>0</v>
      </c>
      <c r="E43" s="144">
        <f t="shared" si="2"/>
        <v>0</v>
      </c>
      <c r="F43" s="361"/>
      <c r="G43" s="362"/>
      <c r="H43" s="189" t="s">
        <v>86</v>
      </c>
      <c r="I43" s="119">
        <f>+Report1!AH11</f>
        <v>69</v>
      </c>
      <c r="J43" s="134">
        <f>+I43+'2'!J43</f>
        <v>199.7</v>
      </c>
      <c r="K43" s="131" t="s">
        <v>76</v>
      </c>
      <c r="L43" s="425">
        <f>+Report1!AN11</f>
        <v>9.9</v>
      </c>
      <c r="M43" s="426">
        <f>+L43+'2'!M43</f>
        <v>28.700000000000003</v>
      </c>
    </row>
    <row r="44" spans="1:14" ht="17.45" customHeight="1">
      <c r="A44" s="763" t="s">
        <v>18</v>
      </c>
      <c r="B44" s="764"/>
      <c r="C44" s="165">
        <f>SUMIF($G$7:$G$31,"PLN",$F$7:$F$31)</f>
        <v>0</v>
      </c>
      <c r="D44" s="119">
        <f>+C44+'2'!D44</f>
        <v>0</v>
      </c>
      <c r="E44" s="144">
        <f t="shared" si="2"/>
        <v>0</v>
      </c>
      <c r="F44" s="361"/>
      <c r="G44" s="362"/>
      <c r="H44" s="189" t="s">
        <v>87</v>
      </c>
      <c r="I44" s="119">
        <f>I43/I38</f>
        <v>1.3889168461522976</v>
      </c>
      <c r="J44" s="135">
        <f>J43/J38</f>
        <v>1.421757083867293</v>
      </c>
      <c r="K44" s="131" t="s">
        <v>76</v>
      </c>
      <c r="L44" s="427">
        <f>+L43/I38</f>
        <v>0.19927937357837316</v>
      </c>
      <c r="M44" s="428">
        <f>+M43/J38</f>
        <v>0.20432863448668662</v>
      </c>
    </row>
    <row r="45" spans="1:14" ht="17.45" customHeight="1">
      <c r="A45" s="763" t="s">
        <v>19</v>
      </c>
      <c r="B45" s="764"/>
      <c r="C45" s="165">
        <f>SUMIF($G$7:$G$31,"Boiler",$F$7:$F$31)</f>
        <v>0</v>
      </c>
      <c r="D45" s="119">
        <f>+C45+'2'!D45</f>
        <v>0</v>
      </c>
      <c r="E45" s="144">
        <f t="shared" si="2"/>
        <v>0</v>
      </c>
      <c r="F45" s="361"/>
      <c r="G45" s="364"/>
      <c r="H45" s="189" t="s">
        <v>88</v>
      </c>
      <c r="I45" s="119">
        <f>I43/I40</f>
        <v>1.4339450113260874</v>
      </c>
      <c r="J45" s="135">
        <f>J43/J40</f>
        <v>1.4570792747437158</v>
      </c>
      <c r="K45" s="131" t="s">
        <v>76</v>
      </c>
      <c r="L45" s="427">
        <f>+L43/I40</f>
        <v>0.20573993640765603</v>
      </c>
      <c r="M45" s="428">
        <f>+M43/J40</f>
        <v>0.2094049834008245</v>
      </c>
    </row>
    <row r="46" spans="1:14" ht="17.45" customHeight="1">
      <c r="A46" s="763" t="s">
        <v>89</v>
      </c>
      <c r="B46" s="764"/>
      <c r="C46" s="165">
        <f>SUMIF($G$7:$G$31,"Gas",$F$7:$F$31)</f>
        <v>0</v>
      </c>
      <c r="D46" s="119">
        <f>+C46+'2'!D46</f>
        <v>0</v>
      </c>
      <c r="E46" s="144">
        <f t="shared" si="2"/>
        <v>0</v>
      </c>
      <c r="F46" s="361"/>
      <c r="G46" s="362"/>
      <c r="H46" s="189" t="s">
        <v>90</v>
      </c>
      <c r="I46" s="141">
        <f>+SUMIF(Listrik!P10,"&gt;0")</f>
        <v>43607.08</v>
      </c>
      <c r="J46" s="136">
        <f>+I46+'2'!J46</f>
        <v>124438.15999999999</v>
      </c>
      <c r="K46" s="131" t="s">
        <v>91</v>
      </c>
      <c r="L46" s="427">
        <f>+Listrik!AF10</f>
        <v>0</v>
      </c>
      <c r="M46" s="429">
        <f>+L46+'2'!M46</f>
        <v>0</v>
      </c>
    </row>
    <row r="47" spans="1:14" ht="17.45" customHeight="1">
      <c r="A47" s="763" t="s">
        <v>92</v>
      </c>
      <c r="B47" s="764"/>
      <c r="C47" s="165">
        <f>SUMIF($G$7:$G$31,"Gas",$F$7:$F$31)</f>
        <v>0</v>
      </c>
      <c r="D47" s="119">
        <f>+C47+'2'!D47</f>
        <v>0</v>
      </c>
      <c r="E47" s="144">
        <f t="shared" si="2"/>
        <v>0</v>
      </c>
      <c r="F47" s="361"/>
      <c r="G47" s="362"/>
      <c r="H47" s="189" t="s">
        <v>93</v>
      </c>
      <c r="I47" s="119">
        <f>I46/I38</f>
        <v>877.77692787697015</v>
      </c>
      <c r="J47" s="136">
        <f>J46/J38</f>
        <v>885.933077032607</v>
      </c>
      <c r="K47" s="131" t="s">
        <v>25</v>
      </c>
      <c r="L47" s="423">
        <f>+L46/I38</f>
        <v>0</v>
      </c>
      <c r="M47" s="428">
        <f>+M46/J38</f>
        <v>0</v>
      </c>
    </row>
    <row r="48" spans="1:14" ht="17.45" customHeight="1">
      <c r="A48" s="763" t="s">
        <v>15</v>
      </c>
      <c r="B48" s="764"/>
      <c r="C48" s="165">
        <f>SUMIF($G$7:$G$31,"Start Up",$F$7:$F$31)</f>
        <v>0</v>
      </c>
      <c r="D48" s="119">
        <f>+C48+'2'!D48</f>
        <v>0</v>
      </c>
      <c r="E48" s="144">
        <f t="shared" si="2"/>
        <v>0</v>
      </c>
      <c r="F48" s="361"/>
      <c r="G48" s="362"/>
      <c r="H48" s="189" t="s">
        <v>94</v>
      </c>
      <c r="I48" s="119">
        <f>I46/I40</f>
        <v>906.23412789126962</v>
      </c>
      <c r="J48" s="136">
        <f>J46/J40</f>
        <v>907.94323446791418</v>
      </c>
      <c r="K48" s="131" t="s">
        <v>25</v>
      </c>
      <c r="L48" s="427">
        <f>+L46/I38</f>
        <v>0</v>
      </c>
      <c r="M48" s="428">
        <f>+M46/J40</f>
        <v>0</v>
      </c>
    </row>
    <row r="49" spans="1:13" ht="17.45" customHeight="1">
      <c r="A49" s="763" t="s">
        <v>21</v>
      </c>
      <c r="B49" s="764"/>
      <c r="C49" s="165">
        <f>SUMIF($G$7:$G$31,"Others",$F$7:$F$31)</f>
        <v>0</v>
      </c>
      <c r="D49" s="119">
        <f>+C49+'2'!D49</f>
        <v>0</v>
      </c>
      <c r="E49" s="144">
        <f t="shared" si="2"/>
        <v>0</v>
      </c>
      <c r="F49" s="186"/>
      <c r="H49" s="189" t="s">
        <v>182</v>
      </c>
      <c r="I49" s="119">
        <f>+Report1!AB11</f>
        <v>5677.2508451656522</v>
      </c>
      <c r="J49" s="136">
        <f>+I49+'2'!J49</f>
        <v>11435.372291039455</v>
      </c>
      <c r="K49" s="131" t="s">
        <v>96</v>
      </c>
      <c r="L49" s="423"/>
      <c r="M49" s="424"/>
    </row>
    <row r="50" spans="1:13" ht="17.45" customHeight="1">
      <c r="A50" s="763" t="s">
        <v>20</v>
      </c>
      <c r="B50" s="764"/>
      <c r="C50" s="165">
        <f>SUMIF($G$7:$G$31,"Steam",$F$7:$F$31)</f>
        <v>0</v>
      </c>
      <c r="D50" s="119">
        <f>+C50+'2'!D50</f>
        <v>0</v>
      </c>
      <c r="E50" s="144">
        <f t="shared" si="2"/>
        <v>0</v>
      </c>
      <c r="F50" s="186"/>
      <c r="H50" s="189" t="s">
        <v>97</v>
      </c>
      <c r="I50" s="141">
        <f>I49/I38</f>
        <v>114.27868606786876</v>
      </c>
      <c r="J50" s="134">
        <f>J49/J38</f>
        <v>81.413728399825246</v>
      </c>
      <c r="K50" s="131" t="s">
        <v>96</v>
      </c>
      <c r="L50" s="423"/>
      <c r="M50" s="424"/>
    </row>
    <row r="51" spans="1:13" ht="17.45" customHeight="1" thickBot="1">
      <c r="A51" s="765" t="s">
        <v>98</v>
      </c>
      <c r="B51" s="766"/>
      <c r="C51" s="165">
        <f>SUMIF($G$7:$G$31,"Planned shut",$F$7:$F$31)</f>
        <v>0</v>
      </c>
      <c r="D51" s="119">
        <f>+C51+'2'!D51</f>
        <v>0</v>
      </c>
      <c r="E51" s="144">
        <f t="shared" si="2"/>
        <v>0</v>
      </c>
      <c r="F51" s="186"/>
      <c r="H51" s="191" t="s">
        <v>99</v>
      </c>
      <c r="I51" s="142">
        <f>I49/I40</f>
        <v>117.98355836916087</v>
      </c>
      <c r="J51" s="137">
        <f>J49/J40</f>
        <v>83.436374382835027</v>
      </c>
      <c r="K51" s="138" t="s">
        <v>96</v>
      </c>
      <c r="L51" s="423"/>
      <c r="M51" s="424"/>
    </row>
    <row r="52" spans="1:13" ht="13.5" thickBot="1">
      <c r="A52" s="767" t="s">
        <v>29</v>
      </c>
      <c r="B52" s="768"/>
      <c r="C52" s="145">
        <f>SUM(C38:C51)</f>
        <v>58</v>
      </c>
      <c r="D52" s="145">
        <f>SUM(D38:D51)</f>
        <v>291</v>
      </c>
      <c r="E52" s="146">
        <f>SUM(E38:E51)</f>
        <v>4.8499999999999996</v>
      </c>
      <c r="F52" s="186"/>
      <c r="H52" s="192"/>
      <c r="I52" s="193"/>
      <c r="J52" s="139"/>
      <c r="K52" s="140"/>
      <c r="L52" s="430"/>
      <c r="M52" s="431"/>
    </row>
    <row r="53" spans="1:13" ht="13.5" thickBot="1">
      <c r="A53" s="769"/>
      <c r="B53" s="770"/>
      <c r="C53" s="147">
        <f>C52/(24*60)</f>
        <v>4.027777777777778E-2</v>
      </c>
      <c r="D53" s="147">
        <f>D52/(24*60*G4)</f>
        <v>6.7361111111111108E-2</v>
      </c>
      <c r="E53" s="148">
        <f>E52/(G4*24)</f>
        <v>6.7361111111111108E-2</v>
      </c>
      <c r="F53" s="186"/>
    </row>
    <row r="54" spans="1:13">
      <c r="E54" s="194"/>
      <c r="F54" s="186"/>
    </row>
    <row r="55" spans="1:13">
      <c r="E55" s="194"/>
    </row>
    <row r="56" spans="1:13">
      <c r="A56" s="195" t="s">
        <v>100</v>
      </c>
      <c r="B56" s="196"/>
      <c r="C56" s="197"/>
      <c r="D56" s="197"/>
      <c r="E56" s="197"/>
      <c r="F56" s="198"/>
      <c r="G56" s="197"/>
      <c r="H56" s="199"/>
      <c r="I56" s="200" t="s">
        <v>101</v>
      </c>
      <c r="J56" s="201">
        <f>+D34+'2'!J56</f>
        <v>0</v>
      </c>
      <c r="K56" s="202">
        <f>J56/(J40+J56/1000)/1000</f>
        <v>0</v>
      </c>
    </row>
    <row r="57" spans="1:13">
      <c r="A57" s="177"/>
      <c r="I57" s="200" t="s">
        <v>102</v>
      </c>
      <c r="J57" s="201">
        <f>+E34+'2'!J57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0"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Y61"/>
  <sheetViews>
    <sheetView view="pageBreakPreview" topLeftCell="D1" zoomScale="80" zoomScaleNormal="75" zoomScaleSheetLayoutView="80" workbookViewId="0">
      <selection activeCell="H10" sqref="H10"/>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4"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3.7109375" style="150" bestFit="1" customWidth="1"/>
    <col min="12" max="12" width="11.5703125" style="150" customWidth="1"/>
    <col min="13" max="13" width="14.42578125" style="150" bestFit="1"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2</v>
      </c>
      <c r="H4" s="155" t="str">
        <f>+'1'!H4</f>
        <v>.11.25</v>
      </c>
      <c r="J4" s="150">
        <f>401+478.9+411.9</f>
        <v>1291.8</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415</v>
      </c>
      <c r="O6" s="150">
        <v>1220</v>
      </c>
      <c r="P6" s="150">
        <f>+O6-O6*0.23</f>
        <v>939.4</v>
      </c>
      <c r="Q6" s="150">
        <f>60*4+57</f>
        <v>297</v>
      </c>
      <c r="R6" s="150">
        <f>+O6*Q6</f>
        <v>362340</v>
      </c>
      <c r="S6" s="150">
        <f>+P6*Q6</f>
        <v>279001.8</v>
      </c>
      <c r="T6" s="150" t="s">
        <v>415</v>
      </c>
      <c r="U6" s="150">
        <v>1220</v>
      </c>
      <c r="V6" s="150">
        <v>939.4</v>
      </c>
      <c r="W6" s="150">
        <v>297</v>
      </c>
      <c r="X6" s="150">
        <f>+U6*W6</f>
        <v>362340</v>
      </c>
      <c r="Y6" s="150">
        <f>+V6*W6</f>
        <v>279001.8</v>
      </c>
    </row>
    <row r="7" spans="1:25" ht="13.5" customHeight="1" thickBot="1">
      <c r="A7" s="775" t="s">
        <v>444</v>
      </c>
      <c r="B7" s="216" t="s">
        <v>447</v>
      </c>
      <c r="C7" s="217">
        <v>1942</v>
      </c>
      <c r="D7" s="218"/>
      <c r="E7" s="219"/>
      <c r="F7" s="229"/>
      <c r="G7" s="230" t="s">
        <v>13</v>
      </c>
      <c r="H7" s="231" t="s">
        <v>390</v>
      </c>
      <c r="I7" s="778" t="s">
        <v>428</v>
      </c>
      <c r="J7" s="215" t="str">
        <f>+'1'!J7</f>
        <v>T 13,5 RC HW</v>
      </c>
      <c r="K7" s="239">
        <f>+C8+C17</f>
        <v>28511</v>
      </c>
      <c r="L7" s="243"/>
      <c r="M7" s="118">
        <f>+K7+'1'!M7+L7</f>
        <v>61329</v>
      </c>
      <c r="N7" s="150" t="s">
        <v>416</v>
      </c>
      <c r="O7" s="150">
        <v>1200</v>
      </c>
      <c r="P7" s="150">
        <f>+O7-O7*0.23</f>
        <v>924</v>
      </c>
      <c r="Q7" s="150">
        <f>60-57+60+11</f>
        <v>74</v>
      </c>
      <c r="R7" s="150">
        <f t="shared" ref="R7:R10" si="0">+O7*Q7</f>
        <v>88800</v>
      </c>
      <c r="S7" s="150">
        <f t="shared" ref="S7:S10" si="1">+P7*Q7</f>
        <v>68376</v>
      </c>
      <c r="T7" s="150" t="s">
        <v>415</v>
      </c>
      <c r="U7" s="150">
        <v>1220</v>
      </c>
      <c r="V7" s="150">
        <v>939.4</v>
      </c>
      <c r="W7" s="150">
        <v>109</v>
      </c>
      <c r="X7" s="150">
        <f t="shared" ref="X7:X10" si="2">+U7*W7</f>
        <v>132980</v>
      </c>
      <c r="Y7" s="150">
        <f t="shared" ref="Y7:Y10" si="3">+V7*W7</f>
        <v>102394.59999999999</v>
      </c>
    </row>
    <row r="8" spans="1:25" ht="13.5" thickBot="1">
      <c r="A8" s="776"/>
      <c r="B8" s="216" t="s">
        <v>448</v>
      </c>
      <c r="C8" s="217">
        <v>14127</v>
      </c>
      <c r="D8" s="218"/>
      <c r="E8" s="220"/>
      <c r="F8" s="232">
        <v>2</v>
      </c>
      <c r="G8" s="579" t="s">
        <v>13</v>
      </c>
      <c r="H8" s="231" t="s">
        <v>429</v>
      </c>
      <c r="I8" s="779"/>
      <c r="J8" s="215" t="str">
        <f>+'1'!J8</f>
        <v>T 14 RC HW</v>
      </c>
      <c r="K8" s="240">
        <f>+C7+C16+C25</f>
        <v>20590</v>
      </c>
      <c r="L8" s="240"/>
      <c r="M8" s="118">
        <f>+K8+'1'!M8+L8</f>
        <v>27607</v>
      </c>
      <c r="N8" s="150" t="s">
        <v>415</v>
      </c>
      <c r="O8" s="150">
        <v>1220</v>
      </c>
      <c r="P8" s="150">
        <f>+O8-O8*0.23</f>
        <v>939.4</v>
      </c>
      <c r="Q8" s="150">
        <f>60-11+60</f>
        <v>109</v>
      </c>
      <c r="R8" s="150">
        <f t="shared" si="0"/>
        <v>132980</v>
      </c>
      <c r="S8" s="150">
        <f t="shared" si="1"/>
        <v>102394.59999999999</v>
      </c>
      <c r="T8" s="150" t="s">
        <v>415</v>
      </c>
      <c r="U8" s="150">
        <v>1220</v>
      </c>
      <c r="V8" s="150">
        <v>939.4</v>
      </c>
      <c r="W8" s="150">
        <v>320</v>
      </c>
      <c r="X8" s="150">
        <f t="shared" si="2"/>
        <v>390400</v>
      </c>
      <c r="Y8" s="150">
        <f t="shared" si="3"/>
        <v>300608</v>
      </c>
    </row>
    <row r="9" spans="1:25" ht="13.5" thickBot="1">
      <c r="A9" s="776"/>
      <c r="B9" s="216"/>
      <c r="C9" s="217"/>
      <c r="D9" s="218"/>
      <c r="E9" s="221"/>
      <c r="F9" s="229">
        <v>4</v>
      </c>
      <c r="G9" s="579" t="s">
        <v>13</v>
      </c>
      <c r="H9" s="234" t="s">
        <v>397</v>
      </c>
      <c r="I9" s="779"/>
      <c r="J9" s="215">
        <f>+'1'!J9</f>
        <v>0</v>
      </c>
      <c r="K9" s="240"/>
      <c r="L9" s="240"/>
      <c r="M9" s="118">
        <f>+K9+'1'!M9+L9</f>
        <v>0</v>
      </c>
      <c r="R9" s="150">
        <f t="shared" si="0"/>
        <v>0</v>
      </c>
      <c r="S9" s="150">
        <f t="shared" si="1"/>
        <v>0</v>
      </c>
      <c r="X9" s="150">
        <f t="shared" si="2"/>
        <v>0</v>
      </c>
      <c r="Y9" s="150">
        <f t="shared" si="3"/>
        <v>0</v>
      </c>
    </row>
    <row r="10" spans="1:25" ht="26.25" thickBot="1">
      <c r="A10" s="776"/>
      <c r="B10" s="216"/>
      <c r="C10" s="217"/>
      <c r="D10" s="218"/>
      <c r="E10" s="220"/>
      <c r="F10" s="229">
        <v>10</v>
      </c>
      <c r="G10" s="238" t="s">
        <v>14</v>
      </c>
      <c r="H10" s="234" t="s">
        <v>409</v>
      </c>
      <c r="I10" s="779"/>
      <c r="J10" s="215">
        <f>+'1'!J10</f>
        <v>0</v>
      </c>
      <c r="K10" s="240"/>
      <c r="L10" s="240"/>
      <c r="M10" s="118">
        <f>+K10+'1'!M10+L10</f>
        <v>0</v>
      </c>
      <c r="R10" s="150">
        <f t="shared" si="0"/>
        <v>0</v>
      </c>
      <c r="S10" s="150">
        <f t="shared" si="1"/>
        <v>0</v>
      </c>
      <c r="X10" s="150">
        <f t="shared" si="2"/>
        <v>0</v>
      </c>
      <c r="Y10" s="150">
        <f t="shared" si="3"/>
        <v>0</v>
      </c>
    </row>
    <row r="11" spans="1:25" ht="39" thickBot="1">
      <c r="A11" s="776"/>
      <c r="B11" s="216"/>
      <c r="C11" s="217"/>
      <c r="D11" s="218"/>
      <c r="E11" s="220"/>
      <c r="F11" s="229"/>
      <c r="G11" s="233"/>
      <c r="H11" s="234" t="s">
        <v>410</v>
      </c>
      <c r="I11" s="779"/>
      <c r="J11" s="215">
        <f>+'1'!J11</f>
        <v>0</v>
      </c>
      <c r="K11" s="240"/>
      <c r="L11" s="240"/>
      <c r="M11" s="118">
        <f>+K11+'1'!M11+L11</f>
        <v>0</v>
      </c>
    </row>
    <row r="12" spans="1:25" ht="13.5" thickBot="1">
      <c r="A12" s="776"/>
      <c r="B12" s="216"/>
      <c r="C12" s="217"/>
      <c r="D12" s="218"/>
      <c r="E12" s="220"/>
      <c r="F12" s="229"/>
      <c r="G12" s="233"/>
      <c r="H12" s="234"/>
      <c r="I12" s="779"/>
      <c r="J12" s="215">
        <f>+'1'!J12</f>
        <v>0</v>
      </c>
      <c r="K12" s="240"/>
      <c r="L12" s="240"/>
      <c r="M12" s="118">
        <f>+K12+'1'!M12+L12</f>
        <v>0</v>
      </c>
      <c r="Q12" s="150">
        <f>SUM(Q6:Q10)</f>
        <v>480</v>
      </c>
      <c r="R12" s="150">
        <f>SUM(R6:R10)</f>
        <v>584120</v>
      </c>
      <c r="S12" s="150">
        <f>SUM(S6:S10)</f>
        <v>449772.39999999997</v>
      </c>
      <c r="W12" s="150">
        <f>SUM(W6:W10)</f>
        <v>726</v>
      </c>
      <c r="X12" s="150">
        <f>SUM(X6:X10)</f>
        <v>885720</v>
      </c>
      <c r="Y12" s="150">
        <f>SUM(Y6:Y10)</f>
        <v>682004.39999999991</v>
      </c>
    </row>
    <row r="13" spans="1:25" ht="13.5" thickBot="1">
      <c r="A13" s="776"/>
      <c r="B13" s="216"/>
      <c r="C13" s="217"/>
      <c r="D13" s="217"/>
      <c r="E13" s="220"/>
      <c r="F13" s="229"/>
      <c r="G13" s="579"/>
      <c r="H13" s="234"/>
      <c r="I13" s="780"/>
      <c r="J13" s="215">
        <f>+'1'!J13</f>
        <v>0</v>
      </c>
      <c r="K13" s="240"/>
      <c r="L13" s="240"/>
      <c r="M13" s="118">
        <f>+K13+'1'!M13+L13</f>
        <v>0</v>
      </c>
      <c r="Q13" s="150">
        <f>480-Q12</f>
        <v>0</v>
      </c>
      <c r="R13" s="150">
        <f>+R12/Q12</f>
        <v>1216.9166666666667</v>
      </c>
      <c r="S13" s="150">
        <f>+S12/Q12</f>
        <v>937.02583333333325</v>
      </c>
      <c r="W13" s="150">
        <f>480-W12</f>
        <v>-246</v>
      </c>
      <c r="X13" s="150">
        <f>+X12/W12</f>
        <v>1220</v>
      </c>
      <c r="Y13" s="150">
        <f>+Y12/W12</f>
        <v>939.39999999999986</v>
      </c>
    </row>
    <row r="14" spans="1:25" ht="13.5" thickBot="1">
      <c r="A14" s="777"/>
      <c r="B14" s="166"/>
      <c r="C14" s="100">
        <f>SUM(C7:C13)</f>
        <v>16069</v>
      </c>
      <c r="D14" s="112">
        <f>SUM(D7:D13)</f>
        <v>0</v>
      </c>
      <c r="E14" s="113">
        <f>SUM(E5:E13)</f>
        <v>0</v>
      </c>
      <c r="F14" s="103">
        <f>SUM(F6:F13)</f>
        <v>16</v>
      </c>
      <c r="G14" s="160"/>
      <c r="H14" s="167"/>
      <c r="I14" s="168"/>
      <c r="J14" s="215">
        <f>+'1'!J14</f>
        <v>0</v>
      </c>
      <c r="K14" s="240"/>
      <c r="L14" s="240"/>
      <c r="M14" s="118">
        <f>+K14+'1'!M14+L14</f>
        <v>0</v>
      </c>
    </row>
    <row r="15" spans="1:25" ht="13.5" customHeight="1" thickBot="1">
      <c r="A15" s="775" t="s">
        <v>445</v>
      </c>
      <c r="B15" s="166"/>
      <c r="C15" s="114">
        <f>C14/($C$23+$D$23+$E$23)</f>
        <v>0.9734658023868662</v>
      </c>
      <c r="D15" s="115">
        <f>D14/($C$23+$D$23+$E$23)</f>
        <v>0</v>
      </c>
      <c r="E15" s="116">
        <f>E14/($C$23+$D$23+$E$23)</f>
        <v>0</v>
      </c>
      <c r="F15" s="229"/>
      <c r="G15" s="230" t="s">
        <v>13</v>
      </c>
      <c r="H15" s="231" t="s">
        <v>390</v>
      </c>
      <c r="I15" s="778" t="s">
        <v>418</v>
      </c>
      <c r="J15" s="215">
        <f>+'1'!J15</f>
        <v>0</v>
      </c>
      <c r="K15" s="240"/>
      <c r="L15" s="240"/>
      <c r="M15" s="118">
        <f>+K15+'1'!M15+L15</f>
        <v>0</v>
      </c>
      <c r="N15" s="150" t="s">
        <v>415</v>
      </c>
      <c r="O15" s="150">
        <v>1220</v>
      </c>
      <c r="P15" s="150">
        <f>+O15-O15*0.23</f>
        <v>939.4</v>
      </c>
      <c r="Q15" s="150">
        <f>60*5+20</f>
        <v>320</v>
      </c>
      <c r="R15" s="150">
        <f>+O15*Q15</f>
        <v>390400</v>
      </c>
      <c r="S15" s="150">
        <f>+P15*Q15</f>
        <v>300608</v>
      </c>
      <c r="T15" s="150" t="s">
        <v>416</v>
      </c>
      <c r="U15" s="150">
        <v>1200</v>
      </c>
      <c r="V15" s="150">
        <v>924</v>
      </c>
      <c r="W15" s="150">
        <v>74</v>
      </c>
      <c r="X15" s="150">
        <f>+U15*W15</f>
        <v>88800</v>
      </c>
      <c r="Y15" s="150">
        <f>+V15*W15</f>
        <v>68376</v>
      </c>
    </row>
    <row r="16" spans="1:25" ht="13.5" thickBot="1">
      <c r="A16" s="784"/>
      <c r="B16" s="216" t="s">
        <v>447</v>
      </c>
      <c r="C16" s="223">
        <v>2123</v>
      </c>
      <c r="D16" s="224"/>
      <c r="E16" s="225"/>
      <c r="F16" s="232">
        <v>6</v>
      </c>
      <c r="G16" s="579" t="s">
        <v>13</v>
      </c>
      <c r="H16" s="231" t="s">
        <v>429</v>
      </c>
      <c r="I16" s="779"/>
      <c r="J16" s="215">
        <f>+'1'!J16</f>
        <v>0</v>
      </c>
      <c r="K16" s="230"/>
      <c r="L16" s="230"/>
      <c r="M16" s="118">
        <f>+K16+'1'!M16+L16</f>
        <v>0</v>
      </c>
      <c r="N16" s="150" t="s">
        <v>416</v>
      </c>
      <c r="O16" s="150">
        <v>1220</v>
      </c>
      <c r="P16" s="150">
        <f>+O16-O16*0.23</f>
        <v>939.4</v>
      </c>
      <c r="Q16" s="150">
        <f>480-Q15</f>
        <v>160</v>
      </c>
      <c r="R16" s="150">
        <f t="shared" ref="R16:R19" si="4">+O16*Q16</f>
        <v>195200</v>
      </c>
      <c r="S16" s="150">
        <f t="shared" ref="S16:S19" si="5">+P16*Q16</f>
        <v>150304</v>
      </c>
      <c r="T16" s="150" t="s">
        <v>416</v>
      </c>
      <c r="U16" s="150">
        <v>1220</v>
      </c>
      <c r="V16" s="150">
        <v>939.4</v>
      </c>
      <c r="W16" s="150">
        <v>160</v>
      </c>
      <c r="X16" s="150">
        <f t="shared" ref="X16:X19" si="6">+U16*W16</f>
        <v>195200</v>
      </c>
      <c r="Y16" s="150">
        <f t="shared" ref="Y16:Y19" si="7">+V16*W16</f>
        <v>150304</v>
      </c>
    </row>
    <row r="17" spans="1:25" ht="13.5" thickBot="1">
      <c r="A17" s="784"/>
      <c r="B17" s="216" t="s">
        <v>448</v>
      </c>
      <c r="C17" s="217">
        <v>14384</v>
      </c>
      <c r="D17" s="218"/>
      <c r="E17" s="226"/>
      <c r="F17" s="229">
        <v>11</v>
      </c>
      <c r="G17" s="579" t="s">
        <v>13</v>
      </c>
      <c r="H17" s="234" t="s">
        <v>397</v>
      </c>
      <c r="I17" s="779"/>
      <c r="J17" s="215">
        <f>+'1'!J17</f>
        <v>0</v>
      </c>
      <c r="K17" s="230"/>
      <c r="L17" s="230"/>
      <c r="M17" s="118">
        <f>+K17+'1'!M17+L17</f>
        <v>0</v>
      </c>
      <c r="P17" s="150">
        <f>+O17-O17*0.23</f>
        <v>0</v>
      </c>
      <c r="R17" s="150">
        <f t="shared" si="4"/>
        <v>0</v>
      </c>
      <c r="S17" s="150">
        <f t="shared" si="5"/>
        <v>0</v>
      </c>
      <c r="T17" s="150" t="s">
        <v>416</v>
      </c>
      <c r="U17" s="150">
        <v>1220</v>
      </c>
      <c r="V17" s="150">
        <v>939.4</v>
      </c>
      <c r="W17" s="150">
        <v>480</v>
      </c>
      <c r="X17" s="150">
        <f t="shared" si="6"/>
        <v>585600</v>
      </c>
      <c r="Y17" s="150">
        <f t="shared" si="7"/>
        <v>450912</v>
      </c>
    </row>
    <row r="18" spans="1:25" ht="26.25" thickBot="1">
      <c r="A18" s="784"/>
      <c r="B18" s="216"/>
      <c r="C18" s="217"/>
      <c r="D18" s="218"/>
      <c r="E18" s="226"/>
      <c r="F18" s="236"/>
      <c r="G18" s="238" t="s">
        <v>14</v>
      </c>
      <c r="H18" s="234" t="s">
        <v>407</v>
      </c>
      <c r="I18" s="779"/>
      <c r="J18" s="215">
        <f>+'1'!J18</f>
        <v>0</v>
      </c>
      <c r="K18" s="240"/>
      <c r="L18" s="240"/>
      <c r="M18" s="118">
        <f>+K18+'1'!M18+L18</f>
        <v>0</v>
      </c>
      <c r="R18" s="150">
        <f t="shared" si="4"/>
        <v>0</v>
      </c>
      <c r="S18" s="150">
        <f t="shared" si="5"/>
        <v>0</v>
      </c>
      <c r="X18" s="150">
        <f t="shared" si="6"/>
        <v>0</v>
      </c>
      <c r="Y18" s="150">
        <f t="shared" si="7"/>
        <v>0</v>
      </c>
    </row>
    <row r="19" spans="1:25" ht="13.5" thickBot="1">
      <c r="A19" s="784"/>
      <c r="B19" s="216"/>
      <c r="C19" s="217"/>
      <c r="D19" s="218"/>
      <c r="E19" s="226"/>
      <c r="F19" s="229"/>
      <c r="G19" s="233"/>
      <c r="H19" s="234" t="s">
        <v>408</v>
      </c>
      <c r="I19" s="779"/>
      <c r="J19" s="215">
        <f>+'1'!J19</f>
        <v>0</v>
      </c>
      <c r="K19" s="240"/>
      <c r="L19" s="240"/>
      <c r="M19" s="118">
        <f>+K19+'1'!M19+L19</f>
        <v>0</v>
      </c>
      <c r="R19" s="150">
        <f t="shared" si="4"/>
        <v>0</v>
      </c>
      <c r="S19" s="150">
        <f t="shared" si="5"/>
        <v>0</v>
      </c>
      <c r="X19" s="150">
        <f t="shared" si="6"/>
        <v>0</v>
      </c>
      <c r="Y19" s="150">
        <f t="shared" si="7"/>
        <v>0</v>
      </c>
    </row>
    <row r="20" spans="1:25" ht="13.5" thickBot="1">
      <c r="A20" s="784"/>
      <c r="B20" s="216"/>
      <c r="C20" s="217"/>
      <c r="D20" s="218"/>
      <c r="E20" s="226"/>
      <c r="F20" s="229"/>
      <c r="G20" s="233"/>
      <c r="H20" s="234"/>
      <c r="I20" s="779"/>
      <c r="J20" s="215">
        <f>+'1'!J20</f>
        <v>0</v>
      </c>
      <c r="K20" s="241"/>
      <c r="L20" s="241"/>
      <c r="M20" s="118">
        <f>+K20+'1'!M20+L20</f>
        <v>0</v>
      </c>
    </row>
    <row r="21" spans="1:25" ht="13.5" thickBot="1">
      <c r="A21" s="784"/>
      <c r="B21" s="216"/>
      <c r="C21" s="217"/>
      <c r="D21" s="218"/>
      <c r="E21" s="226"/>
      <c r="F21" s="232"/>
      <c r="G21" s="233"/>
      <c r="H21" s="234"/>
      <c r="I21" s="779"/>
      <c r="J21" s="215">
        <f>+'1'!J21</f>
        <v>0</v>
      </c>
      <c r="K21" s="240"/>
      <c r="L21" s="240"/>
      <c r="M21" s="118">
        <f>+K21+'1'!M21+L21</f>
        <v>0</v>
      </c>
      <c r="Q21" s="150">
        <f>SUM(Q15:Q19)</f>
        <v>480</v>
      </c>
      <c r="R21" s="150">
        <f>SUM(R15:R19)</f>
        <v>585600</v>
      </c>
      <c r="S21" s="150">
        <f>SUM(S15:S19)</f>
        <v>450912</v>
      </c>
      <c r="W21" s="150">
        <f>SUM(W15:W19)</f>
        <v>714</v>
      </c>
      <c r="X21" s="150">
        <f>SUM(X15:X19)</f>
        <v>869600</v>
      </c>
      <c r="Y21" s="150">
        <f>SUM(Y15:Y19)</f>
        <v>669592</v>
      </c>
    </row>
    <row r="22" spans="1:25" ht="13.5" thickBot="1">
      <c r="A22" s="784"/>
      <c r="B22" s="216"/>
      <c r="C22" s="217"/>
      <c r="D22" s="218"/>
      <c r="E22" s="226"/>
      <c r="F22" s="237"/>
      <c r="G22" s="233"/>
      <c r="H22" s="234"/>
      <c r="I22" s="780"/>
      <c r="J22" s="215">
        <f>+'1'!J22</f>
        <v>0</v>
      </c>
      <c r="K22" s="240"/>
      <c r="L22" s="240"/>
      <c r="M22" s="118">
        <f>+K22+'1'!M22+L22</f>
        <v>0</v>
      </c>
      <c r="Q22" s="150">
        <f>480-Q21</f>
        <v>0</v>
      </c>
      <c r="R22" s="150">
        <f>+R21/Q21</f>
        <v>1220</v>
      </c>
      <c r="S22" s="150">
        <f>+S21/Q21</f>
        <v>939.4</v>
      </c>
      <c r="W22" s="150">
        <f>480-W21</f>
        <v>-234</v>
      </c>
      <c r="X22" s="150">
        <f>+X21/W21</f>
        <v>1217.9271708683473</v>
      </c>
      <c r="Y22" s="150">
        <f>+Y21/W21</f>
        <v>937.8039215686274</v>
      </c>
    </row>
    <row r="23" spans="1:25" ht="13.5" thickBot="1">
      <c r="A23" s="785"/>
      <c r="B23" s="166"/>
      <c r="C23" s="101">
        <f>SUM(C16:C22)</f>
        <v>16507</v>
      </c>
      <c r="D23" s="112">
        <f>SUM(D16:D22)</f>
        <v>0</v>
      </c>
      <c r="E23" s="113">
        <f>SUM(E18:E22)</f>
        <v>0</v>
      </c>
      <c r="F23" s="103">
        <f>SUM(F15:F22)</f>
        <v>17</v>
      </c>
      <c r="G23" s="160"/>
      <c r="H23" s="167"/>
      <c r="I23" s="170"/>
      <c r="J23" s="215">
        <f>+'1'!J23</f>
        <v>0</v>
      </c>
      <c r="K23" s="240"/>
      <c r="L23" s="240"/>
      <c r="M23" s="118">
        <f>+K23+'1'!M23+L23</f>
        <v>0</v>
      </c>
    </row>
    <row r="24" spans="1:25" ht="13.5" customHeight="1" thickBot="1">
      <c r="A24" s="775" t="s">
        <v>446</v>
      </c>
      <c r="B24" s="171"/>
      <c r="C24" s="114">
        <f>C23/($C$23+$D$23+$E$23)</f>
        <v>1</v>
      </c>
      <c r="D24" s="115">
        <f>D23/($C$23+$D$23+$E$23)</f>
        <v>0</v>
      </c>
      <c r="E24" s="116">
        <f>E23/($C$23+$D$23+$E$23)</f>
        <v>0</v>
      </c>
      <c r="F24" s="229"/>
      <c r="G24" s="230" t="s">
        <v>13</v>
      </c>
      <c r="H24" s="231" t="s">
        <v>390</v>
      </c>
      <c r="I24" s="778" t="s">
        <v>418</v>
      </c>
      <c r="J24" s="215">
        <f>+'1'!J24</f>
        <v>0</v>
      </c>
      <c r="K24" s="240"/>
      <c r="L24" s="240"/>
      <c r="M24" s="118">
        <f>+K24+'1'!M24+L24</f>
        <v>0</v>
      </c>
      <c r="N24" s="150" t="s">
        <v>416</v>
      </c>
      <c r="O24" s="150">
        <v>1220</v>
      </c>
      <c r="P24" s="150">
        <f>+O24-O24*0.23</f>
        <v>939.4</v>
      </c>
      <c r="Q24" s="150">
        <v>480</v>
      </c>
      <c r="R24" s="150">
        <f>+O24*Q24</f>
        <v>585600</v>
      </c>
      <c r="S24" s="150">
        <f>+P24*Q24</f>
        <v>450912</v>
      </c>
    </row>
    <row r="25" spans="1:25" ht="13.5" customHeight="1" thickBot="1">
      <c r="A25" s="784"/>
      <c r="B25" s="216" t="s">
        <v>447</v>
      </c>
      <c r="C25" s="227">
        <v>16525</v>
      </c>
      <c r="D25" s="218"/>
      <c r="E25" s="226"/>
      <c r="F25" s="232">
        <v>4</v>
      </c>
      <c r="G25" s="579" t="s">
        <v>13</v>
      </c>
      <c r="H25" s="231" t="s">
        <v>426</v>
      </c>
      <c r="I25" s="779"/>
      <c r="J25" s="215">
        <f>+'1'!J25</f>
        <v>0</v>
      </c>
      <c r="K25" s="240"/>
      <c r="L25" s="240"/>
      <c r="M25" s="118">
        <f>+K25+'1'!M25+L25</f>
        <v>0</v>
      </c>
      <c r="P25" s="150">
        <f>+O25-O25*0.23</f>
        <v>0</v>
      </c>
      <c r="Q25" s="150">
        <f>480-Q24</f>
        <v>0</v>
      </c>
      <c r="R25" s="150">
        <f t="shared" ref="R25:R28" si="8">+O25*Q25</f>
        <v>0</v>
      </c>
      <c r="S25" s="150">
        <f t="shared" ref="S25:S28" si="9">+P25*Q25</f>
        <v>0</v>
      </c>
    </row>
    <row r="26" spans="1:25" ht="13.5" customHeight="1" thickBot="1">
      <c r="A26" s="784"/>
      <c r="B26" s="216"/>
      <c r="C26" s="227"/>
      <c r="D26" s="218"/>
      <c r="E26" s="228"/>
      <c r="F26" s="229">
        <v>8</v>
      </c>
      <c r="G26" s="579" t="s">
        <v>13</v>
      </c>
      <c r="H26" s="234" t="s">
        <v>425</v>
      </c>
      <c r="I26" s="779"/>
      <c r="J26" s="215">
        <f>+'1'!J26</f>
        <v>0</v>
      </c>
      <c r="K26" s="240"/>
      <c r="L26" s="240"/>
      <c r="M26" s="118">
        <f>+K26+'1'!M26+L26</f>
        <v>0</v>
      </c>
      <c r="P26" s="150">
        <f>+O26-O26*0.23</f>
        <v>0</v>
      </c>
      <c r="R26" s="150">
        <f t="shared" si="8"/>
        <v>0</v>
      </c>
      <c r="S26" s="150">
        <f t="shared" si="9"/>
        <v>0</v>
      </c>
    </row>
    <row r="27" spans="1:25" ht="26.25" thickBot="1">
      <c r="A27" s="784"/>
      <c r="B27" s="216"/>
      <c r="C27" s="217"/>
      <c r="D27" s="218"/>
      <c r="E27" s="226"/>
      <c r="F27" s="229"/>
      <c r="G27" s="238" t="s">
        <v>14</v>
      </c>
      <c r="H27" s="234" t="s">
        <v>406</v>
      </c>
      <c r="I27" s="779"/>
      <c r="J27" s="215">
        <f>+'1'!J27</f>
        <v>0</v>
      </c>
      <c r="K27" s="240"/>
      <c r="L27" s="240"/>
      <c r="M27" s="118">
        <f>+K27+'1'!M27+L27</f>
        <v>0</v>
      </c>
      <c r="R27" s="150">
        <f t="shared" si="8"/>
        <v>0</v>
      </c>
      <c r="S27" s="150">
        <f t="shared" si="9"/>
        <v>0</v>
      </c>
    </row>
    <row r="28" spans="1:25" ht="13.5" customHeight="1" thickBot="1">
      <c r="A28" s="784"/>
      <c r="B28" s="216"/>
      <c r="C28" s="217"/>
      <c r="D28" s="218"/>
      <c r="E28" s="226"/>
      <c r="F28" s="232"/>
      <c r="G28" s="233"/>
      <c r="H28" s="234"/>
      <c r="I28" s="779"/>
      <c r="J28" s="215">
        <f>+'1'!J28</f>
        <v>0</v>
      </c>
      <c r="K28" s="240"/>
      <c r="L28" s="240"/>
      <c r="M28" s="118">
        <f>+K28+'1'!M28+L28</f>
        <v>0</v>
      </c>
      <c r="R28" s="150">
        <f t="shared" si="8"/>
        <v>0</v>
      </c>
      <c r="S28" s="150">
        <f t="shared" si="9"/>
        <v>0</v>
      </c>
    </row>
    <row r="29" spans="1:25" ht="13.5" customHeight="1" thickBot="1">
      <c r="A29" s="784"/>
      <c r="B29" s="216"/>
      <c r="C29" s="217"/>
      <c r="D29" s="218"/>
      <c r="E29" s="226"/>
      <c r="F29" s="237"/>
      <c r="G29" s="233"/>
      <c r="H29" s="234"/>
      <c r="I29" s="779"/>
      <c r="J29" s="215">
        <f>+'1'!J29</f>
        <v>0</v>
      </c>
      <c r="K29" s="240"/>
      <c r="L29" s="240"/>
      <c r="M29" s="118">
        <f>+K29+'1'!M29+L29</f>
        <v>0</v>
      </c>
    </row>
    <row r="30" spans="1:25" ht="13.5" customHeight="1" thickBot="1">
      <c r="A30" s="784"/>
      <c r="B30" s="216"/>
      <c r="C30" s="227"/>
      <c r="D30" s="218"/>
      <c r="E30" s="226"/>
      <c r="F30" s="237"/>
      <c r="G30" s="233"/>
      <c r="H30" s="234"/>
      <c r="I30" s="779"/>
      <c r="J30" s="215">
        <f>+'1'!J30</f>
        <v>0</v>
      </c>
      <c r="K30" s="240"/>
      <c r="L30" s="240"/>
      <c r="M30" s="118">
        <f>+K30+'1'!M30+L30</f>
        <v>0</v>
      </c>
      <c r="Q30" s="150">
        <f>SUM(Q24:Q28)</f>
        <v>480</v>
      </c>
      <c r="R30" s="150">
        <f>SUM(R24:R28)</f>
        <v>585600</v>
      </c>
      <c r="S30" s="150">
        <f>SUM(S24:S28)</f>
        <v>450912</v>
      </c>
    </row>
    <row r="31" spans="1:25" ht="13.5" customHeight="1" thickBot="1">
      <c r="A31" s="784"/>
      <c r="B31" s="216"/>
      <c r="C31" s="227"/>
      <c r="D31" s="218"/>
      <c r="E31" s="226"/>
      <c r="F31" s="237"/>
      <c r="G31" s="238"/>
      <c r="H31" s="235"/>
      <c r="I31" s="780"/>
      <c r="J31" s="215">
        <f>+'1'!J31</f>
        <v>0</v>
      </c>
      <c r="K31" s="240"/>
      <c r="L31" s="240"/>
      <c r="M31" s="118">
        <f>+K31+'1'!M31+L31</f>
        <v>0</v>
      </c>
      <c r="Q31" s="150">
        <f>480-Q30</f>
        <v>0</v>
      </c>
      <c r="R31" s="150">
        <f>+R30/Q30</f>
        <v>1220</v>
      </c>
      <c r="S31" s="150">
        <f>+S30/Q30</f>
        <v>939.4</v>
      </c>
    </row>
    <row r="32" spans="1:25" ht="13.5" customHeight="1" thickBot="1">
      <c r="A32" s="785"/>
      <c r="B32" s="166"/>
      <c r="C32" s="100">
        <f>SUM(C25:C31)</f>
        <v>16525</v>
      </c>
      <c r="D32" s="101">
        <f>SUM(D25:D31)</f>
        <v>0</v>
      </c>
      <c r="E32" s="102">
        <f>SUM(E25:E31)</f>
        <v>0</v>
      </c>
      <c r="F32" s="103">
        <f>SUM(F24:F31)</f>
        <v>12</v>
      </c>
      <c r="G32" s="172"/>
      <c r="H32" s="173"/>
      <c r="I32" s="170"/>
      <c r="J32" s="215">
        <f>+'1'!J32</f>
        <v>0</v>
      </c>
      <c r="K32" s="242"/>
      <c r="L32" s="244"/>
      <c r="M32" s="118">
        <f>+K32+'1'!M32+L32</f>
        <v>0</v>
      </c>
    </row>
    <row r="33" spans="1:17" ht="13.5" thickBot="1">
      <c r="A33" s="174"/>
      <c r="B33" s="175"/>
      <c r="C33" s="104">
        <f>C32/($C$32+$D$32+$E$32)</f>
        <v>1</v>
      </c>
      <c r="D33" s="105">
        <f>D32/($C$32+$D$32+$E$32)</f>
        <v>0</v>
      </c>
      <c r="E33" s="106">
        <f>E32/($C$32+$D$32+$E$32)</f>
        <v>0</v>
      </c>
      <c r="F33" s="107"/>
      <c r="G33" s="176"/>
      <c r="H33" s="177"/>
      <c r="I33" s="178"/>
      <c r="J33" s="122"/>
      <c r="K33" s="123"/>
      <c r="L33" s="214"/>
      <c r="M33" s="120"/>
      <c r="N33" s="150" t="s">
        <v>415</v>
      </c>
      <c r="O33" s="150">
        <v>1220</v>
      </c>
      <c r="P33" s="150">
        <v>939.39999999999986</v>
      </c>
      <c r="Q33" s="150">
        <v>726</v>
      </c>
    </row>
    <row r="34" spans="1:17" ht="13.5" thickBot="1">
      <c r="A34" s="771" t="s">
        <v>70</v>
      </c>
      <c r="B34" s="772"/>
      <c r="C34" s="108">
        <f>C14+C23+C32</f>
        <v>49101</v>
      </c>
      <c r="D34" s="108">
        <f>D14+D23+D32</f>
        <v>0</v>
      </c>
      <c r="E34" s="108">
        <f>E14+E23+E32</f>
        <v>0</v>
      </c>
      <c r="F34" s="109">
        <f>F14+F23+F32</f>
        <v>45</v>
      </c>
      <c r="H34" s="179"/>
      <c r="I34" s="179"/>
      <c r="J34" s="124" t="s">
        <v>29</v>
      </c>
      <c r="K34" s="125">
        <f>SUM(K7:K32)</f>
        <v>49101</v>
      </c>
      <c r="L34" s="213">
        <f>SUM(L7:L32)</f>
        <v>0</v>
      </c>
      <c r="M34" s="121">
        <f>SUM(M7:M32)</f>
        <v>88936</v>
      </c>
      <c r="N34" s="156" t="s">
        <v>416</v>
      </c>
      <c r="O34" s="150">
        <v>1217.9271708683473</v>
      </c>
      <c r="P34" s="150">
        <v>937.8039215686274</v>
      </c>
      <c r="Q34" s="150">
        <v>714</v>
      </c>
    </row>
    <row r="35" spans="1:17" ht="13.5" thickBot="1">
      <c r="A35" s="180"/>
      <c r="B35" s="181"/>
      <c r="C35" s="105">
        <f>C34/($C$34+$D$34+$E$34)</f>
        <v>1</v>
      </c>
      <c r="D35" s="105">
        <f>D34/($C$34+$D$34+$E$34)</f>
        <v>0</v>
      </c>
      <c r="E35" s="110">
        <f>E34/($C$34+$D$34+$E$34)</f>
        <v>0</v>
      </c>
      <c r="K35" s="156"/>
      <c r="L35" s="762" t="s">
        <v>187</v>
      </c>
      <c r="M35" s="762"/>
      <c r="Q35" s="150">
        <f>+Q33+Q34</f>
        <v>1440</v>
      </c>
    </row>
    <row r="36" spans="1:17" ht="13.5" thickBot="1">
      <c r="A36" s="179"/>
      <c r="B36" s="179"/>
      <c r="C36" s="156"/>
      <c r="D36" s="156"/>
      <c r="E36" s="156"/>
      <c r="G36" s="156"/>
      <c r="H36" s="182"/>
      <c r="I36" s="163" t="s">
        <v>41</v>
      </c>
      <c r="J36" s="163" t="s">
        <v>42</v>
      </c>
      <c r="K36" s="183"/>
      <c r="L36" s="163" t="s">
        <v>41</v>
      </c>
      <c r="M36" s="163" t="s">
        <v>42</v>
      </c>
    </row>
    <row r="37" spans="1:17" ht="17.45" customHeight="1" thickBot="1">
      <c r="A37" s="773" t="s">
        <v>71</v>
      </c>
      <c r="B37" s="774"/>
      <c r="C37" s="163" t="s">
        <v>72</v>
      </c>
      <c r="D37" s="184" t="s">
        <v>73</v>
      </c>
      <c r="E37" s="185" t="s">
        <v>74</v>
      </c>
      <c r="F37" s="361"/>
      <c r="G37" s="363"/>
      <c r="H37" s="187" t="s">
        <v>75</v>
      </c>
      <c r="I37" s="245">
        <f>(13.5*726+14*714)/1440*G42*2.77*1440/1000000</f>
        <v>51.47112804744166</v>
      </c>
      <c r="J37" s="126">
        <f>+I37+'1'!J37</f>
        <v>96.187621420768579</v>
      </c>
      <c r="K37" s="127" t="s">
        <v>76</v>
      </c>
      <c r="L37" s="421"/>
      <c r="M37" s="422"/>
    </row>
    <row r="38" spans="1:17" ht="17.45" customHeight="1">
      <c r="A38" s="767" t="s">
        <v>13</v>
      </c>
      <c r="B38" s="768"/>
      <c r="C38" s="165">
        <f>SUMIF($G$7:$G$31,"Process",$F$7:$F$31)</f>
        <v>35</v>
      </c>
      <c r="D38" s="119">
        <f>+C38+'1'!D38</f>
        <v>208</v>
      </c>
      <c r="E38" s="144">
        <f t="shared" ref="E38:E51" si="10">D38/60</f>
        <v>3.4666666666666668</v>
      </c>
      <c r="F38" s="361">
        <v>1216.9166666666667</v>
      </c>
      <c r="G38" s="361">
        <v>937.02583333333325</v>
      </c>
      <c r="H38" s="188" t="s">
        <v>77</v>
      </c>
      <c r="I38" s="543">
        <f>13.396+2.568+11.985+4.296+15.996</f>
        <v>48.241</v>
      </c>
      <c r="J38" s="128">
        <f>+I38+'1'!J38</f>
        <v>90.781000000000006</v>
      </c>
      <c r="K38" s="129" t="s">
        <v>76</v>
      </c>
      <c r="L38" s="423"/>
      <c r="M38" s="424"/>
    </row>
    <row r="39" spans="1:17" ht="17.45" customHeight="1">
      <c r="A39" s="763" t="s">
        <v>14</v>
      </c>
      <c r="B39" s="764"/>
      <c r="C39" s="165">
        <f>SUMIF($G$7:$G$31,"Cleaning",$F$7:$F$31)</f>
        <v>10</v>
      </c>
      <c r="D39" s="119">
        <f>+C39+'1'!D39</f>
        <v>25</v>
      </c>
      <c r="E39" s="144">
        <f t="shared" si="10"/>
        <v>0.41666666666666669</v>
      </c>
      <c r="F39" s="361">
        <v>1220</v>
      </c>
      <c r="G39" s="361">
        <v>939.4</v>
      </c>
      <c r="H39" s="188" t="s">
        <v>78</v>
      </c>
      <c r="I39" s="143"/>
      <c r="J39" s="130">
        <f>J37/G4</f>
        <v>48.09381071038429</v>
      </c>
      <c r="K39" s="131" t="s">
        <v>76</v>
      </c>
      <c r="L39" s="423"/>
      <c r="M39" s="424"/>
    </row>
    <row r="40" spans="1:17" ht="17.45" customHeight="1">
      <c r="A40" s="763" t="s">
        <v>79</v>
      </c>
      <c r="B40" s="764"/>
      <c r="C40" s="165">
        <f>SUMIF($G$7:$G$31,"Mechanical",$F$7:$F$31)</f>
        <v>0</v>
      </c>
      <c r="D40" s="119">
        <f>+C40+'1'!D40</f>
        <v>0</v>
      </c>
      <c r="E40" s="144">
        <f t="shared" si="10"/>
        <v>0</v>
      </c>
      <c r="F40" s="361">
        <v>1220</v>
      </c>
      <c r="G40" s="361">
        <v>939.4</v>
      </c>
      <c r="H40" s="188" t="s">
        <v>80</v>
      </c>
      <c r="I40" s="119">
        <f>(K34+L34)/1000</f>
        <v>49.100999999999999</v>
      </c>
      <c r="J40" s="132">
        <f>+I40+'1'!J40</f>
        <v>88.936000000000007</v>
      </c>
      <c r="K40" s="131" t="s">
        <v>76</v>
      </c>
      <c r="L40" s="423"/>
      <c r="M40" s="424"/>
    </row>
    <row r="41" spans="1:17" ht="17.45" customHeight="1">
      <c r="A41" s="763" t="s">
        <v>81</v>
      </c>
      <c r="B41" s="764"/>
      <c r="C41" s="165">
        <f>SUMIF($G$7:$G$31,"Electrical",$F$7:$F$31)</f>
        <v>0</v>
      </c>
      <c r="D41" s="119">
        <f>+C41+'1'!D41</f>
        <v>0</v>
      </c>
      <c r="E41" s="144">
        <f t="shared" si="10"/>
        <v>0</v>
      </c>
      <c r="F41" s="361"/>
      <c r="G41" s="361"/>
      <c r="H41" s="188" t="s">
        <v>82</v>
      </c>
      <c r="I41" s="143"/>
      <c r="J41" s="130">
        <f>J40/G4</f>
        <v>44.468000000000004</v>
      </c>
      <c r="K41" s="131" t="s">
        <v>76</v>
      </c>
      <c r="L41" s="423"/>
      <c r="M41" s="424"/>
    </row>
    <row r="42" spans="1:17" ht="17.45" customHeight="1">
      <c r="A42" s="763" t="s">
        <v>17</v>
      </c>
      <c r="B42" s="764"/>
      <c r="C42" s="165">
        <f>SUMIF($G$7:$G$31,"Instrument",$F$7:$F$31)</f>
        <v>0</v>
      </c>
      <c r="D42" s="119">
        <f>+C42+'1'!D42</f>
        <v>0</v>
      </c>
      <c r="E42" s="144">
        <f t="shared" si="10"/>
        <v>0</v>
      </c>
      <c r="F42" s="361">
        <f>+(480*F38+480*F40+480*F39)/1440</f>
        <v>1218.9722222222222</v>
      </c>
      <c r="G42" s="361">
        <f>+(480*G38+480*G40+480*G39)/1440</f>
        <v>938.60861111111103</v>
      </c>
      <c r="H42" s="188" t="s">
        <v>83</v>
      </c>
      <c r="I42" s="247" t="s">
        <v>430</v>
      </c>
      <c r="J42" s="133"/>
      <c r="K42" s="131" t="s">
        <v>84</v>
      </c>
      <c r="L42" s="423"/>
      <c r="M42" s="424"/>
    </row>
    <row r="43" spans="1:17" ht="17.45" customHeight="1">
      <c r="A43" s="763" t="s">
        <v>85</v>
      </c>
      <c r="B43" s="764"/>
      <c r="C43" s="165">
        <f>SUMIF($G$7:$G$31,"Water",$F$7:$F$31)</f>
        <v>0</v>
      </c>
      <c r="D43" s="119">
        <f>+C43+'1'!D43</f>
        <v>0</v>
      </c>
      <c r="E43" s="144">
        <f t="shared" si="10"/>
        <v>0</v>
      </c>
      <c r="F43" s="361"/>
      <c r="G43" s="362"/>
      <c r="H43" s="189" t="s">
        <v>86</v>
      </c>
      <c r="I43" s="119">
        <f>+Report1!AH10</f>
        <v>67.8</v>
      </c>
      <c r="J43" s="134">
        <f>+I43+'1'!J43</f>
        <v>130.69999999999999</v>
      </c>
      <c r="K43" s="131" t="s">
        <v>76</v>
      </c>
      <c r="L43" s="425">
        <f>+Report1!AN10</f>
        <v>10.9</v>
      </c>
      <c r="M43" s="426">
        <f>+L43+'1'!M43</f>
        <v>18.8</v>
      </c>
    </row>
    <row r="44" spans="1:17" ht="17.45" customHeight="1">
      <c r="A44" s="763" t="s">
        <v>18</v>
      </c>
      <c r="B44" s="764"/>
      <c r="C44" s="165">
        <f>SUMIF($G$7:$G$31,"PLN",$F$7:$F$31)</f>
        <v>0</v>
      </c>
      <c r="D44" s="119">
        <f>+C44+'1'!D44</f>
        <v>0</v>
      </c>
      <c r="E44" s="144">
        <f t="shared" si="10"/>
        <v>0</v>
      </c>
      <c r="F44" s="361"/>
      <c r="G44" s="362"/>
      <c r="H44" s="189" t="s">
        <v>87</v>
      </c>
      <c r="I44" s="119">
        <f>I43/I38</f>
        <v>1.4054435024149581</v>
      </c>
      <c r="J44" s="135">
        <f>J43/J38</f>
        <v>1.43972857756579</v>
      </c>
      <c r="K44" s="131" t="s">
        <v>76</v>
      </c>
      <c r="L44" s="427">
        <f>+L43/I38</f>
        <v>0.22594888165668209</v>
      </c>
      <c r="M44" s="428">
        <f>+M43/J38</f>
        <v>0.20709179233540057</v>
      </c>
    </row>
    <row r="45" spans="1:17" ht="17.45" customHeight="1">
      <c r="A45" s="763" t="s">
        <v>19</v>
      </c>
      <c r="B45" s="764"/>
      <c r="C45" s="165">
        <f>SUMIF($G$7:$G$31,"Boiler",$F$7:$F$31)</f>
        <v>0</v>
      </c>
      <c r="D45" s="119">
        <f>+C45+'1'!D45</f>
        <v>0</v>
      </c>
      <c r="E45" s="144">
        <f t="shared" si="10"/>
        <v>0</v>
      </c>
      <c r="F45" s="361"/>
      <c r="G45" s="364"/>
      <c r="H45" s="189" t="s">
        <v>88</v>
      </c>
      <c r="I45" s="119">
        <f>I43/I40</f>
        <v>1.3808272743935968</v>
      </c>
      <c r="J45" s="135">
        <f>J43/J40</f>
        <v>1.4695961140595482</v>
      </c>
      <c r="K45" s="131" t="s">
        <v>76</v>
      </c>
      <c r="L45" s="427">
        <f>+L43/I40</f>
        <v>0.22199140547035703</v>
      </c>
      <c r="M45" s="428">
        <f>+M43/J40</f>
        <v>0.21138796437887919</v>
      </c>
    </row>
    <row r="46" spans="1:17" ht="17.45" customHeight="1">
      <c r="A46" s="763" t="s">
        <v>89</v>
      </c>
      <c r="B46" s="764"/>
      <c r="C46" s="165">
        <f>SUMIF($G$7:$G$31,"Gas",$F$7:$F$31)</f>
        <v>0</v>
      </c>
      <c r="D46" s="119">
        <f>+C46+'1'!D46</f>
        <v>0</v>
      </c>
      <c r="E46" s="144">
        <f t="shared" si="10"/>
        <v>0</v>
      </c>
      <c r="F46" s="361"/>
      <c r="G46" s="362"/>
      <c r="H46" s="189" t="s">
        <v>90</v>
      </c>
      <c r="I46" s="141">
        <f>+SUMIF(Listrik!P9,"&gt;0")</f>
        <v>44439.779999999984</v>
      </c>
      <c r="J46" s="136">
        <f>+I46+'1'!J46</f>
        <v>80831.079999999987</v>
      </c>
      <c r="K46" s="131" t="s">
        <v>91</v>
      </c>
      <c r="L46" s="427">
        <f>+Listrik!AF9</f>
        <v>0</v>
      </c>
      <c r="M46" s="429">
        <f>+L46+'1'!M46</f>
        <v>0</v>
      </c>
    </row>
    <row r="47" spans="1:17" ht="17.45" customHeight="1">
      <c r="A47" s="763" t="s">
        <v>92</v>
      </c>
      <c r="B47" s="764"/>
      <c r="C47" s="165">
        <f>SUMIF($G$7:$G$31,"Gas",$F$7:$F$31)</f>
        <v>0</v>
      </c>
      <c r="D47" s="119">
        <f>+C47+'1'!D47</f>
        <v>0</v>
      </c>
      <c r="E47" s="144">
        <f t="shared" si="10"/>
        <v>0</v>
      </c>
      <c r="F47" s="361"/>
      <c r="G47" s="362"/>
      <c r="H47" s="189" t="s">
        <v>93</v>
      </c>
      <c r="I47" s="119">
        <f>I46/I38</f>
        <v>921.20354055678752</v>
      </c>
      <c r="J47" s="136">
        <f>J46/J38</f>
        <v>890.39644859607165</v>
      </c>
      <c r="K47" s="131" t="s">
        <v>25</v>
      </c>
      <c r="L47" s="423">
        <f>+L46/I38</f>
        <v>0</v>
      </c>
      <c r="M47" s="428">
        <f>+M46/J38</f>
        <v>0</v>
      </c>
    </row>
    <row r="48" spans="1:17" ht="17.45" customHeight="1">
      <c r="A48" s="763" t="s">
        <v>15</v>
      </c>
      <c r="B48" s="764"/>
      <c r="C48" s="165">
        <f>SUMIF($G$7:$G$31,"Start Up",$F$7:$F$31)</f>
        <v>0</v>
      </c>
      <c r="D48" s="119">
        <f>+C48+'1'!D48</f>
        <v>0</v>
      </c>
      <c r="E48" s="144">
        <f t="shared" si="10"/>
        <v>0</v>
      </c>
      <c r="F48" s="361"/>
      <c r="G48" s="362"/>
      <c r="H48" s="189" t="s">
        <v>94</v>
      </c>
      <c r="I48" s="119">
        <f>I46/I40</f>
        <v>905.06873587095959</v>
      </c>
      <c r="J48" s="136">
        <f>J46/J40</f>
        <v>908.86794998650691</v>
      </c>
      <c r="K48" s="131" t="s">
        <v>25</v>
      </c>
      <c r="L48" s="427">
        <f>+L46/I38</f>
        <v>0</v>
      </c>
      <c r="M48" s="428">
        <f>+M46/J40</f>
        <v>0</v>
      </c>
    </row>
    <row r="49" spans="1:13" ht="17.45" customHeight="1">
      <c r="A49" s="763" t="s">
        <v>21</v>
      </c>
      <c r="B49" s="764"/>
      <c r="C49" s="165">
        <f>SUMIF($G$7:$G$31,"Others",$F$7:$F$31)</f>
        <v>0</v>
      </c>
      <c r="D49" s="119">
        <f>+C49+'1'!D49</f>
        <v>0</v>
      </c>
      <c r="E49" s="144">
        <f t="shared" si="10"/>
        <v>0</v>
      </c>
      <c r="F49" s="186"/>
      <c r="H49" s="189" t="s">
        <v>182</v>
      </c>
      <c r="I49" s="119">
        <f>+Report1!AB10</f>
        <v>5758.1214458738032</v>
      </c>
      <c r="J49" s="136">
        <f>+I49+'1'!J49</f>
        <v>5758.1214458738032</v>
      </c>
      <c r="K49" s="131" t="s">
        <v>96</v>
      </c>
      <c r="L49" s="423"/>
      <c r="M49" s="424"/>
    </row>
    <row r="50" spans="1:13" ht="17.45" customHeight="1">
      <c r="A50" s="763" t="s">
        <v>20</v>
      </c>
      <c r="B50" s="764"/>
      <c r="C50" s="165">
        <f>SUMIF($G$7:$G$31,"Steam",$F$7:$F$31)</f>
        <v>0</v>
      </c>
      <c r="D50" s="119">
        <f>+C50+'1'!D50</f>
        <v>0</v>
      </c>
      <c r="E50" s="144">
        <f t="shared" si="10"/>
        <v>0</v>
      </c>
      <c r="F50" s="186"/>
      <c r="H50" s="189" t="s">
        <v>97</v>
      </c>
      <c r="I50" s="141">
        <f>I49/I38</f>
        <v>119.36156891179294</v>
      </c>
      <c r="J50" s="134">
        <f>J49/J38</f>
        <v>63.428706952708197</v>
      </c>
      <c r="K50" s="131" t="s">
        <v>96</v>
      </c>
      <c r="L50" s="423"/>
      <c r="M50" s="424"/>
    </row>
    <row r="51" spans="1:13" ht="17.45" customHeight="1" thickBot="1">
      <c r="A51" s="765" t="s">
        <v>98</v>
      </c>
      <c r="B51" s="766"/>
      <c r="C51" s="165">
        <f>SUMIF($G$7:$G$31,"Planned shut",$F$7:$F$31)</f>
        <v>0</v>
      </c>
      <c r="D51" s="119">
        <f>+C51+'1'!D51</f>
        <v>0</v>
      </c>
      <c r="E51" s="144">
        <f t="shared" si="10"/>
        <v>0</v>
      </c>
      <c r="F51" s="186"/>
      <c r="H51" s="191" t="s">
        <v>99</v>
      </c>
      <c r="I51" s="142">
        <f>I49/I40</f>
        <v>117.27096079252567</v>
      </c>
      <c r="J51" s="137">
        <f>J49/J40</f>
        <v>64.744551653703823</v>
      </c>
      <c r="K51" s="138" t="s">
        <v>96</v>
      </c>
      <c r="L51" s="423"/>
      <c r="M51" s="424"/>
    </row>
    <row r="52" spans="1:13" ht="13.5" thickBot="1">
      <c r="A52" s="767" t="s">
        <v>29</v>
      </c>
      <c r="B52" s="768"/>
      <c r="C52" s="145">
        <f>SUM(C38:C51)</f>
        <v>45</v>
      </c>
      <c r="D52" s="145">
        <f>SUM(D38:D51)</f>
        <v>233</v>
      </c>
      <c r="E52" s="146">
        <f>SUM(E38:E51)</f>
        <v>3.8833333333333333</v>
      </c>
      <c r="F52" s="186"/>
      <c r="H52" s="192"/>
      <c r="I52" s="193"/>
      <c r="J52" s="139"/>
      <c r="K52" s="140"/>
      <c r="L52" s="430"/>
      <c r="M52" s="431"/>
    </row>
    <row r="53" spans="1:13" ht="13.5" thickBot="1">
      <c r="A53" s="769"/>
      <c r="B53" s="770"/>
      <c r="C53" s="147">
        <f>C52/(24*60)</f>
        <v>3.125E-2</v>
      </c>
      <c r="D53" s="147">
        <f>D52/(24*60*G4)</f>
        <v>8.0902777777777782E-2</v>
      </c>
      <c r="E53" s="148">
        <f>E52/(G4*24)</f>
        <v>8.0902777777777782E-2</v>
      </c>
      <c r="F53" s="186"/>
    </row>
    <row r="54" spans="1:13">
      <c r="E54" s="194"/>
      <c r="F54" s="186"/>
    </row>
    <row r="55" spans="1:13">
      <c r="E55" s="194"/>
    </row>
    <row r="56" spans="1:13">
      <c r="A56" s="195" t="s">
        <v>100</v>
      </c>
      <c r="B56" s="196"/>
      <c r="C56" s="197"/>
      <c r="D56" s="197"/>
      <c r="E56" s="197"/>
      <c r="F56" s="198"/>
      <c r="G56" s="197"/>
      <c r="H56" s="199"/>
      <c r="I56" s="200" t="s">
        <v>101</v>
      </c>
      <c r="J56" s="201">
        <f>+D34+'1'!J56</f>
        <v>0</v>
      </c>
      <c r="K56" s="202">
        <f>J56/(J40+J56/1000)/1000</f>
        <v>0</v>
      </c>
    </row>
    <row r="57" spans="1:13">
      <c r="A57" s="177"/>
      <c r="I57" s="200" t="s">
        <v>102</v>
      </c>
      <c r="J57" s="201">
        <f>+E34+'1'!J57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I7:I13"/>
    <mergeCell ref="I15:I22"/>
    <mergeCell ref="A7:A14"/>
    <mergeCell ref="A15:A23"/>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Z61"/>
  <sheetViews>
    <sheetView view="pageBreakPreview" zoomScale="80" zoomScaleNormal="75" zoomScaleSheetLayoutView="80" workbookViewId="0">
      <selection activeCell="F26" activeCellId="2" sqref="F9 F17 F26"/>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7109375" style="150" bestFit="1" customWidth="1"/>
    <col min="11" max="11" width="14" style="150" bestFit="1" customWidth="1"/>
    <col min="12" max="12" width="8.28515625" style="150" customWidth="1"/>
    <col min="13" max="13" width="14.42578125" style="150" bestFit="1" customWidth="1"/>
    <col min="14" max="14" width="11.28515625" style="150" bestFit="1" customWidth="1"/>
    <col min="15" max="16384" width="9.140625" style="150"/>
  </cols>
  <sheetData>
    <row r="1" spans="1:26" ht="15.75">
      <c r="A1" s="149"/>
    </row>
    <row r="2" spans="1:26" ht="15.75">
      <c r="A2" s="149" t="s">
        <v>185</v>
      </c>
    </row>
    <row r="3" spans="1:26" ht="15">
      <c r="A3" s="151"/>
    </row>
    <row r="4" spans="1:26" ht="20.25">
      <c r="A4" s="152" t="s">
        <v>5</v>
      </c>
      <c r="B4" s="153"/>
      <c r="F4" s="154" t="s">
        <v>30</v>
      </c>
      <c r="G4" s="155">
        <v>1</v>
      </c>
      <c r="H4" s="155" t="s">
        <v>404</v>
      </c>
      <c r="J4" s="150">
        <f>353.4+377.8+401.1</f>
        <v>1132.3000000000002</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416</v>
      </c>
      <c r="O6" s="150">
        <v>1170</v>
      </c>
      <c r="P6" s="150">
        <f>+O6-O6*0.23</f>
        <v>900.9</v>
      </c>
      <c r="Q6" s="150">
        <f>60+55</f>
        <v>115</v>
      </c>
      <c r="R6" s="150">
        <f>+O6*Q6</f>
        <v>134550</v>
      </c>
      <c r="S6" s="150">
        <f>+P6*Q6</f>
        <v>103603.5</v>
      </c>
      <c r="U6" s="150" t="s">
        <v>416</v>
      </c>
      <c r="V6" s="150">
        <v>1170</v>
      </c>
      <c r="W6" s="150">
        <f>+V6-V6*0.23</f>
        <v>900.9</v>
      </c>
      <c r="X6" s="150">
        <f>60+55</f>
        <v>115</v>
      </c>
      <c r="Y6" s="150">
        <f>+V6*X6</f>
        <v>134550</v>
      </c>
      <c r="Z6" s="150">
        <f>+W6*X6</f>
        <v>103603.5</v>
      </c>
    </row>
    <row r="7" spans="1:26" ht="13.5" customHeight="1" thickBot="1">
      <c r="A7" s="775" t="s">
        <v>444</v>
      </c>
      <c r="B7" s="216" t="s">
        <v>448</v>
      </c>
      <c r="C7" s="217">
        <v>3554</v>
      </c>
      <c r="D7" s="218"/>
      <c r="E7" s="219"/>
      <c r="F7" s="229"/>
      <c r="G7" s="230" t="s">
        <v>13</v>
      </c>
      <c r="H7" s="231" t="s">
        <v>390</v>
      </c>
      <c r="I7" s="778" t="s">
        <v>420</v>
      </c>
      <c r="J7" s="215" t="s">
        <v>448</v>
      </c>
      <c r="K7" s="239">
        <f>+C7+C16+C25</f>
        <v>32818</v>
      </c>
      <c r="L7" s="243"/>
      <c r="M7" s="118">
        <f>+K7+L7</f>
        <v>32818</v>
      </c>
      <c r="N7" s="150" t="s">
        <v>415</v>
      </c>
      <c r="O7" s="150">
        <v>1200</v>
      </c>
      <c r="P7" s="150">
        <f>+O7-O7*0.23</f>
        <v>924</v>
      </c>
      <c r="Q7" s="150">
        <f>60-55+300+35</f>
        <v>340</v>
      </c>
      <c r="R7" s="150">
        <f t="shared" ref="R7:R10" si="0">+O7*Q7</f>
        <v>408000</v>
      </c>
      <c r="S7" s="150">
        <f t="shared" ref="S7:S10" si="1">+P7*Q7</f>
        <v>314160</v>
      </c>
      <c r="U7" s="150" t="s">
        <v>415</v>
      </c>
      <c r="V7" s="150">
        <v>1200</v>
      </c>
      <c r="W7" s="150">
        <f>+V7-V7*0.23</f>
        <v>924</v>
      </c>
      <c r="X7" s="150">
        <f>60-55+300+35</f>
        <v>340</v>
      </c>
      <c r="Y7" s="150">
        <f t="shared" ref="Y7:Y10" si="2">+V7*X7</f>
        <v>408000</v>
      </c>
      <c r="Z7" s="150">
        <f t="shared" ref="Z7:Z10" si="3">+W7*X7</f>
        <v>314160</v>
      </c>
    </row>
    <row r="8" spans="1:26" ht="13.5" thickBot="1">
      <c r="A8" s="776"/>
      <c r="B8" s="216" t="s">
        <v>447</v>
      </c>
      <c r="C8" s="217">
        <v>7017</v>
      </c>
      <c r="D8" s="218"/>
      <c r="E8" s="220"/>
      <c r="F8" s="232">
        <v>2</v>
      </c>
      <c r="G8" s="579" t="s">
        <v>13</v>
      </c>
      <c r="H8" s="231" t="s">
        <v>422</v>
      </c>
      <c r="I8" s="779"/>
      <c r="J8" s="215" t="s">
        <v>447</v>
      </c>
      <c r="K8" s="240">
        <f>+C8</f>
        <v>7017</v>
      </c>
      <c r="L8" s="240"/>
      <c r="M8" s="118">
        <f t="shared" ref="M8:M32" si="4">+K8+L8</f>
        <v>7017</v>
      </c>
      <c r="P8" s="150">
        <f>+O8-O8*0.22</f>
        <v>0</v>
      </c>
      <c r="R8" s="150">
        <f t="shared" si="0"/>
        <v>0</v>
      </c>
      <c r="S8" s="150">
        <f t="shared" si="1"/>
        <v>0</v>
      </c>
      <c r="W8" s="150">
        <f>+V8-V8*0.22</f>
        <v>0</v>
      </c>
      <c r="Y8" s="150">
        <f t="shared" si="2"/>
        <v>0</v>
      </c>
      <c r="Z8" s="150">
        <f t="shared" si="3"/>
        <v>0</v>
      </c>
    </row>
    <row r="9" spans="1:26" ht="13.5" thickBot="1">
      <c r="A9" s="776"/>
      <c r="B9" s="216"/>
      <c r="C9" s="217"/>
      <c r="D9" s="218"/>
      <c r="E9" s="221"/>
      <c r="F9" s="229">
        <v>4</v>
      </c>
      <c r="G9" s="579" t="s">
        <v>13</v>
      </c>
      <c r="H9" s="234" t="s">
        <v>423</v>
      </c>
      <c r="I9" s="779"/>
      <c r="J9" s="215"/>
      <c r="K9" s="240"/>
      <c r="L9" s="240"/>
      <c r="M9" s="118">
        <f t="shared" si="4"/>
        <v>0</v>
      </c>
      <c r="R9" s="150">
        <f t="shared" si="0"/>
        <v>0</v>
      </c>
      <c r="S9" s="150">
        <f t="shared" si="1"/>
        <v>0</v>
      </c>
      <c r="Y9" s="150">
        <f t="shared" si="2"/>
        <v>0</v>
      </c>
      <c r="Z9" s="150">
        <f t="shared" si="3"/>
        <v>0</v>
      </c>
    </row>
    <row r="10" spans="1:26" ht="26.25" thickBot="1">
      <c r="A10" s="776"/>
      <c r="B10" s="216"/>
      <c r="C10" s="217"/>
      <c r="D10" s="218"/>
      <c r="E10" s="220"/>
      <c r="F10" s="229">
        <v>15</v>
      </c>
      <c r="G10" s="238" t="s">
        <v>14</v>
      </c>
      <c r="H10" s="234" t="s">
        <v>413</v>
      </c>
      <c r="I10" s="779"/>
      <c r="J10" s="215"/>
      <c r="K10" s="240"/>
      <c r="L10" s="240"/>
      <c r="M10" s="118">
        <f t="shared" si="4"/>
        <v>0</v>
      </c>
      <c r="R10" s="150">
        <f t="shared" si="0"/>
        <v>0</v>
      </c>
      <c r="S10" s="150">
        <f t="shared" si="1"/>
        <v>0</v>
      </c>
      <c r="Y10" s="150">
        <f t="shared" si="2"/>
        <v>0</v>
      </c>
      <c r="Z10" s="150">
        <f t="shared" si="3"/>
        <v>0</v>
      </c>
    </row>
    <row r="11" spans="1:26" ht="90" thickBot="1">
      <c r="A11" s="776"/>
      <c r="B11" s="216"/>
      <c r="C11" s="217"/>
      <c r="D11" s="218"/>
      <c r="E11" s="220"/>
      <c r="F11" s="229">
        <v>25</v>
      </c>
      <c r="G11" s="579" t="s">
        <v>13</v>
      </c>
      <c r="H11" s="234" t="s">
        <v>414</v>
      </c>
      <c r="I11" s="779"/>
      <c r="J11" s="215"/>
      <c r="K11" s="240"/>
      <c r="L11" s="240"/>
      <c r="M11" s="118">
        <f t="shared" si="4"/>
        <v>0</v>
      </c>
    </row>
    <row r="12" spans="1:26" ht="13.5" thickBot="1">
      <c r="A12" s="776"/>
      <c r="B12" s="216"/>
      <c r="C12" s="217"/>
      <c r="D12" s="218"/>
      <c r="E12" s="220"/>
      <c r="F12" s="229"/>
      <c r="G12" s="233"/>
      <c r="H12" s="234"/>
      <c r="I12" s="779"/>
      <c r="J12" s="250"/>
      <c r="K12" s="240"/>
      <c r="L12" s="240"/>
      <c r="M12" s="118">
        <f t="shared" si="4"/>
        <v>0</v>
      </c>
      <c r="Q12" s="150">
        <f>SUM(Q6:Q10)</f>
        <v>455</v>
      </c>
      <c r="R12" s="150">
        <f>SUM(R6:R10)</f>
        <v>542550</v>
      </c>
      <c r="S12" s="150">
        <f>SUM(S6:S10)</f>
        <v>417763.5</v>
      </c>
      <c r="X12" s="150">
        <f>SUM(X6:X10)</f>
        <v>455</v>
      </c>
      <c r="Y12" s="150">
        <f>SUM(Y6:Y10)</f>
        <v>542550</v>
      </c>
      <c r="Z12" s="150">
        <f>SUM(Z6:Z10)</f>
        <v>417763.5</v>
      </c>
    </row>
    <row r="13" spans="1:26" ht="13.5" thickBot="1">
      <c r="A13" s="776"/>
      <c r="B13" s="216"/>
      <c r="C13" s="217"/>
      <c r="D13" s="217"/>
      <c r="E13" s="220"/>
      <c r="F13" s="229"/>
      <c r="G13" s="233"/>
      <c r="H13" s="234"/>
      <c r="I13" s="780"/>
      <c r="J13" s="250"/>
      <c r="K13" s="240"/>
      <c r="L13" s="240"/>
      <c r="M13" s="118">
        <f t="shared" si="4"/>
        <v>0</v>
      </c>
      <c r="Q13" s="150">
        <f>480-Q12</f>
        <v>25</v>
      </c>
      <c r="R13" s="150">
        <f>+R12/Q12</f>
        <v>1192.4175824175825</v>
      </c>
      <c r="S13" s="150">
        <f>+S12/Q12</f>
        <v>918.1615384615385</v>
      </c>
      <c r="X13" s="150">
        <f>480-X12</f>
        <v>25</v>
      </c>
      <c r="Y13" s="150">
        <f>+Y12/X12</f>
        <v>1192.4175824175825</v>
      </c>
      <c r="Z13" s="150">
        <f>+Z12/X12</f>
        <v>918.1615384615385</v>
      </c>
    </row>
    <row r="14" spans="1:26" ht="13.5" thickBot="1">
      <c r="A14" s="777"/>
      <c r="B14" s="166" t="s">
        <v>3</v>
      </c>
      <c r="C14" s="100">
        <f>SUM(C7:C13)</f>
        <v>10571</v>
      </c>
      <c r="D14" s="112">
        <f>SUM(D7:D13)</f>
        <v>0</v>
      </c>
      <c r="E14" s="113">
        <f>SUM(E5:E13)</f>
        <v>0</v>
      </c>
      <c r="F14" s="103">
        <f>SUM(F6:F13)</f>
        <v>46</v>
      </c>
      <c r="G14" s="160"/>
      <c r="H14" s="167"/>
      <c r="I14" s="168"/>
      <c r="J14" s="250"/>
      <c r="K14" s="240"/>
      <c r="L14" s="240"/>
      <c r="M14" s="118">
        <f t="shared" si="4"/>
        <v>0</v>
      </c>
    </row>
    <row r="15" spans="1:26" ht="13.5" customHeight="1" thickBot="1">
      <c r="A15" s="775" t="s">
        <v>445</v>
      </c>
      <c r="B15" s="166"/>
      <c r="C15" s="114">
        <f>C14/($C$23+$D$23+$E$23)</f>
        <v>0.90296403860937902</v>
      </c>
      <c r="D15" s="115">
        <f>D14/($C$23+$D$23+$E$23)</f>
        <v>0</v>
      </c>
      <c r="E15" s="116">
        <f>E14/($C$23+$D$23+$E$23)</f>
        <v>0</v>
      </c>
      <c r="F15" s="229"/>
      <c r="G15" s="230" t="s">
        <v>13</v>
      </c>
      <c r="H15" s="231" t="s">
        <v>390</v>
      </c>
      <c r="I15" s="778" t="s">
        <v>419</v>
      </c>
      <c r="J15" s="250"/>
      <c r="K15" s="240"/>
      <c r="L15" s="240"/>
      <c r="M15" s="118">
        <f t="shared" si="4"/>
        <v>0</v>
      </c>
      <c r="N15" s="150" t="s">
        <v>415</v>
      </c>
      <c r="O15" s="150">
        <v>1150</v>
      </c>
      <c r="P15" s="150">
        <f>+O15-O15*0.23</f>
        <v>885.5</v>
      </c>
      <c r="Q15" s="150">
        <f>480-115</f>
        <v>365</v>
      </c>
      <c r="R15" s="150">
        <f>+O15*Q15</f>
        <v>419750</v>
      </c>
      <c r="S15" s="150">
        <f>+P15*Q15</f>
        <v>323207.5</v>
      </c>
      <c r="U15" s="150" t="s">
        <v>415</v>
      </c>
      <c r="V15" s="150">
        <v>1200</v>
      </c>
      <c r="W15" s="150">
        <v>924</v>
      </c>
      <c r="X15" s="150">
        <v>340</v>
      </c>
      <c r="Y15" s="150">
        <f>+V15*X15</f>
        <v>408000</v>
      </c>
      <c r="Z15" s="150">
        <f>+W15*X15</f>
        <v>314160</v>
      </c>
    </row>
    <row r="16" spans="1:26" ht="13.5" thickBot="1">
      <c r="A16" s="784"/>
      <c r="B16" s="216" t="s">
        <v>448</v>
      </c>
      <c r="C16" s="223">
        <f>4726+6981</f>
        <v>11707</v>
      </c>
      <c r="D16" s="224"/>
      <c r="E16" s="225"/>
      <c r="F16" s="232">
        <v>4</v>
      </c>
      <c r="G16" s="579" t="s">
        <v>13</v>
      </c>
      <c r="H16" s="231" t="s">
        <v>424</v>
      </c>
      <c r="I16" s="779"/>
      <c r="J16" s="250"/>
      <c r="K16" s="230"/>
      <c r="L16" s="230"/>
      <c r="M16" s="118">
        <f t="shared" si="4"/>
        <v>0</v>
      </c>
      <c r="P16" s="150">
        <f>+O16-O16*0.22</f>
        <v>0</v>
      </c>
      <c r="R16" s="150">
        <f t="shared" ref="R16:R19" si="5">+O16*Q16</f>
        <v>0</v>
      </c>
      <c r="S16" s="150">
        <f t="shared" ref="S16:S19" si="6">+P16*Q16</f>
        <v>0</v>
      </c>
      <c r="U16" s="150" t="s">
        <v>415</v>
      </c>
      <c r="V16" s="150">
        <v>1150</v>
      </c>
      <c r="W16" s="150">
        <v>885.5</v>
      </c>
      <c r="X16" s="150">
        <v>365</v>
      </c>
      <c r="Y16" s="150">
        <f t="shared" ref="Y16:Y19" si="7">+V16*X16</f>
        <v>419750</v>
      </c>
      <c r="Z16" s="150">
        <f t="shared" ref="Z16:Z19" si="8">+W16*X16</f>
        <v>323207.5</v>
      </c>
    </row>
    <row r="17" spans="1:26" ht="13.5" thickBot="1">
      <c r="A17" s="784"/>
      <c r="B17" s="216"/>
      <c r="C17" s="217"/>
      <c r="D17" s="218"/>
      <c r="E17" s="226"/>
      <c r="F17" s="229">
        <v>9</v>
      </c>
      <c r="G17" s="579" t="s">
        <v>13</v>
      </c>
      <c r="H17" s="234" t="s">
        <v>425</v>
      </c>
      <c r="I17" s="779"/>
      <c r="J17" s="250"/>
      <c r="K17" s="230"/>
      <c r="L17" s="230"/>
      <c r="M17" s="118">
        <f t="shared" si="4"/>
        <v>0</v>
      </c>
      <c r="P17" s="150">
        <f>+O17-O17*0.22</f>
        <v>0</v>
      </c>
      <c r="R17" s="150">
        <f t="shared" si="5"/>
        <v>0</v>
      </c>
      <c r="S17" s="150">
        <f t="shared" si="6"/>
        <v>0</v>
      </c>
      <c r="U17" s="150" t="s">
        <v>415</v>
      </c>
      <c r="V17" s="150">
        <v>1220</v>
      </c>
      <c r="W17" s="150">
        <v>939.4</v>
      </c>
      <c r="X17" s="150">
        <v>480</v>
      </c>
      <c r="Y17" s="150">
        <f t="shared" si="7"/>
        <v>585600</v>
      </c>
      <c r="Z17" s="150">
        <f t="shared" si="8"/>
        <v>450912</v>
      </c>
    </row>
    <row r="18" spans="1:26" ht="26.25" thickBot="1">
      <c r="A18" s="784"/>
      <c r="B18" s="216"/>
      <c r="C18" s="217"/>
      <c r="D18" s="218"/>
      <c r="E18" s="226"/>
      <c r="F18" s="229"/>
      <c r="G18" s="238" t="s">
        <v>14</v>
      </c>
      <c r="H18" s="234" t="s">
        <v>417</v>
      </c>
      <c r="I18" s="779"/>
      <c r="J18" s="250"/>
      <c r="K18" s="240"/>
      <c r="L18" s="240"/>
      <c r="M18" s="118">
        <f t="shared" si="4"/>
        <v>0</v>
      </c>
      <c r="R18" s="150">
        <f t="shared" si="5"/>
        <v>0</v>
      </c>
      <c r="S18" s="150">
        <f t="shared" si="6"/>
        <v>0</v>
      </c>
      <c r="Y18" s="150">
        <f t="shared" si="7"/>
        <v>0</v>
      </c>
      <c r="Z18" s="150">
        <f t="shared" si="8"/>
        <v>0</v>
      </c>
    </row>
    <row r="19" spans="1:26" ht="51.75" thickBot="1">
      <c r="A19" s="784"/>
      <c r="B19" s="216"/>
      <c r="C19" s="217"/>
      <c r="D19" s="218"/>
      <c r="E19" s="226"/>
      <c r="F19" s="236">
        <f>60+55</f>
        <v>115</v>
      </c>
      <c r="G19" s="579" t="s">
        <v>13</v>
      </c>
      <c r="H19" s="234" t="s">
        <v>412</v>
      </c>
      <c r="I19" s="779"/>
      <c r="J19" s="250"/>
      <c r="K19" s="240"/>
      <c r="L19" s="240"/>
      <c r="M19" s="118">
        <f t="shared" si="4"/>
        <v>0</v>
      </c>
      <c r="R19" s="150">
        <f t="shared" si="5"/>
        <v>0</v>
      </c>
      <c r="S19" s="150">
        <f t="shared" si="6"/>
        <v>0</v>
      </c>
      <c r="Y19" s="150">
        <f t="shared" si="7"/>
        <v>0</v>
      </c>
      <c r="Z19" s="150">
        <f t="shared" si="8"/>
        <v>0</v>
      </c>
    </row>
    <row r="20" spans="1:26" ht="13.5" thickBot="1">
      <c r="A20" s="784"/>
      <c r="B20" s="216"/>
      <c r="C20" s="217"/>
      <c r="D20" s="218"/>
      <c r="E20" s="226"/>
      <c r="F20" s="229"/>
      <c r="G20" s="233"/>
      <c r="H20" s="234"/>
      <c r="I20" s="779"/>
      <c r="J20" s="250"/>
      <c r="K20" s="241"/>
      <c r="L20" s="241"/>
      <c r="M20" s="118">
        <f t="shared" si="4"/>
        <v>0</v>
      </c>
    </row>
    <row r="21" spans="1:26" ht="13.5" thickBot="1">
      <c r="A21" s="784"/>
      <c r="B21" s="216"/>
      <c r="C21" s="217"/>
      <c r="D21" s="218"/>
      <c r="E21" s="226"/>
      <c r="F21" s="232"/>
      <c r="G21" s="233"/>
      <c r="H21" s="234"/>
      <c r="I21" s="779"/>
      <c r="J21" s="250"/>
      <c r="K21" s="240"/>
      <c r="L21" s="240"/>
      <c r="M21" s="118">
        <f t="shared" si="4"/>
        <v>0</v>
      </c>
      <c r="Q21" s="150">
        <f>SUM(Q15:Q19)</f>
        <v>365</v>
      </c>
      <c r="R21" s="150">
        <f>SUM(R15:R19)</f>
        <v>419750</v>
      </c>
      <c r="S21" s="150">
        <f>SUM(S15:S19)</f>
        <v>323207.5</v>
      </c>
      <c r="X21" s="150">
        <f>SUM(X15:X19)</f>
        <v>1185</v>
      </c>
      <c r="Y21" s="150">
        <f>SUM(Y15:Y19)</f>
        <v>1413350</v>
      </c>
      <c r="Z21" s="150">
        <f>SUM(Z15:Z19)</f>
        <v>1088279.5</v>
      </c>
    </row>
    <row r="22" spans="1:26" ht="13.5" thickBot="1">
      <c r="A22" s="784"/>
      <c r="B22" s="216"/>
      <c r="C22" s="217"/>
      <c r="D22" s="218"/>
      <c r="E22" s="226"/>
      <c r="F22" s="237"/>
      <c r="G22" s="233"/>
      <c r="H22" s="234"/>
      <c r="I22" s="780"/>
      <c r="J22" s="250"/>
      <c r="K22" s="240"/>
      <c r="L22" s="240"/>
      <c r="M22" s="118">
        <f t="shared" si="4"/>
        <v>0</v>
      </c>
      <c r="Q22" s="150">
        <f>480-Q21</f>
        <v>115</v>
      </c>
      <c r="R22" s="150">
        <f>+R21/Q21</f>
        <v>1150</v>
      </c>
      <c r="S22" s="150">
        <f>+S21/Q21</f>
        <v>885.5</v>
      </c>
      <c r="X22" s="150">
        <f>480-X21</f>
        <v>-705</v>
      </c>
      <c r="Y22" s="150">
        <f>+Y21/X21</f>
        <v>1192.7004219409282</v>
      </c>
      <c r="Z22" s="150">
        <f>+Z21/X21</f>
        <v>918.37932489451475</v>
      </c>
    </row>
    <row r="23" spans="1:26" ht="13.5" thickBot="1">
      <c r="A23" s="785"/>
      <c r="B23" s="166" t="s">
        <v>3</v>
      </c>
      <c r="C23" s="101">
        <f>SUM(C16:C22)</f>
        <v>11707</v>
      </c>
      <c r="D23" s="112">
        <f>SUM(D16:D22)</f>
        <v>0</v>
      </c>
      <c r="E23" s="113">
        <f>SUM(E18:E22)</f>
        <v>0</v>
      </c>
      <c r="F23" s="103">
        <f>SUM(F15:F22)</f>
        <v>128</v>
      </c>
      <c r="G23" s="160"/>
      <c r="H23" s="167"/>
      <c r="I23" s="170"/>
      <c r="J23" s="250"/>
      <c r="K23" s="240"/>
      <c r="L23" s="240"/>
      <c r="M23" s="118">
        <f t="shared" si="4"/>
        <v>0</v>
      </c>
    </row>
    <row r="24" spans="1:26" ht="13.5" customHeight="1" thickBot="1">
      <c r="A24" s="775" t="s">
        <v>446</v>
      </c>
      <c r="B24" s="171"/>
      <c r="C24" s="114">
        <f>C23/($C$23+$D$23+$E$23)</f>
        <v>1</v>
      </c>
      <c r="D24" s="115">
        <f>D23/($C$23+$D$23+$E$23)</f>
        <v>0</v>
      </c>
      <c r="E24" s="116">
        <f>E23/($C$23+$D$23+$E$23)</f>
        <v>0</v>
      </c>
      <c r="F24" s="229"/>
      <c r="G24" s="230" t="s">
        <v>13</v>
      </c>
      <c r="H24" s="231" t="s">
        <v>390</v>
      </c>
      <c r="I24" s="778" t="s">
        <v>418</v>
      </c>
      <c r="J24" s="250"/>
      <c r="K24" s="240"/>
      <c r="L24" s="240"/>
      <c r="M24" s="118">
        <f t="shared" si="4"/>
        <v>0</v>
      </c>
      <c r="N24" s="150" t="s">
        <v>415</v>
      </c>
      <c r="O24" s="150">
        <v>1220</v>
      </c>
      <c r="P24" s="150">
        <f>+O24-O24*0.23</f>
        <v>939.4</v>
      </c>
      <c r="Q24" s="150">
        <v>480</v>
      </c>
      <c r="R24" s="150">
        <f>+O24*Q24</f>
        <v>585600</v>
      </c>
      <c r="S24" s="150">
        <f>+P24*Q24</f>
        <v>450912</v>
      </c>
    </row>
    <row r="25" spans="1:26" ht="13.5" thickBot="1">
      <c r="A25" s="784"/>
      <c r="B25" s="216" t="s">
        <v>448</v>
      </c>
      <c r="C25" s="227">
        <v>17557</v>
      </c>
      <c r="D25" s="218"/>
      <c r="E25" s="226"/>
      <c r="F25" s="232">
        <v>4</v>
      </c>
      <c r="G25" s="579" t="s">
        <v>13</v>
      </c>
      <c r="H25" s="231" t="s">
        <v>426</v>
      </c>
      <c r="I25" s="779"/>
      <c r="J25" s="250"/>
      <c r="K25" s="240"/>
      <c r="L25" s="240"/>
      <c r="M25" s="118">
        <f t="shared" si="4"/>
        <v>0</v>
      </c>
      <c r="P25" s="150">
        <f>+O25-O25*0.22</f>
        <v>0</v>
      </c>
      <c r="R25" s="150">
        <f t="shared" ref="R25:R28" si="9">+O25*Q25</f>
        <v>0</v>
      </c>
      <c r="S25" s="150">
        <f t="shared" ref="S25:S28" si="10">+P25*Q25</f>
        <v>0</v>
      </c>
    </row>
    <row r="26" spans="1:26" ht="13.5" thickBot="1">
      <c r="A26" s="784"/>
      <c r="B26" s="216"/>
      <c r="C26" s="227"/>
      <c r="D26" s="218"/>
      <c r="E26" s="228"/>
      <c r="F26" s="229">
        <v>10</v>
      </c>
      <c r="G26" s="579" t="s">
        <v>13</v>
      </c>
      <c r="H26" s="234" t="s">
        <v>427</v>
      </c>
      <c r="I26" s="779"/>
      <c r="J26" s="250"/>
      <c r="K26" s="240"/>
      <c r="L26" s="240"/>
      <c r="M26" s="118">
        <f t="shared" si="4"/>
        <v>0</v>
      </c>
      <c r="P26" s="150">
        <f>+O26-O26*0.22</f>
        <v>0</v>
      </c>
      <c r="R26" s="150">
        <f t="shared" si="9"/>
        <v>0</v>
      </c>
      <c r="S26" s="150">
        <f t="shared" si="10"/>
        <v>0</v>
      </c>
    </row>
    <row r="27" spans="1:26" ht="26.25" thickBot="1">
      <c r="A27" s="784"/>
      <c r="B27" s="216"/>
      <c r="C27" s="217"/>
      <c r="D27" s="218"/>
      <c r="E27" s="226"/>
      <c r="F27" s="229"/>
      <c r="G27" s="238" t="s">
        <v>14</v>
      </c>
      <c r="H27" s="234" t="s">
        <v>411</v>
      </c>
      <c r="I27" s="779"/>
      <c r="J27" s="250"/>
      <c r="K27" s="240"/>
      <c r="L27" s="240"/>
      <c r="M27" s="118">
        <f t="shared" si="4"/>
        <v>0</v>
      </c>
      <c r="R27" s="150">
        <f t="shared" si="9"/>
        <v>0</v>
      </c>
      <c r="S27" s="150">
        <f t="shared" si="10"/>
        <v>0</v>
      </c>
    </row>
    <row r="28" spans="1:26" ht="13.5" thickBot="1">
      <c r="A28" s="784"/>
      <c r="B28" s="216"/>
      <c r="C28" s="217"/>
      <c r="D28" s="218"/>
      <c r="E28" s="226"/>
      <c r="F28" s="232"/>
      <c r="G28" s="233"/>
      <c r="H28" s="234"/>
      <c r="I28" s="779"/>
      <c r="J28" s="250"/>
      <c r="K28" s="240"/>
      <c r="L28" s="240"/>
      <c r="M28" s="118">
        <f t="shared" si="4"/>
        <v>0</v>
      </c>
      <c r="R28" s="150">
        <f t="shared" si="9"/>
        <v>0</v>
      </c>
      <c r="S28" s="150">
        <f t="shared" si="10"/>
        <v>0</v>
      </c>
    </row>
    <row r="29" spans="1:26" ht="13.5" thickBot="1">
      <c r="A29" s="784"/>
      <c r="B29" s="216"/>
      <c r="C29" s="217"/>
      <c r="D29" s="218"/>
      <c r="E29" s="226"/>
      <c r="F29" s="237"/>
      <c r="G29" s="233"/>
      <c r="H29" s="234"/>
      <c r="I29" s="779"/>
      <c r="J29" s="250"/>
      <c r="K29" s="240"/>
      <c r="L29" s="240"/>
      <c r="M29" s="118">
        <f t="shared" si="4"/>
        <v>0</v>
      </c>
    </row>
    <row r="30" spans="1:26" ht="13.5" thickBot="1">
      <c r="A30" s="784"/>
      <c r="B30" s="216"/>
      <c r="C30" s="227"/>
      <c r="D30" s="218"/>
      <c r="E30" s="226"/>
      <c r="F30" s="237"/>
      <c r="G30" s="233"/>
      <c r="H30" s="234"/>
      <c r="I30" s="779"/>
      <c r="J30" s="250"/>
      <c r="K30" s="240"/>
      <c r="L30" s="240"/>
      <c r="M30" s="118">
        <f t="shared" si="4"/>
        <v>0</v>
      </c>
      <c r="Q30" s="150">
        <f>SUM(Q24:Q28)</f>
        <v>480</v>
      </c>
      <c r="R30" s="150">
        <f>SUM(R24:R28)</f>
        <v>585600</v>
      </c>
      <c r="S30" s="150">
        <f>SUM(S24:S28)</f>
        <v>450912</v>
      </c>
    </row>
    <row r="31" spans="1:26" ht="13.5" thickBot="1">
      <c r="A31" s="784"/>
      <c r="B31" s="216"/>
      <c r="C31" s="227"/>
      <c r="D31" s="218"/>
      <c r="E31" s="226"/>
      <c r="F31" s="237"/>
      <c r="G31" s="238"/>
      <c r="H31" s="235"/>
      <c r="I31" s="780"/>
      <c r="J31" s="250"/>
      <c r="K31" s="240"/>
      <c r="L31" s="240"/>
      <c r="M31" s="118">
        <f t="shared" si="4"/>
        <v>0</v>
      </c>
      <c r="Q31" s="150">
        <f>480-Q30</f>
        <v>0</v>
      </c>
      <c r="R31" s="150">
        <f>+R30/Q30</f>
        <v>1220</v>
      </c>
      <c r="S31" s="150">
        <f>+S30/Q30</f>
        <v>939.4</v>
      </c>
    </row>
    <row r="32" spans="1:26" ht="13.5" thickBot="1">
      <c r="A32" s="785"/>
      <c r="B32" s="166" t="s">
        <v>3</v>
      </c>
      <c r="C32" s="100">
        <f>SUM(C25:C31)</f>
        <v>17557</v>
      </c>
      <c r="D32" s="101">
        <f>SUM(D25:D31)</f>
        <v>0</v>
      </c>
      <c r="E32" s="102">
        <f>SUM(E25:E31)</f>
        <v>0</v>
      </c>
      <c r="F32" s="103">
        <f>SUM(F24:F31)</f>
        <v>14</v>
      </c>
      <c r="G32" s="172"/>
      <c r="H32" s="173"/>
      <c r="I32" s="170"/>
      <c r="J32" s="251"/>
      <c r="K32" s="242"/>
      <c r="L32" s="244"/>
      <c r="M32" s="118">
        <f t="shared" si="4"/>
        <v>0</v>
      </c>
    </row>
    <row r="33" spans="1:17" ht="13.5" thickBot="1">
      <c r="A33" s="174"/>
      <c r="B33" s="175"/>
      <c r="C33" s="104">
        <f>C32/($C$32+$D$32+$E$32)</f>
        <v>1</v>
      </c>
      <c r="D33" s="105">
        <f>D32/($C$32+$D$32+$E$32)</f>
        <v>0</v>
      </c>
      <c r="E33" s="106">
        <f>E32/($C$32+$D$32+$E$32)</f>
        <v>0</v>
      </c>
      <c r="F33" s="107"/>
      <c r="G33" s="176"/>
      <c r="H33" s="177"/>
      <c r="I33" s="178"/>
      <c r="J33" s="122"/>
      <c r="K33" s="123"/>
      <c r="L33" s="214"/>
      <c r="M33" s="120"/>
      <c r="N33" s="150" t="s">
        <v>416</v>
      </c>
      <c r="O33" s="150">
        <v>1170</v>
      </c>
      <c r="P33" s="150">
        <v>900.9</v>
      </c>
      <c r="Q33" s="150">
        <v>115</v>
      </c>
    </row>
    <row r="34" spans="1:17" ht="13.5" thickBot="1">
      <c r="A34" s="771" t="s">
        <v>70</v>
      </c>
      <c r="B34" s="772"/>
      <c r="C34" s="108">
        <f>C14+C23+C32</f>
        <v>39835</v>
      </c>
      <c r="D34" s="108">
        <f>D14+D23+D32</f>
        <v>0</v>
      </c>
      <c r="E34" s="108">
        <f>E14+E23+E32</f>
        <v>0</v>
      </c>
      <c r="F34" s="109">
        <f>F14+F23+F32</f>
        <v>188</v>
      </c>
      <c r="H34" s="179"/>
      <c r="I34" s="179"/>
      <c r="J34" s="124" t="s">
        <v>29</v>
      </c>
      <c r="K34" s="125">
        <f>SUM(K7:K32)</f>
        <v>39835</v>
      </c>
      <c r="L34" s="213">
        <f>SUM(L7:L32)</f>
        <v>0</v>
      </c>
      <c r="M34" s="121">
        <f>SUM(M7:M32)</f>
        <v>39835</v>
      </c>
      <c r="N34" s="156" t="s">
        <v>415</v>
      </c>
      <c r="O34" s="150">
        <v>1192.7004219409282</v>
      </c>
      <c r="P34" s="150">
        <v>918.37932489451475</v>
      </c>
      <c r="Q34" s="150">
        <v>1185</v>
      </c>
    </row>
    <row r="35" spans="1:17" ht="13.5" thickBot="1">
      <c r="A35" s="180"/>
      <c r="B35" s="181"/>
      <c r="C35" s="105">
        <f>C34/($C$34+$D$34+$E$34)</f>
        <v>1</v>
      </c>
      <c r="D35" s="105">
        <f>D34/($C$34+$D$34+$E$34)</f>
        <v>0</v>
      </c>
      <c r="E35" s="110">
        <f>E34/($C$34+$D$34+$E$34)</f>
        <v>0</v>
      </c>
      <c r="K35" s="156"/>
      <c r="L35" s="762" t="s">
        <v>187</v>
      </c>
      <c r="M35" s="762"/>
      <c r="Q35" s="150">
        <f>+Q33+Q34</f>
        <v>1300</v>
      </c>
    </row>
    <row r="36" spans="1:17" ht="13.5" thickBot="1">
      <c r="A36" s="179"/>
      <c r="B36" s="179"/>
      <c r="C36" s="156"/>
      <c r="D36" s="156"/>
      <c r="E36" s="156"/>
      <c r="G36" s="156"/>
      <c r="H36" s="182"/>
      <c r="I36" s="163" t="s">
        <v>41</v>
      </c>
      <c r="J36" s="163" t="s">
        <v>42</v>
      </c>
      <c r="K36" s="183"/>
      <c r="L36" s="163" t="s">
        <v>41</v>
      </c>
      <c r="M36" s="163" t="s">
        <v>42</v>
      </c>
    </row>
    <row r="37" spans="1:17" ht="17.45" customHeight="1" thickBot="1">
      <c r="A37" s="773" t="s">
        <v>71</v>
      </c>
      <c r="B37" s="774"/>
      <c r="C37" s="163" t="s">
        <v>72</v>
      </c>
      <c r="D37" s="184" t="s">
        <v>73</v>
      </c>
      <c r="E37" s="185" t="s">
        <v>74</v>
      </c>
      <c r="F37" s="186"/>
      <c r="G37" s="156"/>
      <c r="H37" s="187" t="s">
        <v>75</v>
      </c>
      <c r="I37" s="245">
        <f>(14*115+13.5*1185)/1300*G42*2.77*1300/1000000</f>
        <v>44.716493373326912</v>
      </c>
      <c r="J37" s="126">
        <f>I37</f>
        <v>44.716493373326912</v>
      </c>
      <c r="K37" s="127" t="s">
        <v>76</v>
      </c>
      <c r="L37" s="421"/>
      <c r="M37" s="422"/>
      <c r="N37" s="150">
        <v>455</v>
      </c>
    </row>
    <row r="38" spans="1:17" ht="17.45" customHeight="1">
      <c r="A38" s="767" t="s">
        <v>13</v>
      </c>
      <c r="B38" s="768"/>
      <c r="C38" s="165">
        <f>SUMIF($G$7:$G$31,"Process",$F$7:$F$31)</f>
        <v>173</v>
      </c>
      <c r="D38" s="119">
        <f>C38</f>
        <v>173</v>
      </c>
      <c r="E38" s="144">
        <f t="shared" ref="E38:E51" si="11">D38/60</f>
        <v>2.8833333333333333</v>
      </c>
      <c r="F38" s="186">
        <v>1192.4175824175825</v>
      </c>
      <c r="G38" s="186">
        <v>918.1615384615385</v>
      </c>
      <c r="H38" s="188" t="s">
        <v>77</v>
      </c>
      <c r="I38" s="543">
        <f>4.699+10.838+11.467+15.536</f>
        <v>42.54</v>
      </c>
      <c r="J38" s="128">
        <f>I38</f>
        <v>42.54</v>
      </c>
      <c r="K38" s="129" t="s">
        <v>76</v>
      </c>
      <c r="L38" s="423"/>
      <c r="M38" s="424"/>
      <c r="N38" s="544">
        <v>365</v>
      </c>
    </row>
    <row r="39" spans="1:17" ht="17.45" customHeight="1">
      <c r="A39" s="763" t="s">
        <v>14</v>
      </c>
      <c r="B39" s="764"/>
      <c r="C39" s="165">
        <f>SUMIF($G$7:$G$31,"Cleaning",$F$7:$F$31)</f>
        <v>15</v>
      </c>
      <c r="D39" s="119">
        <f>C39</f>
        <v>15</v>
      </c>
      <c r="E39" s="144">
        <f t="shared" si="11"/>
        <v>0.25</v>
      </c>
      <c r="F39" s="186">
        <v>1150</v>
      </c>
      <c r="G39" s="186">
        <v>885.5</v>
      </c>
      <c r="H39" s="188" t="s">
        <v>78</v>
      </c>
      <c r="I39" s="143"/>
      <c r="J39" s="130">
        <f>J37/G4</f>
        <v>44.716493373326912</v>
      </c>
      <c r="K39" s="131" t="s">
        <v>76</v>
      </c>
      <c r="L39" s="423"/>
      <c r="M39" s="424"/>
      <c r="N39" s="150">
        <v>480</v>
      </c>
    </row>
    <row r="40" spans="1:17" ht="17.45" customHeight="1">
      <c r="A40" s="763" t="s">
        <v>79</v>
      </c>
      <c r="B40" s="764"/>
      <c r="C40" s="165">
        <f>SUMIF($G$7:$G$31,"Mechanical",$F$7:$F$31)</f>
        <v>0</v>
      </c>
      <c r="D40" s="119">
        <f t="shared" ref="D40:D51" si="12">C40</f>
        <v>0</v>
      </c>
      <c r="E40" s="144">
        <f t="shared" si="11"/>
        <v>0</v>
      </c>
      <c r="F40" s="186">
        <v>1220</v>
      </c>
      <c r="G40" s="186">
        <v>939.4</v>
      </c>
      <c r="H40" s="188" t="s">
        <v>80</v>
      </c>
      <c r="I40" s="119">
        <f>(K34+L34)/1000</f>
        <v>39.835000000000001</v>
      </c>
      <c r="J40" s="132">
        <f>M34/1000</f>
        <v>39.835000000000001</v>
      </c>
      <c r="K40" s="131" t="s">
        <v>76</v>
      </c>
      <c r="L40" s="423"/>
      <c r="M40" s="424"/>
      <c r="N40" s="583">
        <f>+N37+N38+N39</f>
        <v>1300</v>
      </c>
    </row>
    <row r="41" spans="1:17" ht="17.45" customHeight="1">
      <c r="A41" s="763" t="s">
        <v>81</v>
      </c>
      <c r="B41" s="764"/>
      <c r="C41" s="165">
        <f>SUMIF($G$7:$G$31,"Electrical",$F$7:$F$31)</f>
        <v>0</v>
      </c>
      <c r="D41" s="119">
        <f t="shared" si="12"/>
        <v>0</v>
      </c>
      <c r="E41" s="144">
        <f t="shared" si="11"/>
        <v>0</v>
      </c>
      <c r="F41" s="186"/>
      <c r="G41" s="186"/>
      <c r="H41" s="188" t="s">
        <v>82</v>
      </c>
      <c r="I41" s="143"/>
      <c r="J41" s="130">
        <f>J40/G4</f>
        <v>39.835000000000001</v>
      </c>
      <c r="K41" s="131" t="s">
        <v>76</v>
      </c>
      <c r="L41" s="423"/>
      <c r="M41" s="424"/>
    </row>
    <row r="42" spans="1:17" ht="17.45" customHeight="1">
      <c r="A42" s="763" t="s">
        <v>17</v>
      </c>
      <c r="B42" s="764"/>
      <c r="C42" s="165">
        <f>SUMIF($G$7:$G$31,"Instrument",$F$7:$F$31)</f>
        <v>0</v>
      </c>
      <c r="D42" s="119">
        <f t="shared" si="12"/>
        <v>0</v>
      </c>
      <c r="E42" s="144">
        <f t="shared" si="11"/>
        <v>0</v>
      </c>
      <c r="F42" s="186">
        <f>+(455*F38+365*F39+480*F40)/1300</f>
        <v>1190.6923076923076</v>
      </c>
      <c r="G42" s="186">
        <f>+(455*G38+365*G39+480*G40)/1300</f>
        <v>916.83307692307687</v>
      </c>
      <c r="H42" s="188" t="s">
        <v>83</v>
      </c>
      <c r="I42" s="247" t="s">
        <v>421</v>
      </c>
      <c r="J42" s="133"/>
      <c r="K42" s="131" t="s">
        <v>84</v>
      </c>
      <c r="L42" s="423"/>
      <c r="M42" s="424"/>
    </row>
    <row r="43" spans="1:17" ht="17.45" customHeight="1">
      <c r="A43" s="763" t="s">
        <v>202</v>
      </c>
      <c r="B43" s="764"/>
      <c r="C43" s="165">
        <f>SUMIF($G$7:$G$31,"Change Grade",$F$7:$F$31)</f>
        <v>0</v>
      </c>
      <c r="D43" s="119">
        <f t="shared" si="12"/>
        <v>0</v>
      </c>
      <c r="E43" s="144">
        <f t="shared" si="11"/>
        <v>0</v>
      </c>
      <c r="F43" s="186"/>
      <c r="H43" s="189" t="s">
        <v>86</v>
      </c>
      <c r="I43" s="119">
        <f>+Report1!AH9</f>
        <v>62.9</v>
      </c>
      <c r="J43" s="134">
        <f>I43</f>
        <v>62.9</v>
      </c>
      <c r="K43" s="131" t="s">
        <v>76</v>
      </c>
      <c r="L43" s="425">
        <f>+Report1!AN9</f>
        <v>7.9</v>
      </c>
      <c r="M43" s="426">
        <f>+L43</f>
        <v>7.9</v>
      </c>
    </row>
    <row r="44" spans="1:17" ht="17.45" customHeight="1">
      <c r="A44" s="763" t="s">
        <v>18</v>
      </c>
      <c r="B44" s="764"/>
      <c r="C44" s="165">
        <f>SUMIF($G$7:$G$31,"PLN",$F$7:$F$31)</f>
        <v>0</v>
      </c>
      <c r="D44" s="119">
        <f>C44</f>
        <v>0</v>
      </c>
      <c r="E44" s="144">
        <f t="shared" si="11"/>
        <v>0</v>
      </c>
      <c r="F44" s="186"/>
      <c r="H44" s="189" t="s">
        <v>87</v>
      </c>
      <c r="I44" s="119">
        <f>I43/I38</f>
        <v>1.4786083685942641</v>
      </c>
      <c r="J44" s="135">
        <f>J43/J38</f>
        <v>1.4786083685942641</v>
      </c>
      <c r="K44" s="131" t="s">
        <v>76</v>
      </c>
      <c r="L44" s="427">
        <f>+L43/I38</f>
        <v>0.18570756934649743</v>
      </c>
      <c r="M44" s="428">
        <f>+M43/J38</f>
        <v>0.18570756934649743</v>
      </c>
    </row>
    <row r="45" spans="1:17" ht="17.45" customHeight="1">
      <c r="A45" s="763" t="s">
        <v>19</v>
      </c>
      <c r="B45" s="764"/>
      <c r="C45" s="165">
        <f>SUMIF($G$7:$G$31,"Boiler",$F$7:$F$31)</f>
        <v>0</v>
      </c>
      <c r="D45" s="119">
        <f t="shared" si="12"/>
        <v>0</v>
      </c>
      <c r="E45" s="144">
        <f t="shared" si="11"/>
        <v>0</v>
      </c>
      <c r="F45" s="186"/>
      <c r="G45" s="177"/>
      <c r="H45" s="189" t="s">
        <v>88</v>
      </c>
      <c r="I45" s="119">
        <f>I43/I40</f>
        <v>1.5790134304004015</v>
      </c>
      <c r="J45" s="135">
        <f>J43/J40</f>
        <v>1.5790134304004015</v>
      </c>
      <c r="K45" s="131" t="s">
        <v>76</v>
      </c>
      <c r="L45" s="427">
        <f>+L43/I40</f>
        <v>0.19831806200577382</v>
      </c>
      <c r="M45" s="428">
        <f>+M43/J40</f>
        <v>0.19831806200577382</v>
      </c>
    </row>
    <row r="46" spans="1:17" ht="17.45" customHeight="1">
      <c r="A46" s="763" t="s">
        <v>89</v>
      </c>
      <c r="B46" s="764"/>
      <c r="C46" s="165">
        <f>SUMIF($G$7:$G$31,"Gas",$F$7:$F$31)</f>
        <v>0</v>
      </c>
      <c r="D46" s="119">
        <f t="shared" si="12"/>
        <v>0</v>
      </c>
      <c r="E46" s="144">
        <f t="shared" si="11"/>
        <v>0</v>
      </c>
      <c r="F46" s="186"/>
      <c r="H46" s="189" t="s">
        <v>90</v>
      </c>
      <c r="I46" s="141">
        <f>+SUMIF(Listrik!P8,"&gt;0")</f>
        <v>36391.30000000001</v>
      </c>
      <c r="J46" s="136">
        <f>I46</f>
        <v>36391.30000000001</v>
      </c>
      <c r="K46" s="131" t="s">
        <v>91</v>
      </c>
      <c r="L46" s="427">
        <f>+Listrik!AF8</f>
        <v>0</v>
      </c>
      <c r="M46" s="429">
        <f>+L46</f>
        <v>0</v>
      </c>
    </row>
    <row r="47" spans="1:17" ht="17.45" customHeight="1">
      <c r="A47" s="763" t="s">
        <v>92</v>
      </c>
      <c r="B47" s="764"/>
      <c r="C47" s="165">
        <f>SUMIF($G$7:$G$31,"Gas",$F$7:$F$31)</f>
        <v>0</v>
      </c>
      <c r="D47" s="119">
        <f t="shared" si="12"/>
        <v>0</v>
      </c>
      <c r="E47" s="144">
        <f t="shared" si="11"/>
        <v>0</v>
      </c>
      <c r="F47" s="186"/>
      <c r="H47" s="189" t="s">
        <v>93</v>
      </c>
      <c r="I47" s="119">
        <f>I46/I38</f>
        <v>855.4607428302777</v>
      </c>
      <c r="J47" s="136">
        <f>J46/J38</f>
        <v>855.4607428302777</v>
      </c>
      <c r="K47" s="131" t="s">
        <v>25</v>
      </c>
      <c r="L47" s="427">
        <f>+L46/I38</f>
        <v>0</v>
      </c>
      <c r="M47" s="428">
        <f>+M46/J38</f>
        <v>0</v>
      </c>
    </row>
    <row r="48" spans="1:17" ht="17.45" customHeight="1">
      <c r="A48" s="763" t="s">
        <v>15</v>
      </c>
      <c r="B48" s="764"/>
      <c r="C48" s="165">
        <f>SUMIF($G$7:$G$31,"Start Up",$F$7:$F$31)</f>
        <v>0</v>
      </c>
      <c r="D48" s="119">
        <f t="shared" si="12"/>
        <v>0</v>
      </c>
      <c r="E48" s="144">
        <f t="shared" si="11"/>
        <v>0</v>
      </c>
      <c r="F48" s="186"/>
      <c r="H48" s="189" t="s">
        <v>94</v>
      </c>
      <c r="I48" s="119">
        <f>I46/I40</f>
        <v>913.55089745198973</v>
      </c>
      <c r="J48" s="136">
        <f>J46/J40</f>
        <v>913.55089745198973</v>
      </c>
      <c r="K48" s="131" t="s">
        <v>25</v>
      </c>
      <c r="L48" s="427">
        <f>+L46/I38</f>
        <v>0</v>
      </c>
      <c r="M48" s="428">
        <f>+M46/J40</f>
        <v>0</v>
      </c>
    </row>
    <row r="49" spans="1:13" ht="17.45" customHeight="1">
      <c r="A49" s="763" t="s">
        <v>21</v>
      </c>
      <c r="B49" s="764"/>
      <c r="C49" s="165">
        <f>SUMIF($G$7:$G$31,"Others",$F$7:$F$31)</f>
        <v>0</v>
      </c>
      <c r="D49" s="119">
        <f t="shared" si="12"/>
        <v>0</v>
      </c>
      <c r="E49" s="144">
        <f t="shared" si="11"/>
        <v>0</v>
      </c>
      <c r="F49" s="186"/>
      <c r="H49" s="189" t="s">
        <v>182</v>
      </c>
      <c r="I49" s="119"/>
      <c r="J49" s="136">
        <f>I49</f>
        <v>0</v>
      </c>
      <c r="K49" s="131" t="s">
        <v>96</v>
      </c>
      <c r="L49" s="423"/>
      <c r="M49" s="424"/>
    </row>
    <row r="50" spans="1:13" ht="17.45" customHeight="1">
      <c r="A50" s="763" t="s">
        <v>20</v>
      </c>
      <c r="B50" s="764"/>
      <c r="C50" s="165">
        <f>SUMIF($G$7:$G$31,"Steam",$F$7:$F$31)</f>
        <v>0</v>
      </c>
      <c r="D50" s="119">
        <f t="shared" si="12"/>
        <v>0</v>
      </c>
      <c r="E50" s="144">
        <f t="shared" si="11"/>
        <v>0</v>
      </c>
      <c r="F50" s="186"/>
      <c r="H50" s="189" t="s">
        <v>97</v>
      </c>
      <c r="I50" s="141">
        <f>I49/I38</f>
        <v>0</v>
      </c>
      <c r="J50" s="134">
        <f>J49/J38</f>
        <v>0</v>
      </c>
      <c r="K50" s="131" t="s">
        <v>96</v>
      </c>
      <c r="L50" s="423"/>
      <c r="M50" s="424"/>
    </row>
    <row r="51" spans="1:13" ht="17.45" customHeight="1" thickBot="1">
      <c r="A51" s="765" t="s">
        <v>98</v>
      </c>
      <c r="B51" s="766"/>
      <c r="C51" s="165">
        <f>SUMIF($G$7:$G$31,"Planned shut",$F$7:$F$31)</f>
        <v>0</v>
      </c>
      <c r="D51" s="119">
        <f t="shared" si="12"/>
        <v>0</v>
      </c>
      <c r="E51" s="144">
        <f t="shared" si="11"/>
        <v>0</v>
      </c>
      <c r="F51" s="186"/>
      <c r="H51" s="191" t="s">
        <v>99</v>
      </c>
      <c r="I51" s="142">
        <f>I49/I40</f>
        <v>0</v>
      </c>
      <c r="J51" s="137">
        <f>J49/J40</f>
        <v>0</v>
      </c>
      <c r="K51" s="138" t="s">
        <v>96</v>
      </c>
      <c r="L51" s="423"/>
      <c r="M51" s="424"/>
    </row>
    <row r="52" spans="1:13" ht="13.5" thickBot="1">
      <c r="A52" s="767" t="s">
        <v>29</v>
      </c>
      <c r="B52" s="768"/>
      <c r="C52" s="145">
        <f>SUM(C38:C51)</f>
        <v>188</v>
      </c>
      <c r="D52" s="145">
        <f>SUM(D38:D51)</f>
        <v>188</v>
      </c>
      <c r="E52" s="146">
        <f>SUM(E38:E51)</f>
        <v>3.1333333333333333</v>
      </c>
      <c r="F52" s="186"/>
      <c r="H52" s="192"/>
      <c r="I52" s="193"/>
      <c r="J52" s="139"/>
      <c r="K52" s="140"/>
      <c r="L52" s="430"/>
      <c r="M52" s="431"/>
    </row>
    <row r="53" spans="1:13" ht="13.5" thickBot="1">
      <c r="A53" s="769"/>
      <c r="B53" s="770"/>
      <c r="C53" s="147">
        <f>C52/(24*60)</f>
        <v>0.13055555555555556</v>
      </c>
      <c r="D53" s="147">
        <f>D52/(24*60*G4)</f>
        <v>0.13055555555555556</v>
      </c>
      <c r="E53" s="148">
        <f>E52/(G4*24)</f>
        <v>0.13055555555555556</v>
      </c>
      <c r="F53" s="186"/>
    </row>
    <row r="54" spans="1:13">
      <c r="E54" s="194"/>
      <c r="F54" s="186"/>
    </row>
    <row r="55" spans="1:13">
      <c r="E55" s="194"/>
    </row>
    <row r="56" spans="1:13">
      <c r="A56" s="195" t="s">
        <v>100</v>
      </c>
      <c r="B56" s="196"/>
      <c r="C56" s="197"/>
      <c r="D56" s="197"/>
      <c r="E56" s="197"/>
      <c r="F56" s="198"/>
      <c r="G56" s="197"/>
      <c r="H56" s="199"/>
      <c r="I56" s="200" t="s">
        <v>101</v>
      </c>
      <c r="J56" s="201">
        <f>D34</f>
        <v>0</v>
      </c>
      <c r="K56" s="202">
        <f>J56/(J40+J56/1000)/1000</f>
        <v>0</v>
      </c>
    </row>
    <row r="57" spans="1:13">
      <c r="A57" s="177"/>
      <c r="I57" s="200" t="s">
        <v>102</v>
      </c>
      <c r="J57" s="201">
        <f>+E34</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24:A32"/>
    <mergeCell ref="I24:I31"/>
    <mergeCell ref="L35:M35"/>
    <mergeCell ref="A48:B48"/>
    <mergeCell ref="A49:B49"/>
    <mergeCell ref="A40:B40"/>
    <mergeCell ref="A41:B41"/>
    <mergeCell ref="A38:B38"/>
    <mergeCell ref="A39:B39"/>
    <mergeCell ref="A37:B37"/>
  </mergeCells>
  <phoneticPr fontId="30" type="noConversion"/>
  <printOptions horizontalCentered="1"/>
  <pageMargins left="0.15625" right="0.15625"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N61"/>
  <sheetViews>
    <sheetView zoomScale="80" zoomScaleNormal="80" workbookViewId="0">
      <selection activeCell="I46" sqref="I4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28515625" style="150" customWidth="1"/>
    <col min="11" max="11" width="12.5703125" style="150" bestFit="1" customWidth="1"/>
    <col min="12" max="12" width="8.28515625" style="150" customWidth="1"/>
    <col min="13" max="13" width="15.140625" style="150" customWidth="1"/>
    <col min="14" max="16384" width="9.140625" style="150"/>
  </cols>
  <sheetData>
    <row r="1" spans="1:13" ht="15.75">
      <c r="A1" s="149"/>
    </row>
    <row r="2" spans="1:13" ht="15.75">
      <c r="A2" s="149" t="s">
        <v>185</v>
      </c>
    </row>
    <row r="3" spans="1:13" ht="15">
      <c r="A3" s="151"/>
    </row>
    <row r="4" spans="1:13" ht="20.25">
      <c r="A4" s="152" t="s">
        <v>5</v>
      </c>
      <c r="B4" s="153"/>
      <c r="F4" s="154" t="s">
        <v>30</v>
      </c>
      <c r="G4" s="155">
        <v>31</v>
      </c>
      <c r="H4" s="155" t="str">
        <f>+'1'!H4</f>
        <v>.11.25</v>
      </c>
    </row>
    <row r="5" spans="1:13" ht="13.5" thickBot="1">
      <c r="C5" s="156"/>
      <c r="D5" s="156"/>
    </row>
    <row r="6" spans="1:13" ht="26.25" thickBot="1">
      <c r="A6" s="157" t="s">
        <v>60</v>
      </c>
      <c r="B6" s="158" t="s">
        <v>10</v>
      </c>
      <c r="C6" s="158" t="s">
        <v>61</v>
      </c>
      <c r="D6" s="158" t="s">
        <v>62</v>
      </c>
      <c r="E6" s="159" t="s">
        <v>63</v>
      </c>
      <c r="F6" s="103"/>
      <c r="G6" s="158"/>
      <c r="H6" s="160"/>
      <c r="I6" s="161" t="s">
        <v>67</v>
      </c>
      <c r="J6" s="162" t="s">
        <v>10</v>
      </c>
      <c r="K6" s="163" t="s">
        <v>68</v>
      </c>
      <c r="L6" s="211" t="s">
        <v>155</v>
      </c>
      <c r="M6" s="164" t="s">
        <v>69</v>
      </c>
    </row>
    <row r="7" spans="1:13" ht="13.5" customHeight="1" thickBot="1">
      <c r="A7" s="775"/>
      <c r="B7" s="216"/>
      <c r="C7" s="217"/>
      <c r="D7" s="218"/>
      <c r="E7" s="219"/>
      <c r="F7" s="229"/>
      <c r="G7" s="230"/>
      <c r="H7" s="231"/>
      <c r="I7" s="778"/>
      <c r="J7" s="215" t="str">
        <f>+'30'!J7</f>
        <v>T 13,5 RC HW</v>
      </c>
      <c r="K7" s="239"/>
      <c r="L7" s="243"/>
      <c r="M7" s="118">
        <f>+L7+'30'!M7+K7</f>
        <v>535621</v>
      </c>
    </row>
    <row r="8" spans="1:13" ht="13.5" thickBot="1">
      <c r="A8" s="776"/>
      <c r="B8" s="216"/>
      <c r="C8" s="217"/>
      <c r="D8" s="218"/>
      <c r="E8" s="220"/>
      <c r="F8" s="232"/>
      <c r="G8" s="233"/>
      <c r="H8" s="231"/>
      <c r="I8" s="779"/>
      <c r="J8" s="215" t="str">
        <f>+'30'!J8</f>
        <v>T 14 RC HW</v>
      </c>
      <c r="K8" s="240"/>
      <c r="L8" s="240"/>
      <c r="M8" s="118">
        <f>+L8+'30'!M8+K8</f>
        <v>109043</v>
      </c>
    </row>
    <row r="9" spans="1:13" ht="13.5" thickBot="1">
      <c r="A9" s="776"/>
      <c r="B9" s="216"/>
      <c r="C9" s="217"/>
      <c r="D9" s="218"/>
      <c r="E9" s="221"/>
      <c r="F9" s="229"/>
      <c r="G9" s="230"/>
      <c r="H9" s="234"/>
      <c r="I9" s="779"/>
      <c r="J9" s="215" t="str">
        <f>+'30'!J9</f>
        <v>T 15 RC HW</v>
      </c>
      <c r="K9" s="240"/>
      <c r="L9" s="240"/>
      <c r="M9" s="118">
        <f>+L9+'30'!M9+K9</f>
        <v>182718</v>
      </c>
    </row>
    <row r="10" spans="1:13" ht="13.5" thickBot="1">
      <c r="A10" s="776"/>
      <c r="B10" s="216"/>
      <c r="C10" s="217"/>
      <c r="D10" s="218"/>
      <c r="E10" s="220"/>
      <c r="F10" s="229"/>
      <c r="G10" s="233"/>
      <c r="H10" s="234"/>
      <c r="I10" s="779"/>
      <c r="J10" s="215" t="str">
        <f>+'30'!J10</f>
        <v>TW 29 RC HW</v>
      </c>
      <c r="K10" s="240"/>
      <c r="L10" s="240"/>
      <c r="M10" s="118">
        <f>+L10+'30'!M10+K10</f>
        <v>21998</v>
      </c>
    </row>
    <row r="11" spans="1:13" ht="13.5" thickBot="1">
      <c r="A11" s="776"/>
      <c r="B11" s="216"/>
      <c r="C11" s="217"/>
      <c r="D11" s="218"/>
      <c r="E11" s="220"/>
      <c r="F11" s="229"/>
      <c r="G11" s="233"/>
      <c r="H11" s="234"/>
      <c r="I11" s="779"/>
      <c r="J11" s="215" t="str">
        <f>+'30'!J11</f>
        <v>TW 20 RC HW</v>
      </c>
      <c r="K11" s="240"/>
      <c r="L11" s="240"/>
      <c r="M11" s="118">
        <f>+L11+'30'!M11+K11</f>
        <v>104164</v>
      </c>
    </row>
    <row r="12" spans="1:13" ht="13.5" thickBot="1">
      <c r="A12" s="776"/>
      <c r="B12" s="216"/>
      <c r="C12" s="217"/>
      <c r="D12" s="218"/>
      <c r="E12" s="220"/>
      <c r="F12" s="229"/>
      <c r="G12" s="233"/>
      <c r="H12" s="234"/>
      <c r="I12" s="779"/>
      <c r="J12" s="215" t="str">
        <f>+'30'!J12</f>
        <v>TW 19 RC HW</v>
      </c>
      <c r="K12" s="240"/>
      <c r="L12" s="240"/>
      <c r="M12" s="118">
        <f>+L12+'30'!M12+K12</f>
        <v>18863</v>
      </c>
    </row>
    <row r="13" spans="1:13" ht="13.5" thickBot="1">
      <c r="A13" s="776"/>
      <c r="B13" s="216"/>
      <c r="C13" s="217"/>
      <c r="D13" s="217"/>
      <c r="E13" s="220"/>
      <c r="F13" s="229"/>
      <c r="G13" s="233"/>
      <c r="H13" s="234"/>
      <c r="I13" s="780"/>
      <c r="J13" s="215" t="str">
        <f>+'30'!J13</f>
        <v>TW 17 RC HW</v>
      </c>
      <c r="K13" s="240"/>
      <c r="L13" s="240"/>
      <c r="M13" s="118">
        <f>+L13+'30'!M13+K13</f>
        <v>67816</v>
      </c>
    </row>
    <row r="14" spans="1:13" ht="13.5" thickBot="1">
      <c r="A14" s="777"/>
      <c r="B14" s="166" t="s">
        <v>3</v>
      </c>
      <c r="C14" s="100">
        <f>SUM(C7:C13)</f>
        <v>0</v>
      </c>
      <c r="D14" s="112">
        <f>SUM(D7:D13)</f>
        <v>0</v>
      </c>
      <c r="E14" s="113">
        <f>SUM(E5:E13)</f>
        <v>0</v>
      </c>
      <c r="F14" s="117">
        <f>SUM(F7:F13)</f>
        <v>0</v>
      </c>
      <c r="G14" s="160"/>
      <c r="H14" s="167"/>
      <c r="I14" s="168"/>
      <c r="J14" s="215" t="str">
        <f>+'30'!J14</f>
        <v>F 14 RC HW</v>
      </c>
      <c r="K14" s="240"/>
      <c r="L14" s="240"/>
      <c r="M14" s="118">
        <f>+L14+'30'!M14+K14</f>
        <v>10232</v>
      </c>
    </row>
    <row r="15" spans="1:13" ht="13.5" customHeight="1" thickBot="1">
      <c r="A15" s="775"/>
      <c r="B15" s="166"/>
      <c r="C15" s="114" t="e">
        <f>C14/($C$23+$D$23+$E$23)</f>
        <v>#DIV/0!</v>
      </c>
      <c r="D15" s="115" t="e">
        <f>D14/($C$23+$D$23+$E$23)</f>
        <v>#DIV/0!</v>
      </c>
      <c r="E15" s="116" t="e">
        <f>E14/($C$23+$D$23+$E$23)</f>
        <v>#DIV/0!</v>
      </c>
      <c r="F15" s="229"/>
      <c r="G15" s="230"/>
      <c r="H15" s="231"/>
      <c r="I15" s="778"/>
      <c r="J15" s="215" t="str">
        <f>+'30'!J15</f>
        <v>T 16,5 RC HW</v>
      </c>
      <c r="K15" s="240"/>
      <c r="L15" s="240"/>
      <c r="M15" s="118">
        <f>+L15+'30'!M15+K15</f>
        <v>10954</v>
      </c>
    </row>
    <row r="16" spans="1:13" ht="13.5" thickBot="1">
      <c r="A16" s="781"/>
      <c r="B16" s="222"/>
      <c r="C16" s="223"/>
      <c r="D16" s="224"/>
      <c r="E16" s="225"/>
      <c r="F16" s="229"/>
      <c r="G16" s="233"/>
      <c r="H16" s="231"/>
      <c r="I16" s="779"/>
      <c r="J16" s="215" t="str">
        <f>+'30'!J16</f>
        <v>T 15,5 RC HW</v>
      </c>
      <c r="K16" s="230"/>
      <c r="L16" s="230"/>
      <c r="M16" s="118">
        <f>+L16+'30'!M16+K16</f>
        <v>263708</v>
      </c>
    </row>
    <row r="17" spans="1:14" ht="13.5" thickBot="1">
      <c r="A17" s="781"/>
      <c r="B17" s="216"/>
      <c r="C17" s="217"/>
      <c r="D17" s="218"/>
      <c r="E17" s="226"/>
      <c r="F17" s="229"/>
      <c r="G17" s="233"/>
      <c r="H17" s="234"/>
      <c r="I17" s="779"/>
      <c r="J17" s="215" t="str">
        <f>+'30'!J17</f>
        <v>T 16 RC HW</v>
      </c>
      <c r="K17" s="230"/>
      <c r="L17" s="230"/>
      <c r="M17" s="118">
        <f>+L17+'30'!M17+K17</f>
        <v>43235</v>
      </c>
    </row>
    <row r="18" spans="1:14" ht="13.5" thickBot="1">
      <c r="A18" s="781"/>
      <c r="B18" s="216"/>
      <c r="C18" s="217"/>
      <c r="D18" s="218"/>
      <c r="E18" s="226"/>
      <c r="F18" s="229"/>
      <c r="G18" s="233"/>
      <c r="H18" s="234"/>
      <c r="I18" s="779"/>
      <c r="J18" s="215" t="str">
        <f>+'30'!J18</f>
        <v>T 19 RC HW</v>
      </c>
      <c r="K18" s="240"/>
      <c r="L18" s="240"/>
      <c r="M18" s="118">
        <f>+L18+'30'!M18+K18</f>
        <v>66753</v>
      </c>
    </row>
    <row r="19" spans="1:14" ht="13.5" thickBot="1">
      <c r="A19" s="781"/>
      <c r="B19" s="216"/>
      <c r="C19" s="217"/>
      <c r="D19" s="218"/>
      <c r="E19" s="226"/>
      <c r="F19" s="236"/>
      <c r="G19" s="233"/>
      <c r="H19" s="234"/>
      <c r="I19" s="779"/>
      <c r="J19" s="215" t="str">
        <f>+'30'!J19</f>
        <v>T 20 RC HW</v>
      </c>
      <c r="K19" s="240"/>
      <c r="L19" s="240"/>
      <c r="M19" s="118">
        <f>+L19+'30'!M19+K19</f>
        <v>33158</v>
      </c>
    </row>
    <row r="20" spans="1:14" ht="13.5" thickBot="1">
      <c r="A20" s="781"/>
      <c r="B20" s="216"/>
      <c r="C20" s="217"/>
      <c r="D20" s="218"/>
      <c r="E20" s="226"/>
      <c r="F20" s="229"/>
      <c r="G20" s="233"/>
      <c r="H20" s="234"/>
      <c r="I20" s="779"/>
      <c r="J20" s="215">
        <f>+'30'!J20</f>
        <v>0</v>
      </c>
      <c r="K20" s="241"/>
      <c r="L20" s="241"/>
      <c r="M20" s="118">
        <f>+L20+'30'!M20+K20</f>
        <v>0</v>
      </c>
    </row>
    <row r="21" spans="1:14" ht="13.5" thickBot="1">
      <c r="A21" s="781"/>
      <c r="B21" s="216"/>
      <c r="C21" s="217"/>
      <c r="D21" s="218"/>
      <c r="E21" s="226"/>
      <c r="F21" s="232"/>
      <c r="G21" s="233"/>
      <c r="H21" s="234"/>
      <c r="I21" s="779"/>
      <c r="J21" s="215">
        <f>+'30'!J21</f>
        <v>0</v>
      </c>
      <c r="K21" s="240"/>
      <c r="L21" s="240"/>
      <c r="M21" s="118">
        <f>+L21+'30'!M21+K21</f>
        <v>0</v>
      </c>
    </row>
    <row r="22" spans="1:14" ht="13.5" thickBot="1">
      <c r="A22" s="781"/>
      <c r="B22" s="216"/>
      <c r="C22" s="217"/>
      <c r="D22" s="218"/>
      <c r="E22" s="226"/>
      <c r="F22" s="237"/>
      <c r="G22" s="233"/>
      <c r="H22" s="234"/>
      <c r="I22" s="780"/>
      <c r="J22" s="215">
        <f>+'30'!J22</f>
        <v>0</v>
      </c>
      <c r="K22" s="240"/>
      <c r="L22" s="240"/>
      <c r="M22" s="118">
        <f>+L22+'30'!M22+K22</f>
        <v>0</v>
      </c>
    </row>
    <row r="23" spans="1:14" ht="13.5" thickBot="1">
      <c r="A23" s="782"/>
      <c r="B23" s="169" t="s">
        <v>3</v>
      </c>
      <c r="C23" s="101">
        <f>SUM(C16:C22)</f>
        <v>0</v>
      </c>
      <c r="D23" s="112">
        <f>SUM(D16:D22)</f>
        <v>0</v>
      </c>
      <c r="E23" s="113">
        <f>SUM(E18:E22)</f>
        <v>0</v>
      </c>
      <c r="F23" s="117">
        <f>SUM(F15:F22)</f>
        <v>0</v>
      </c>
      <c r="G23" s="160"/>
      <c r="H23" s="167"/>
      <c r="I23" s="170"/>
      <c r="J23" s="215">
        <f>+'30'!J23</f>
        <v>0</v>
      </c>
      <c r="K23" s="240"/>
      <c r="L23" s="240"/>
      <c r="M23" s="118">
        <f>+L23+'30'!M23+K23</f>
        <v>0</v>
      </c>
    </row>
    <row r="24" spans="1:14" ht="13.5" customHeight="1" thickBot="1">
      <c r="A24" s="775"/>
      <c r="B24" s="171"/>
      <c r="C24" s="114" t="e">
        <f>C23/($C$23+$D$23+$E$23)</f>
        <v>#DIV/0!</v>
      </c>
      <c r="D24" s="115" t="e">
        <f>D23/($C$23+$D$23+$E$23)</f>
        <v>#DIV/0!</v>
      </c>
      <c r="E24" s="116" t="e">
        <f>E23/($C$23+$D$23+$E$23)</f>
        <v>#DIV/0!</v>
      </c>
      <c r="F24" s="237"/>
      <c r="G24" s="230"/>
      <c r="H24" s="231"/>
      <c r="I24" s="778"/>
      <c r="J24" s="215">
        <f>+'30'!J24</f>
        <v>0</v>
      </c>
      <c r="K24" s="240"/>
      <c r="L24" s="240"/>
      <c r="M24" s="118">
        <f>+L24+'30'!M24+K24</f>
        <v>0</v>
      </c>
    </row>
    <row r="25" spans="1:14" ht="13.5" thickBot="1">
      <c r="A25" s="784"/>
      <c r="B25" s="222"/>
      <c r="C25" s="227"/>
      <c r="D25" s="218"/>
      <c r="E25" s="226"/>
      <c r="F25" s="232"/>
      <c r="G25" s="233"/>
      <c r="H25" s="231"/>
      <c r="I25" s="779"/>
      <c r="J25" s="215">
        <f>+'30'!J25</f>
        <v>0</v>
      </c>
      <c r="K25" s="240"/>
      <c r="L25" s="240"/>
      <c r="M25" s="118">
        <f>+L25+'30'!M25+K25</f>
        <v>0</v>
      </c>
    </row>
    <row r="26" spans="1:14" ht="13.5" thickBot="1">
      <c r="A26" s="784"/>
      <c r="B26" s="216"/>
      <c r="C26" s="227"/>
      <c r="D26" s="218"/>
      <c r="E26" s="228"/>
      <c r="F26" s="232"/>
      <c r="G26" s="230"/>
      <c r="H26" s="234"/>
      <c r="I26" s="779"/>
      <c r="J26" s="215">
        <f>+'30'!J26</f>
        <v>0</v>
      </c>
      <c r="K26" s="240"/>
      <c r="L26" s="240"/>
      <c r="M26" s="118">
        <f>+L26+'30'!M26+K26</f>
        <v>0</v>
      </c>
    </row>
    <row r="27" spans="1:14" ht="13.5" thickBot="1">
      <c r="A27" s="784"/>
      <c r="B27" s="216"/>
      <c r="C27" s="217"/>
      <c r="D27" s="218"/>
      <c r="E27" s="226"/>
      <c r="F27" s="232"/>
      <c r="G27" s="238"/>
      <c r="H27" s="234"/>
      <c r="I27" s="779"/>
      <c r="J27" s="215">
        <f>+'30'!J27</f>
        <v>0</v>
      </c>
      <c r="K27" s="240"/>
      <c r="L27" s="240"/>
      <c r="M27" s="118">
        <f>+L27+'30'!M27+K27</f>
        <v>0</v>
      </c>
    </row>
    <row r="28" spans="1:14" ht="13.5" thickBot="1">
      <c r="A28" s="784"/>
      <c r="B28" s="216"/>
      <c r="C28" s="217"/>
      <c r="D28" s="218"/>
      <c r="E28" s="226"/>
      <c r="F28" s="232"/>
      <c r="G28" s="233"/>
      <c r="H28" s="234"/>
      <c r="I28" s="779"/>
      <c r="J28" s="215">
        <f>+'30'!J28</f>
        <v>0</v>
      </c>
      <c r="K28" s="240"/>
      <c r="L28" s="240"/>
      <c r="M28" s="118">
        <f>+L28+'30'!M28+K28</f>
        <v>0</v>
      </c>
    </row>
    <row r="29" spans="1:14" ht="13.5" thickBot="1">
      <c r="A29" s="784"/>
      <c r="B29" s="216"/>
      <c r="C29" s="217"/>
      <c r="D29" s="218"/>
      <c r="E29" s="226"/>
      <c r="F29" s="237"/>
      <c r="G29" s="233"/>
      <c r="H29" s="234"/>
      <c r="I29" s="779"/>
      <c r="J29" s="215">
        <f>+'30'!J29</f>
        <v>0</v>
      </c>
      <c r="K29" s="240"/>
      <c r="L29" s="240"/>
      <c r="M29" s="118">
        <f>+L29+'30'!M29+K29</f>
        <v>0</v>
      </c>
    </row>
    <row r="30" spans="1:14" ht="13.5" thickBot="1">
      <c r="A30" s="784"/>
      <c r="B30" s="216"/>
      <c r="C30" s="227"/>
      <c r="D30" s="218"/>
      <c r="E30" s="226"/>
      <c r="F30" s="237"/>
      <c r="G30" s="233"/>
      <c r="H30" s="234"/>
      <c r="I30" s="779"/>
      <c r="J30" s="215">
        <f>+'30'!J30</f>
        <v>0</v>
      </c>
      <c r="K30" s="240"/>
      <c r="L30" s="240"/>
      <c r="M30" s="118">
        <f>+L30+'30'!M30+K30</f>
        <v>0</v>
      </c>
      <c r="N30" s="156"/>
    </row>
    <row r="31" spans="1:14" ht="13.5" thickBot="1">
      <c r="A31" s="784"/>
      <c r="B31" s="216"/>
      <c r="C31" s="227"/>
      <c r="D31" s="218"/>
      <c r="E31" s="226"/>
      <c r="F31" s="237"/>
      <c r="G31" s="238"/>
      <c r="H31" s="235"/>
      <c r="I31" s="780"/>
      <c r="J31" s="215">
        <f>+'30'!J31</f>
        <v>0</v>
      </c>
      <c r="K31" s="240"/>
      <c r="L31" s="240"/>
      <c r="M31" s="118">
        <f>+L31+'30'!M31+K31</f>
        <v>0</v>
      </c>
    </row>
    <row r="32" spans="1:14" ht="13.5" thickBot="1">
      <c r="A32" s="785"/>
      <c r="B32" s="166" t="s">
        <v>3</v>
      </c>
      <c r="C32" s="100">
        <f>SUM(C25:C31)</f>
        <v>0</v>
      </c>
      <c r="D32" s="101">
        <f>SUM(D25:D31)</f>
        <v>0</v>
      </c>
      <c r="E32" s="102">
        <f>SUM(E25:E31)</f>
        <v>0</v>
      </c>
      <c r="F32" s="103">
        <f>SUM(F24:F31)</f>
        <v>0</v>
      </c>
      <c r="G32" s="172"/>
      <c r="H32" s="173"/>
      <c r="I32" s="170"/>
      <c r="J32" s="215">
        <f>+'30'!J32</f>
        <v>0</v>
      </c>
      <c r="K32" s="240"/>
      <c r="L32" s="244"/>
      <c r="M32" s="118">
        <f>+L32+'30'!M32+K32</f>
        <v>0</v>
      </c>
    </row>
    <row r="33" spans="1:14" ht="13.5" thickBot="1">
      <c r="A33" s="174"/>
      <c r="B33" s="175"/>
      <c r="C33" s="104" t="e">
        <f>C32/($C$32+$D$32+$E$32)</f>
        <v>#DIV/0!</v>
      </c>
      <c r="D33" s="105" t="e">
        <f>D32/($C$32+$D$32+$E$32)</f>
        <v>#DIV/0!</v>
      </c>
      <c r="E33" s="106" t="e">
        <f>E32/($C$32+$D$32+$E$32)</f>
        <v>#DIV/0!</v>
      </c>
      <c r="F33" s="107"/>
      <c r="G33" s="176"/>
      <c r="H33" s="177"/>
      <c r="I33" s="178"/>
      <c r="J33" s="122"/>
      <c r="K33" s="447"/>
      <c r="L33" s="214"/>
      <c r="M33" s="120"/>
    </row>
    <row r="34" spans="1:14" ht="13.5" thickBot="1">
      <c r="A34" s="771" t="s">
        <v>70</v>
      </c>
      <c r="B34" s="772"/>
      <c r="C34" s="108">
        <f>C14+C23+C32</f>
        <v>0</v>
      </c>
      <c r="D34" s="108">
        <f>D14+D23+D32</f>
        <v>0</v>
      </c>
      <c r="E34" s="108">
        <f>E14+E23+E32</f>
        <v>0</v>
      </c>
      <c r="F34" s="109">
        <f>F14+F23+F32</f>
        <v>0</v>
      </c>
      <c r="H34" s="179"/>
      <c r="I34" s="179"/>
      <c r="J34" s="124" t="s">
        <v>29</v>
      </c>
      <c r="K34" s="125">
        <f>SUM(K7:K33)</f>
        <v>0</v>
      </c>
      <c r="L34" s="213">
        <f>SUM(L7:L32)</f>
        <v>0</v>
      </c>
      <c r="M34" s="125">
        <f>SUM(M7:M33)</f>
        <v>1468263</v>
      </c>
      <c r="N34" s="156"/>
    </row>
    <row r="35" spans="1:14" ht="13.5" thickBot="1">
      <c r="A35" s="180"/>
      <c r="B35" s="181"/>
      <c r="C35" s="105" t="e">
        <f>C34/($C$34+$D$34+$E$34)</f>
        <v>#DIV/0!</v>
      </c>
      <c r="D35" s="105" t="e">
        <f>D34/($C$34+$D$34+$E$34)</f>
        <v>#DIV/0!</v>
      </c>
      <c r="E35" s="110" t="e">
        <f>E34/($C$34+$D$34+$E$34)</f>
        <v>#DIV/0!</v>
      </c>
      <c r="K35" s="156"/>
      <c r="L35" s="762" t="s">
        <v>187</v>
      </c>
      <c r="M35" s="76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73" t="s">
        <v>71</v>
      </c>
      <c r="B37" s="774"/>
      <c r="C37" s="163" t="s">
        <v>72</v>
      </c>
      <c r="D37" s="184" t="s">
        <v>73</v>
      </c>
      <c r="E37" s="185" t="s">
        <v>74</v>
      </c>
      <c r="F37" s="361"/>
      <c r="G37" s="363"/>
      <c r="H37" s="187" t="s">
        <v>75</v>
      </c>
      <c r="I37" s="245">
        <f>(30*200+36*811+45*339)/1350*G42*2.77*1350/1000000</f>
        <v>0</v>
      </c>
      <c r="J37" s="126">
        <f>+I37+'30'!J37</f>
        <v>1584.6567882989636</v>
      </c>
      <c r="K37" s="127" t="s">
        <v>76</v>
      </c>
      <c r="L37" s="421"/>
      <c r="M37" s="422"/>
    </row>
    <row r="38" spans="1:14" ht="17.45" customHeight="1">
      <c r="A38" s="767" t="s">
        <v>13</v>
      </c>
      <c r="B38" s="768"/>
      <c r="C38" s="165">
        <f>SUMIF($G$7:$G$31,"Process",$F$7:$F$31)</f>
        <v>0</v>
      </c>
      <c r="D38" s="119">
        <f>+C38+'30'!D38</f>
        <v>1612</v>
      </c>
      <c r="E38" s="144">
        <f t="shared" ref="E38:E51" si="0">D38/60</f>
        <v>26.866666666666667</v>
      </c>
      <c r="F38" s="361"/>
      <c r="G38" s="361"/>
      <c r="H38" s="188" t="s">
        <v>77</v>
      </c>
      <c r="I38" s="246"/>
      <c r="J38" s="128">
        <f>+I38+'30'!J38</f>
        <v>1506.0089999999998</v>
      </c>
      <c r="K38" s="129" t="s">
        <v>76</v>
      </c>
      <c r="L38" s="423"/>
      <c r="M38" s="424"/>
    </row>
    <row r="39" spans="1:14" ht="17.45" customHeight="1">
      <c r="A39" s="763" t="s">
        <v>14</v>
      </c>
      <c r="B39" s="764"/>
      <c r="C39" s="165">
        <f>SUMIF($G$7:$G$31,"Cleaning",$F$7:$F$31)</f>
        <v>0</v>
      </c>
      <c r="D39" s="119">
        <f>+C39+'30'!D39</f>
        <v>373</v>
      </c>
      <c r="E39" s="144">
        <f t="shared" si="0"/>
        <v>6.2166666666666668</v>
      </c>
      <c r="F39" s="361"/>
      <c r="G39" s="361"/>
      <c r="H39" s="188" t="s">
        <v>78</v>
      </c>
      <c r="I39" s="143"/>
      <c r="J39" s="130">
        <f>J37/G4</f>
        <v>51.117960912869798</v>
      </c>
      <c r="K39" s="131" t="s">
        <v>76</v>
      </c>
      <c r="L39" s="423"/>
      <c r="M39" s="424"/>
    </row>
    <row r="40" spans="1:14" ht="17.45" customHeight="1">
      <c r="A40" s="763" t="s">
        <v>79</v>
      </c>
      <c r="B40" s="764"/>
      <c r="C40" s="165">
        <f>SUMIF($G$7:$G$31,"Mechanical",$F$7:$F$31)</f>
        <v>0</v>
      </c>
      <c r="D40" s="119">
        <f>+C40+'30'!D40</f>
        <v>0</v>
      </c>
      <c r="E40" s="144">
        <f t="shared" si="0"/>
        <v>0</v>
      </c>
      <c r="F40" s="361"/>
      <c r="G40" s="361"/>
      <c r="H40" s="188" t="s">
        <v>80</v>
      </c>
      <c r="I40" s="119">
        <f>(K34+L34)/1000</f>
        <v>0</v>
      </c>
      <c r="J40" s="132">
        <f>+I40+'30'!J40</f>
        <v>1468.2629999999999</v>
      </c>
      <c r="K40" s="131" t="s">
        <v>76</v>
      </c>
      <c r="L40" s="423"/>
      <c r="M40" s="424"/>
    </row>
    <row r="41" spans="1:14" ht="17.45" customHeight="1">
      <c r="A41" s="763" t="s">
        <v>81</v>
      </c>
      <c r="B41" s="764"/>
      <c r="C41" s="165">
        <f>SUMIF($G$7:$G$31,"Electrical",$F$7:$F$31)</f>
        <v>0</v>
      </c>
      <c r="D41" s="119">
        <f>+C41+'30'!D41</f>
        <v>203</v>
      </c>
      <c r="E41" s="144">
        <f t="shared" si="0"/>
        <v>3.3833333333333333</v>
      </c>
      <c r="F41" s="361"/>
      <c r="G41" s="361"/>
      <c r="H41" s="188" t="s">
        <v>82</v>
      </c>
      <c r="I41" s="143"/>
      <c r="J41" s="130">
        <f>J40/G4</f>
        <v>47.363322580645161</v>
      </c>
      <c r="K41" s="131" t="s">
        <v>76</v>
      </c>
      <c r="L41" s="423"/>
      <c r="M41" s="424"/>
    </row>
    <row r="42" spans="1:14" ht="17.45" customHeight="1">
      <c r="A42" s="763" t="s">
        <v>17</v>
      </c>
      <c r="B42" s="764"/>
      <c r="C42" s="165">
        <f>SUMIF($G$7:$G$31,"Instrument",$F$7:$F$31)</f>
        <v>0</v>
      </c>
      <c r="D42" s="119">
        <f>+C42+'30'!D42</f>
        <v>0</v>
      </c>
      <c r="E42" s="144">
        <f t="shared" si="0"/>
        <v>0</v>
      </c>
      <c r="F42" s="361">
        <f>+(F38*390+F39*480+F40*480)/1350</f>
        <v>0</v>
      </c>
      <c r="G42" s="361">
        <f>+(G38*390+G39*480+G40*480)/1350</f>
        <v>0</v>
      </c>
      <c r="H42" s="188" t="s">
        <v>83</v>
      </c>
      <c r="I42" s="247"/>
      <c r="J42" s="133"/>
      <c r="K42" s="131" t="s">
        <v>84</v>
      </c>
      <c r="L42" s="423"/>
      <c r="M42" s="424"/>
    </row>
    <row r="43" spans="1:14" ht="17.45" customHeight="1">
      <c r="A43" s="763" t="s">
        <v>85</v>
      </c>
      <c r="B43" s="764"/>
      <c r="C43" s="165">
        <f>SUMIF($G$7:$G$31,"Water",$F$7:$F$31)</f>
        <v>0</v>
      </c>
      <c r="D43" s="119">
        <f>+C43+'30'!D43</f>
        <v>0</v>
      </c>
      <c r="E43" s="144">
        <f t="shared" si="0"/>
        <v>0</v>
      </c>
      <c r="F43" s="361"/>
      <c r="G43" s="362"/>
      <c r="H43" s="189" t="s">
        <v>86</v>
      </c>
      <c r="I43" s="119">
        <f>+Report1!AH39</f>
        <v>0</v>
      </c>
      <c r="J43" s="134">
        <f>+I43+'30'!J43</f>
        <v>2015.3000000000002</v>
      </c>
      <c r="K43" s="131" t="s">
        <v>76</v>
      </c>
      <c r="L43" s="425">
        <f>+Report1!AN39</f>
        <v>0</v>
      </c>
      <c r="M43" s="426">
        <f>+L43+'30'!M43</f>
        <v>297.3</v>
      </c>
    </row>
    <row r="44" spans="1:14" ht="17.45" customHeight="1">
      <c r="A44" s="763" t="s">
        <v>18</v>
      </c>
      <c r="B44" s="764"/>
      <c r="C44" s="165">
        <f>SUMIF($G$7:$G$31,"PLN",$F$7:$F$31)</f>
        <v>0</v>
      </c>
      <c r="D44" s="119">
        <f>+C44+'30'!D44</f>
        <v>0</v>
      </c>
      <c r="E44" s="144">
        <f t="shared" si="0"/>
        <v>0</v>
      </c>
      <c r="F44" s="361"/>
      <c r="G44" s="362"/>
      <c r="H44" s="189" t="s">
        <v>87</v>
      </c>
      <c r="I44" s="119" t="e">
        <f>I43/I38</f>
        <v>#DIV/0!</v>
      </c>
      <c r="J44" s="135">
        <f>J43/J38</f>
        <v>1.3381726138422814</v>
      </c>
      <c r="K44" s="131" t="s">
        <v>76</v>
      </c>
      <c r="L44" s="427" t="e">
        <f>+L43/I38</f>
        <v>#DIV/0!</v>
      </c>
      <c r="M44" s="428">
        <f>+M43/J38</f>
        <v>0.19740917882960862</v>
      </c>
    </row>
    <row r="45" spans="1:14" ht="17.45" customHeight="1">
      <c r="A45" s="763" t="s">
        <v>19</v>
      </c>
      <c r="B45" s="764"/>
      <c r="C45" s="165">
        <f>SUMIF($G$7:$G$31,"Boiler",$F$7:$F$31)</f>
        <v>0</v>
      </c>
      <c r="D45" s="119">
        <f>+C45+'30'!D45</f>
        <v>0</v>
      </c>
      <c r="E45" s="144">
        <f t="shared" si="0"/>
        <v>0</v>
      </c>
      <c r="F45" s="361"/>
      <c r="G45" s="364"/>
      <c r="H45" s="189" t="s">
        <v>88</v>
      </c>
      <c r="I45" s="119" t="e">
        <f>I43/I40</f>
        <v>#DIV/0!</v>
      </c>
      <c r="J45" s="135">
        <f>J43/J40</f>
        <v>1.3725742595161767</v>
      </c>
      <c r="K45" s="131" t="s">
        <v>76</v>
      </c>
      <c r="L45" s="427" t="e">
        <f>+L43/I40</f>
        <v>#DIV/0!</v>
      </c>
      <c r="M45" s="428">
        <f>+M43/J40</f>
        <v>0.20248415985419507</v>
      </c>
    </row>
    <row r="46" spans="1:14" ht="17.45" customHeight="1">
      <c r="A46" s="763" t="s">
        <v>89</v>
      </c>
      <c r="B46" s="764"/>
      <c r="C46" s="165">
        <f>SUMIF($G$7:$G$31,"Gas",$F$7:$F$31)</f>
        <v>0</v>
      </c>
      <c r="D46" s="119">
        <f>+C46+'30'!D46</f>
        <v>0</v>
      </c>
      <c r="E46" s="144">
        <f t="shared" si="0"/>
        <v>0</v>
      </c>
      <c r="F46" s="361"/>
      <c r="G46" s="362"/>
      <c r="H46" s="189" t="s">
        <v>90</v>
      </c>
      <c r="I46" s="141">
        <f>+SUMIF(Listrik!P38,"&gt;0")</f>
        <v>0</v>
      </c>
      <c r="J46" s="136">
        <f>+I46+'30'!J46</f>
        <v>1208538.1399999999</v>
      </c>
      <c r="K46" s="131" t="s">
        <v>91</v>
      </c>
      <c r="L46" s="427">
        <f>+Listrik!AF38</f>
        <v>0</v>
      </c>
      <c r="M46" s="429">
        <f>+L46+'30'!M46</f>
        <v>0</v>
      </c>
    </row>
    <row r="47" spans="1:14" ht="17.45" customHeight="1">
      <c r="A47" s="763" t="s">
        <v>92</v>
      </c>
      <c r="B47" s="764"/>
      <c r="C47" s="165">
        <f>SUMIF($G$7:$G$31,"Gas",$F$7:$F$31)</f>
        <v>0</v>
      </c>
      <c r="D47" s="119">
        <f>+C47+'30'!D47</f>
        <v>0</v>
      </c>
      <c r="E47" s="144">
        <f t="shared" si="0"/>
        <v>0</v>
      </c>
      <c r="F47" s="361"/>
      <c r="G47" s="362"/>
      <c r="H47" s="189" t="s">
        <v>93</v>
      </c>
      <c r="I47" s="119" t="e">
        <f>I46/I38</f>
        <v>#DIV/0!</v>
      </c>
      <c r="J47" s="136">
        <f>J46/J38</f>
        <v>802.4773689931468</v>
      </c>
      <c r="K47" s="131" t="s">
        <v>25</v>
      </c>
      <c r="L47" s="427" t="e">
        <f>+L46/I38</f>
        <v>#DIV/0!</v>
      </c>
      <c r="M47" s="428">
        <f>+M46/J38</f>
        <v>0</v>
      </c>
    </row>
    <row r="48" spans="1:14" ht="17.45" customHeight="1">
      <c r="A48" s="763" t="s">
        <v>15</v>
      </c>
      <c r="B48" s="764"/>
      <c r="C48" s="165">
        <f>SUMIF($G$7:$G$31,"Start Up",$F$7:$F$31)</f>
        <v>0</v>
      </c>
      <c r="D48" s="119">
        <f>+C48+'30'!D48</f>
        <v>0</v>
      </c>
      <c r="E48" s="144">
        <f t="shared" si="0"/>
        <v>0</v>
      </c>
      <c r="F48" s="361"/>
      <c r="G48" s="362"/>
      <c r="H48" s="189" t="s">
        <v>94</v>
      </c>
      <c r="I48" s="119" t="e">
        <f>I46/I40</f>
        <v>#DIV/0!</v>
      </c>
      <c r="J48" s="136">
        <f>J46/J40</f>
        <v>823.10739969610347</v>
      </c>
      <c r="K48" s="131" t="s">
        <v>25</v>
      </c>
      <c r="L48" s="427" t="e">
        <f>+L46/I38</f>
        <v>#DIV/0!</v>
      </c>
      <c r="M48" s="428">
        <f>+M46/J40</f>
        <v>0</v>
      </c>
    </row>
    <row r="49" spans="1:13" ht="17.45" customHeight="1">
      <c r="A49" s="763" t="s">
        <v>21</v>
      </c>
      <c r="B49" s="764"/>
      <c r="C49" s="165">
        <f>SUMIF($G$7:$G$31,"Others",$F$7:$F$31)</f>
        <v>0</v>
      </c>
      <c r="D49" s="119">
        <f>+C49+'30'!D49</f>
        <v>0</v>
      </c>
      <c r="E49" s="144">
        <f t="shared" si="0"/>
        <v>0</v>
      </c>
      <c r="F49" s="186"/>
      <c r="H49" s="189" t="s">
        <v>95</v>
      </c>
      <c r="I49" s="119">
        <f>+Report1!AB39</f>
        <v>0</v>
      </c>
      <c r="J49" s="136">
        <f>+I49+'30'!J49</f>
        <v>146577.87261297746</v>
      </c>
      <c r="K49" s="131" t="s">
        <v>96</v>
      </c>
      <c r="L49" s="423"/>
      <c r="M49" s="424"/>
    </row>
    <row r="50" spans="1:13" ht="17.45" customHeight="1">
      <c r="A50" s="763" t="s">
        <v>20</v>
      </c>
      <c r="B50" s="764"/>
      <c r="C50" s="165">
        <f>SUMIF($G$7:$G$31,"Steam",$F$7:$F$31)</f>
        <v>0</v>
      </c>
      <c r="D50" s="119">
        <f>+C50+'30'!D50</f>
        <v>0</v>
      </c>
      <c r="E50" s="144">
        <f t="shared" si="0"/>
        <v>0</v>
      </c>
      <c r="F50" s="186"/>
      <c r="H50" s="189" t="s">
        <v>97</v>
      </c>
      <c r="I50" s="141" t="e">
        <f>I49/I38</f>
        <v>#DIV/0!</v>
      </c>
      <c r="J50" s="134">
        <f>J49/J38</f>
        <v>97.328683037735814</v>
      </c>
      <c r="K50" s="131" t="s">
        <v>96</v>
      </c>
      <c r="L50" s="423"/>
      <c r="M50" s="424"/>
    </row>
    <row r="51" spans="1:13" ht="17.45" customHeight="1" thickBot="1">
      <c r="A51" s="765" t="s">
        <v>98</v>
      </c>
      <c r="B51" s="766"/>
      <c r="C51" s="165">
        <f>SUMIF($G$7:$G$31,"Planned shut",$F$7:$F$31)</f>
        <v>0</v>
      </c>
      <c r="D51" s="119">
        <f>+C51+'30'!D51</f>
        <v>609</v>
      </c>
      <c r="E51" s="144">
        <f t="shared" si="0"/>
        <v>10.15</v>
      </c>
      <c r="F51" s="186"/>
      <c r="H51" s="191" t="s">
        <v>99</v>
      </c>
      <c r="I51" s="142" t="e">
        <f>I49/I40</f>
        <v>#DIV/0!</v>
      </c>
      <c r="J51" s="137">
        <f>J49/J40</f>
        <v>99.830801847473836</v>
      </c>
      <c r="K51" s="138" t="s">
        <v>96</v>
      </c>
      <c r="L51" s="423"/>
      <c r="M51" s="424"/>
    </row>
    <row r="52" spans="1:13" ht="13.5" thickBot="1">
      <c r="A52" s="767" t="s">
        <v>29</v>
      </c>
      <c r="B52" s="768"/>
      <c r="C52" s="145">
        <f>SUM(C38:C51)</f>
        <v>0</v>
      </c>
      <c r="D52" s="145">
        <f>SUM(D38:D51)</f>
        <v>2797</v>
      </c>
      <c r="E52" s="146">
        <f>SUM(E38:E51)</f>
        <v>46.616666666666667</v>
      </c>
      <c r="F52" s="186"/>
      <c r="H52" s="192"/>
      <c r="I52" s="193"/>
      <c r="J52" s="139"/>
      <c r="K52" s="140"/>
      <c r="L52" s="430"/>
      <c r="M52" s="431"/>
    </row>
    <row r="53" spans="1:13" ht="13.5" thickBot="1">
      <c r="A53" s="769"/>
      <c r="B53" s="770"/>
      <c r="C53" s="147">
        <f>C52/(24*60)</f>
        <v>0</v>
      </c>
      <c r="D53" s="147">
        <f>D52/(24*60*G4)</f>
        <v>6.2656810035842295E-2</v>
      </c>
      <c r="E53" s="148">
        <f>E52/(G4*24)</f>
        <v>6.2656810035842295E-2</v>
      </c>
      <c r="F53" s="186"/>
    </row>
    <row r="54" spans="1:13">
      <c r="E54" s="194"/>
      <c r="F54" s="186"/>
    </row>
    <row r="55" spans="1:13">
      <c r="E55" s="194"/>
    </row>
    <row r="56" spans="1:13">
      <c r="A56" s="195" t="s">
        <v>100</v>
      </c>
      <c r="B56" s="196"/>
      <c r="C56" s="197"/>
      <c r="D56" s="197"/>
      <c r="E56" s="197"/>
      <c r="F56" s="198"/>
      <c r="G56" s="197"/>
      <c r="H56" s="199"/>
      <c r="I56" s="200" t="s">
        <v>101</v>
      </c>
      <c r="J56" s="201">
        <f>+D34+'30'!J56</f>
        <v>3992</v>
      </c>
      <c r="K56" s="202">
        <f>J56/(J40+J56/1000)/1000</f>
        <v>2.7114868008599057E-3</v>
      </c>
    </row>
    <row r="57" spans="1:13">
      <c r="A57" s="177"/>
      <c r="I57" s="200" t="s">
        <v>102</v>
      </c>
      <c r="J57" s="201">
        <f>+E34+'30'!J57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L35:M35"/>
    <mergeCell ref="A7:A14"/>
    <mergeCell ref="I7:I13"/>
    <mergeCell ref="A15:A23"/>
    <mergeCell ref="I15:I22"/>
    <mergeCell ref="A24:A32"/>
    <mergeCell ref="I24:I31"/>
    <mergeCell ref="A34:B34"/>
    <mergeCell ref="A48:B48"/>
    <mergeCell ref="A37:B37"/>
    <mergeCell ref="A38:B38"/>
    <mergeCell ref="A39:B39"/>
    <mergeCell ref="A40:B40"/>
    <mergeCell ref="A41:B41"/>
    <mergeCell ref="A42:B42"/>
    <mergeCell ref="A43:B43"/>
    <mergeCell ref="A44:B44"/>
    <mergeCell ref="A45:B45"/>
    <mergeCell ref="A46:B46"/>
    <mergeCell ref="A47:B47"/>
    <mergeCell ref="A49:B49"/>
    <mergeCell ref="A50:B50"/>
    <mergeCell ref="A51:B51"/>
    <mergeCell ref="A52:B52"/>
    <mergeCell ref="A53:B53"/>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GRAFIK</vt:lpstr>
      <vt:lpstr>Report1</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2025-12-01T07:37:43Z</cp:lastPrinted>
  <dcterms:created xsi:type="dcterms:W3CDTF">2007-07-30T03:52:39Z</dcterms:created>
  <dcterms:modified xsi:type="dcterms:W3CDTF">2025-12-01T09:02:16Z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